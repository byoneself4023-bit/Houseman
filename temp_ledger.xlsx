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namedSheetViews/namedSheetView2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66d407c8c6e89b/하우스맨/일일장부/"/>
    </mc:Choice>
  </mc:AlternateContent>
  <xr:revisionPtr revIDLastSave="11362" documentId="13_ncr:1_{66B21F4D-54E1-410B-B184-2579429ADEF0}" xr6:coauthVersionLast="47" xr6:coauthVersionMax="47" xr10:uidLastSave="{0CEA6AB7-5E45-4682-A526-A33F9BEF0E53}"/>
  <bookViews>
    <workbookView minimized="1" xWindow="0" yWindow="1575" windowWidth="21600" windowHeight="11295" activeTab="1" xr2:uid="{59069DF7-CF46-479B-A366-6D924DC4E027}"/>
  </bookViews>
  <sheets>
    <sheet name="■입주정보" sheetId="1" r:id="rId1"/>
    <sheet name="□공실현황" sheetId="4" r:id="rId2"/>
    <sheet name="관리건물_목록" sheetId="7" state="hidden" r:id="rId3"/>
    <sheet name="■퇴실정보" sheetId="5" r:id="rId4"/>
    <sheet name="□퇴실정산서" sheetId="6" r:id="rId5"/>
    <sheet name="◆건물정보" sheetId="9" r:id="rId6"/>
    <sheet name="□재계약 일정" sheetId="8" r:id="rId7"/>
    <sheet name="◆관리정보" sheetId="3" r:id="rId8"/>
  </sheets>
  <definedNames>
    <definedName name="_xlnm._FilterDatabase" localSheetId="1" hidden="1">□공실현황!$A$5:$AC$5</definedName>
    <definedName name="_xlnm._FilterDatabase" localSheetId="7" hidden="1">◆관리정보!$A$3:$V$3</definedName>
    <definedName name="_xlnm._FilterDatabase" localSheetId="0" hidden="1">■입주정보!$A$3:$AM$1000</definedName>
    <definedName name="_xlnm._FilterDatabase" localSheetId="3" hidden="1">■퇴실정보!$A$3:$P$1000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6" l="1"/>
  <c r="J404" i="1"/>
  <c r="I254" i="1"/>
  <c r="G496" i="1"/>
  <c r="J32" i="1"/>
  <c r="J27" i="1"/>
  <c r="J164" i="1"/>
  <c r="I423" i="1"/>
  <c r="I259" i="1"/>
  <c r="J489" i="1"/>
  <c r="J131" i="1"/>
  <c r="J99" i="1"/>
  <c r="J227" i="1"/>
  <c r="J29" i="1"/>
  <c r="J30" i="1"/>
  <c r="J100" i="1"/>
  <c r="J406" i="1"/>
  <c r="J24" i="1"/>
  <c r="J87" i="1"/>
  <c r="J394" i="1"/>
  <c r="G198" i="1"/>
  <c r="J325" i="1"/>
  <c r="I4" i="1"/>
  <c r="G413" i="1"/>
  <c r="AL1000" i="1" a="1"/>
  <c r="AL1000" i="1" s="1"/>
  <c r="AL999" i="1" a="1"/>
  <c r="AL999" i="1" s="1"/>
  <c r="AL998" i="1" a="1"/>
  <c r="AL998" i="1" s="1"/>
  <c r="AL997" i="1" a="1"/>
  <c r="AL997" i="1" s="1"/>
  <c r="AL996" i="1" a="1"/>
  <c r="AL996" i="1" s="1"/>
  <c r="AL995" i="1" a="1"/>
  <c r="AL995" i="1" s="1"/>
  <c r="AL994" i="1" a="1"/>
  <c r="AL994" i="1" s="1"/>
  <c r="AL993" i="1" a="1"/>
  <c r="AL993" i="1" s="1"/>
  <c r="AL992" i="1" a="1"/>
  <c r="AL992" i="1" s="1"/>
  <c r="AL991" i="1" a="1"/>
  <c r="AL991" i="1" s="1"/>
  <c r="AL990" i="1" a="1"/>
  <c r="AL990" i="1" s="1"/>
  <c r="AL989" i="1" a="1"/>
  <c r="AL989" i="1" s="1"/>
  <c r="AL988" i="1" a="1"/>
  <c r="AL988" i="1" s="1"/>
  <c r="AL987" i="1" a="1"/>
  <c r="AL987" i="1" s="1"/>
  <c r="AL986" i="1" a="1"/>
  <c r="AL986" i="1" s="1"/>
  <c r="AL985" i="1" a="1"/>
  <c r="AL985" i="1" s="1"/>
  <c r="AL984" i="1" a="1"/>
  <c r="AL984" i="1" s="1"/>
  <c r="AL983" i="1" a="1"/>
  <c r="AL983" i="1" s="1"/>
  <c r="AL982" i="1" a="1"/>
  <c r="AL982" i="1" s="1"/>
  <c r="AL981" i="1" a="1"/>
  <c r="AL981" i="1" s="1"/>
  <c r="AL980" i="1" a="1"/>
  <c r="AL980" i="1" s="1"/>
  <c r="AL979" i="1" a="1"/>
  <c r="AL979" i="1" s="1"/>
  <c r="AL978" i="1" a="1"/>
  <c r="AL978" i="1" s="1"/>
  <c r="AL977" i="1" a="1"/>
  <c r="AL977" i="1" s="1"/>
  <c r="AL976" i="1" a="1"/>
  <c r="AL976" i="1" s="1"/>
  <c r="AL975" i="1" a="1"/>
  <c r="AL975" i="1" s="1"/>
  <c r="AL974" i="1" a="1"/>
  <c r="AL974" i="1" s="1"/>
  <c r="AL973" i="1" a="1"/>
  <c r="AL973" i="1" s="1"/>
  <c r="AL972" i="1" a="1"/>
  <c r="AL972" i="1" s="1"/>
  <c r="AL971" i="1" a="1"/>
  <c r="AL971" i="1" s="1"/>
  <c r="AL970" i="1" a="1"/>
  <c r="AL970" i="1" s="1"/>
  <c r="AL969" i="1" a="1"/>
  <c r="AL969" i="1" s="1"/>
  <c r="AL968" i="1" a="1"/>
  <c r="AL968" i="1" s="1"/>
  <c r="AL967" i="1" a="1"/>
  <c r="AL967" i="1" s="1"/>
  <c r="AL966" i="1" a="1"/>
  <c r="AL966" i="1" s="1"/>
  <c r="AL965" i="1" a="1"/>
  <c r="AL965" i="1" s="1"/>
  <c r="AL964" i="1" a="1"/>
  <c r="AL964" i="1" s="1"/>
  <c r="AL963" i="1" a="1"/>
  <c r="AL963" i="1" s="1"/>
  <c r="AL962" i="1" a="1"/>
  <c r="AL962" i="1" s="1"/>
  <c r="AL961" i="1" a="1"/>
  <c r="AL961" i="1" s="1"/>
  <c r="AL960" i="1" a="1"/>
  <c r="AL960" i="1" s="1"/>
  <c r="AL959" i="1" a="1"/>
  <c r="AL959" i="1" s="1"/>
  <c r="AL958" i="1" a="1"/>
  <c r="AL958" i="1" s="1"/>
  <c r="AL957" i="1" a="1"/>
  <c r="AL957" i="1" s="1"/>
  <c r="AL956" i="1" a="1"/>
  <c r="AL956" i="1" s="1"/>
  <c r="AL955" i="1" a="1"/>
  <c r="AL955" i="1" s="1"/>
  <c r="AL954" i="1" a="1"/>
  <c r="AL954" i="1" s="1"/>
  <c r="AL953" i="1" a="1"/>
  <c r="AL953" i="1" s="1"/>
  <c r="AL952" i="1" a="1"/>
  <c r="AL952" i="1" s="1"/>
  <c r="AL951" i="1" a="1"/>
  <c r="AL951" i="1" s="1"/>
  <c r="AL950" i="1" a="1"/>
  <c r="AL950" i="1" s="1"/>
  <c r="AL949" i="1" a="1"/>
  <c r="AL949" i="1" s="1"/>
  <c r="AL948" i="1" a="1"/>
  <c r="AL948" i="1" s="1"/>
  <c r="AL947" i="1" a="1"/>
  <c r="AL947" i="1" s="1"/>
  <c r="AL946" i="1" a="1"/>
  <c r="AL946" i="1" s="1"/>
  <c r="AL945" i="1" a="1"/>
  <c r="AL945" i="1" s="1"/>
  <c r="AL944" i="1" a="1"/>
  <c r="AL944" i="1" s="1"/>
  <c r="AL943" i="1" a="1"/>
  <c r="AL943" i="1" s="1"/>
  <c r="AL942" i="1" a="1"/>
  <c r="AL942" i="1" s="1"/>
  <c r="AL941" i="1" a="1"/>
  <c r="AL941" i="1" s="1"/>
  <c r="AL940" i="1" a="1"/>
  <c r="AL940" i="1" s="1"/>
  <c r="AL939" i="1" a="1"/>
  <c r="AL939" i="1" s="1"/>
  <c r="AL938" i="1" a="1"/>
  <c r="AL938" i="1" s="1"/>
  <c r="AL937" i="1" a="1"/>
  <c r="AL937" i="1" s="1"/>
  <c r="AL936" i="1" a="1"/>
  <c r="AL936" i="1" s="1"/>
  <c r="AL935" i="1" a="1"/>
  <c r="AL935" i="1" s="1"/>
  <c r="AL934" i="1" a="1"/>
  <c r="AL934" i="1" s="1"/>
  <c r="AL933" i="1" a="1"/>
  <c r="AL933" i="1" s="1"/>
  <c r="AL932" i="1" a="1"/>
  <c r="AL932" i="1" s="1"/>
  <c r="AL931" i="1" a="1"/>
  <c r="AL931" i="1" s="1"/>
  <c r="AL930" i="1" a="1"/>
  <c r="AL930" i="1" s="1"/>
  <c r="AL929" i="1" a="1"/>
  <c r="AL929" i="1" s="1"/>
  <c r="AL928" i="1" a="1"/>
  <c r="AL928" i="1" s="1"/>
  <c r="AL927" i="1" a="1"/>
  <c r="AL927" i="1" s="1"/>
  <c r="AL926" i="1" a="1"/>
  <c r="AL926" i="1" s="1"/>
  <c r="AL925" i="1" a="1"/>
  <c r="AL925" i="1" s="1"/>
  <c r="AL924" i="1" a="1"/>
  <c r="AL924" i="1" s="1"/>
  <c r="AL923" i="1" a="1"/>
  <c r="AL923" i="1" s="1"/>
  <c r="AL922" i="1" a="1"/>
  <c r="AL922" i="1" s="1"/>
  <c r="AL921" i="1" a="1"/>
  <c r="AL921" i="1" s="1"/>
  <c r="AL920" i="1" a="1"/>
  <c r="AL920" i="1" s="1"/>
  <c r="AL919" i="1" a="1"/>
  <c r="AL919" i="1" s="1"/>
  <c r="AL918" i="1" a="1"/>
  <c r="AL918" i="1" s="1"/>
  <c r="AL917" i="1" a="1"/>
  <c r="AL917" i="1" s="1"/>
  <c r="AL916" i="1" a="1"/>
  <c r="AL916" i="1" s="1"/>
  <c r="AL915" i="1" a="1"/>
  <c r="AL915" i="1" s="1"/>
  <c r="AL914" i="1" a="1"/>
  <c r="AL914" i="1" s="1"/>
  <c r="AL913" i="1" a="1"/>
  <c r="AL913" i="1" s="1"/>
  <c r="AL912" i="1" a="1"/>
  <c r="AL912" i="1" s="1"/>
  <c r="AL911" i="1" a="1"/>
  <c r="AL911" i="1" s="1"/>
  <c r="AL910" i="1" a="1"/>
  <c r="AL910" i="1" s="1"/>
  <c r="AL909" i="1" a="1"/>
  <c r="AL909" i="1" s="1"/>
  <c r="AL908" i="1" a="1"/>
  <c r="AL908" i="1" s="1"/>
  <c r="AL907" i="1" a="1"/>
  <c r="AL907" i="1" s="1"/>
  <c r="AL906" i="1" a="1"/>
  <c r="AL906" i="1" s="1"/>
  <c r="AL905" i="1" a="1"/>
  <c r="AL905" i="1" s="1"/>
  <c r="AL904" i="1" a="1"/>
  <c r="AL904" i="1" s="1"/>
  <c r="AL903" i="1" a="1"/>
  <c r="AL903" i="1" s="1"/>
  <c r="AL902" i="1" a="1"/>
  <c r="AL902" i="1" s="1"/>
  <c r="AL901" i="1" a="1"/>
  <c r="AL901" i="1" s="1"/>
  <c r="AL900" i="1" a="1"/>
  <c r="AL900" i="1" s="1"/>
  <c r="AL899" i="1" a="1"/>
  <c r="AL899" i="1" s="1"/>
  <c r="AL898" i="1" a="1"/>
  <c r="AL898" i="1" s="1"/>
  <c r="AL897" i="1" a="1"/>
  <c r="AL897" i="1" s="1"/>
  <c r="AL896" i="1" a="1"/>
  <c r="AL896" i="1" s="1"/>
  <c r="AL895" i="1" a="1"/>
  <c r="AL895" i="1" s="1"/>
  <c r="AL894" i="1" a="1"/>
  <c r="AL894" i="1" s="1"/>
  <c r="AL893" i="1" a="1"/>
  <c r="AL893" i="1" s="1"/>
  <c r="AL892" i="1" a="1"/>
  <c r="AL892" i="1" s="1"/>
  <c r="AL891" i="1" a="1"/>
  <c r="AL891" i="1" s="1"/>
  <c r="AL890" i="1" a="1"/>
  <c r="AL890" i="1" s="1"/>
  <c r="AL889" i="1" a="1"/>
  <c r="AL889" i="1" s="1"/>
  <c r="AL888" i="1" a="1"/>
  <c r="AL888" i="1" s="1"/>
  <c r="AL887" i="1" a="1"/>
  <c r="AL887" i="1" s="1"/>
  <c r="AL886" i="1" a="1"/>
  <c r="AL886" i="1" s="1"/>
  <c r="AL885" i="1" a="1"/>
  <c r="AL885" i="1" s="1"/>
  <c r="AL884" i="1" a="1"/>
  <c r="AL884" i="1" s="1"/>
  <c r="AL883" i="1" a="1"/>
  <c r="AL883" i="1" s="1"/>
  <c r="AL882" i="1" a="1"/>
  <c r="AL882" i="1" s="1"/>
  <c r="AL881" i="1" a="1"/>
  <c r="AL881" i="1" s="1"/>
  <c r="AL880" i="1" a="1"/>
  <c r="AL880" i="1" s="1"/>
  <c r="AL879" i="1" a="1"/>
  <c r="AL879" i="1" s="1"/>
  <c r="AL878" i="1" a="1"/>
  <c r="AL878" i="1" s="1"/>
  <c r="AL877" i="1" a="1"/>
  <c r="AL877" i="1" s="1"/>
  <c r="AL876" i="1" a="1"/>
  <c r="AL876" i="1" s="1"/>
  <c r="AL875" i="1" a="1"/>
  <c r="AL875" i="1" s="1"/>
  <c r="AL874" i="1" a="1"/>
  <c r="AL874" i="1" s="1"/>
  <c r="AL873" i="1" a="1"/>
  <c r="AL873" i="1" s="1"/>
  <c r="AL872" i="1" a="1"/>
  <c r="AL872" i="1" s="1"/>
  <c r="AL871" i="1" a="1"/>
  <c r="AL871" i="1" s="1"/>
  <c r="AL870" i="1" a="1"/>
  <c r="AL870" i="1" s="1"/>
  <c r="AL869" i="1" a="1"/>
  <c r="AL869" i="1" s="1"/>
  <c r="AL868" i="1" a="1"/>
  <c r="AL868" i="1" s="1"/>
  <c r="AL867" i="1" a="1"/>
  <c r="AL867" i="1" s="1"/>
  <c r="AL866" i="1" a="1"/>
  <c r="AL866" i="1" s="1"/>
  <c r="AL865" i="1" a="1"/>
  <c r="AL865" i="1" s="1"/>
  <c r="AL864" i="1" a="1"/>
  <c r="AL864" i="1" s="1"/>
  <c r="AL863" i="1" a="1"/>
  <c r="AL863" i="1" s="1"/>
  <c r="AL862" i="1" a="1"/>
  <c r="AL862" i="1" s="1"/>
  <c r="AL861" i="1" a="1"/>
  <c r="AL861" i="1" s="1"/>
  <c r="AL860" i="1" a="1"/>
  <c r="AL860" i="1" s="1"/>
  <c r="AL859" i="1" a="1"/>
  <c r="AL859" i="1" s="1"/>
  <c r="AL858" i="1" a="1"/>
  <c r="AL858" i="1" s="1"/>
  <c r="AL857" i="1" a="1"/>
  <c r="AL857" i="1" s="1"/>
  <c r="AL856" i="1" a="1"/>
  <c r="AL856" i="1" s="1"/>
  <c r="AL855" i="1" a="1"/>
  <c r="AL855" i="1" s="1"/>
  <c r="AL854" i="1" a="1"/>
  <c r="AL854" i="1" s="1"/>
  <c r="AL853" i="1" a="1"/>
  <c r="AL853" i="1" s="1"/>
  <c r="AL852" i="1" a="1"/>
  <c r="AL852" i="1" s="1"/>
  <c r="AL851" i="1" a="1"/>
  <c r="AL851" i="1" s="1"/>
  <c r="AL850" i="1" a="1"/>
  <c r="AL850" i="1" s="1"/>
  <c r="AL849" i="1" a="1"/>
  <c r="AL849" i="1" s="1"/>
  <c r="AL848" i="1" a="1"/>
  <c r="AL848" i="1" s="1"/>
  <c r="AL847" i="1" a="1"/>
  <c r="AL847" i="1" s="1"/>
  <c r="AL846" i="1" a="1"/>
  <c r="AL846" i="1" s="1"/>
  <c r="AL845" i="1" a="1"/>
  <c r="AL845" i="1" s="1"/>
  <c r="AL844" i="1" a="1"/>
  <c r="AL844" i="1" s="1"/>
  <c r="AL843" i="1" a="1"/>
  <c r="AL843" i="1" s="1"/>
  <c r="AL842" i="1" a="1"/>
  <c r="AL842" i="1" s="1"/>
  <c r="AL841" i="1" a="1"/>
  <c r="AL841" i="1" s="1"/>
  <c r="AL840" i="1" a="1"/>
  <c r="AL840" i="1" s="1"/>
  <c r="AL839" i="1" a="1"/>
  <c r="AL839" i="1" s="1"/>
  <c r="AL838" i="1" a="1"/>
  <c r="AL838" i="1" s="1"/>
  <c r="AL837" i="1" a="1"/>
  <c r="AL837" i="1" s="1"/>
  <c r="AL836" i="1" a="1"/>
  <c r="AL836" i="1" s="1"/>
  <c r="AL835" i="1" a="1"/>
  <c r="AL835" i="1" s="1"/>
  <c r="AL834" i="1" a="1"/>
  <c r="AL834" i="1" s="1"/>
  <c r="AL833" i="1" a="1"/>
  <c r="AL833" i="1" s="1"/>
  <c r="AL832" i="1" a="1"/>
  <c r="AL832" i="1" s="1"/>
  <c r="AL831" i="1" a="1"/>
  <c r="AL831" i="1" s="1"/>
  <c r="AL830" i="1" a="1"/>
  <c r="AL830" i="1" s="1"/>
  <c r="AL829" i="1" a="1"/>
  <c r="AL829" i="1" s="1"/>
  <c r="AL828" i="1" a="1"/>
  <c r="AL828" i="1" s="1"/>
  <c r="AL827" i="1" a="1"/>
  <c r="AL827" i="1" s="1"/>
  <c r="AL826" i="1" a="1"/>
  <c r="AL826" i="1" s="1"/>
  <c r="AL825" i="1" a="1"/>
  <c r="AL825" i="1" s="1"/>
  <c r="AL824" i="1" a="1"/>
  <c r="AL824" i="1" s="1"/>
  <c r="AL823" i="1" a="1"/>
  <c r="AL823" i="1" s="1"/>
  <c r="AL822" i="1" a="1"/>
  <c r="AL822" i="1" s="1"/>
  <c r="AL821" i="1" a="1"/>
  <c r="AL821" i="1" s="1"/>
  <c r="AL820" i="1" a="1"/>
  <c r="AL820" i="1" s="1"/>
  <c r="AL819" i="1" a="1"/>
  <c r="AL819" i="1" s="1"/>
  <c r="AL818" i="1" a="1"/>
  <c r="AL818" i="1" s="1"/>
  <c r="AL817" i="1" a="1"/>
  <c r="AL817" i="1" s="1"/>
  <c r="AL816" i="1" a="1"/>
  <c r="AL816" i="1" s="1"/>
  <c r="AL815" i="1" a="1"/>
  <c r="AL815" i="1" s="1"/>
  <c r="AL814" i="1" a="1"/>
  <c r="AL814" i="1" s="1"/>
  <c r="AL813" i="1" a="1"/>
  <c r="AL813" i="1" s="1"/>
  <c r="AL812" i="1" a="1"/>
  <c r="AL812" i="1" s="1"/>
  <c r="AL811" i="1" a="1"/>
  <c r="AL811" i="1" s="1"/>
  <c r="AL810" i="1" a="1"/>
  <c r="AL810" i="1" s="1"/>
  <c r="AL809" i="1" a="1"/>
  <c r="AL809" i="1" s="1"/>
  <c r="AL808" i="1" a="1"/>
  <c r="AL808" i="1" s="1"/>
  <c r="AL807" i="1" a="1"/>
  <c r="AL807" i="1" s="1"/>
  <c r="AL806" i="1" a="1"/>
  <c r="AL806" i="1" s="1"/>
  <c r="AL805" i="1" a="1"/>
  <c r="AL805" i="1" s="1"/>
  <c r="AL804" i="1" a="1"/>
  <c r="AL804" i="1" s="1"/>
  <c r="AL803" i="1" a="1"/>
  <c r="AL803" i="1" s="1"/>
  <c r="AL802" i="1" a="1"/>
  <c r="AL802" i="1" s="1"/>
  <c r="AL801" i="1" a="1"/>
  <c r="AL801" i="1" s="1"/>
  <c r="AL800" i="1" a="1"/>
  <c r="AL800" i="1" s="1"/>
  <c r="AL799" i="1" a="1"/>
  <c r="AL799" i="1" s="1"/>
  <c r="AL798" i="1" a="1"/>
  <c r="AL798" i="1" s="1"/>
  <c r="AL797" i="1" a="1"/>
  <c r="AL797" i="1" s="1"/>
  <c r="AL796" i="1" a="1"/>
  <c r="AL796" i="1" s="1"/>
  <c r="AL795" i="1" a="1"/>
  <c r="AL795" i="1" s="1"/>
  <c r="AL794" i="1" a="1"/>
  <c r="AL794" i="1" s="1"/>
  <c r="AL793" i="1" a="1"/>
  <c r="AL793" i="1" s="1"/>
  <c r="AL792" i="1" a="1"/>
  <c r="AL792" i="1" s="1"/>
  <c r="AL791" i="1" a="1"/>
  <c r="AL791" i="1" s="1"/>
  <c r="AL790" i="1" a="1"/>
  <c r="AL790" i="1" s="1"/>
  <c r="AL789" i="1" a="1"/>
  <c r="AL789" i="1" s="1"/>
  <c r="AL788" i="1" a="1"/>
  <c r="AL788" i="1" s="1"/>
  <c r="AL787" i="1" a="1"/>
  <c r="AL787" i="1" s="1"/>
  <c r="AL786" i="1" a="1"/>
  <c r="AL786" i="1" s="1"/>
  <c r="AL785" i="1" a="1"/>
  <c r="AL785" i="1" s="1"/>
  <c r="AL784" i="1" a="1"/>
  <c r="AL784" i="1" s="1"/>
  <c r="AL783" i="1" a="1"/>
  <c r="AL783" i="1" s="1"/>
  <c r="AL782" i="1" a="1"/>
  <c r="AL782" i="1" s="1"/>
  <c r="AL781" i="1" a="1"/>
  <c r="AL781" i="1" s="1"/>
  <c r="AL780" i="1" a="1"/>
  <c r="AL780" i="1" s="1"/>
  <c r="AL779" i="1" a="1"/>
  <c r="AL779" i="1" s="1"/>
  <c r="AL778" i="1" a="1"/>
  <c r="AL778" i="1" s="1"/>
  <c r="AL777" i="1" a="1"/>
  <c r="AL777" i="1" s="1"/>
  <c r="AL776" i="1" a="1"/>
  <c r="AL776" i="1" s="1"/>
  <c r="AL775" i="1" a="1"/>
  <c r="AL775" i="1" s="1"/>
  <c r="AL774" i="1" a="1"/>
  <c r="AL774" i="1" s="1"/>
  <c r="AL773" i="1" a="1"/>
  <c r="AL773" i="1" s="1"/>
  <c r="AL772" i="1" a="1"/>
  <c r="AL772" i="1" s="1"/>
  <c r="AL771" i="1" a="1"/>
  <c r="AL771" i="1" s="1"/>
  <c r="AL770" i="1" a="1"/>
  <c r="AL770" i="1" s="1"/>
  <c r="AL769" i="1" a="1"/>
  <c r="AL769" i="1" s="1"/>
  <c r="AL768" i="1" a="1"/>
  <c r="AL768" i="1" s="1"/>
  <c r="AL767" i="1" a="1"/>
  <c r="AL767" i="1" s="1"/>
  <c r="AL766" i="1" a="1"/>
  <c r="AL766" i="1" s="1"/>
  <c r="AL765" i="1" a="1"/>
  <c r="AL765" i="1" s="1"/>
  <c r="AL764" i="1" a="1"/>
  <c r="AL764" i="1" s="1"/>
  <c r="AL763" i="1" a="1"/>
  <c r="AL763" i="1" s="1"/>
  <c r="AL762" i="1" a="1"/>
  <c r="AL762" i="1" s="1"/>
  <c r="AL761" i="1" a="1"/>
  <c r="AL761" i="1" s="1"/>
  <c r="AL760" i="1" a="1"/>
  <c r="AL760" i="1" s="1"/>
  <c r="AL759" i="1" a="1"/>
  <c r="AL759" i="1" s="1"/>
  <c r="AL758" i="1" a="1"/>
  <c r="AL758" i="1" s="1"/>
  <c r="AL757" i="1" a="1"/>
  <c r="AL757" i="1" s="1"/>
  <c r="AL756" i="1" a="1"/>
  <c r="AL756" i="1" s="1"/>
  <c r="AL755" i="1" a="1"/>
  <c r="AL755" i="1" s="1"/>
  <c r="AL754" i="1" a="1"/>
  <c r="AL754" i="1" s="1"/>
  <c r="AL753" i="1" a="1"/>
  <c r="AL753" i="1" s="1"/>
  <c r="AL752" i="1" a="1"/>
  <c r="AL752" i="1" s="1"/>
  <c r="AL751" i="1" a="1"/>
  <c r="AL751" i="1" s="1"/>
  <c r="AL750" i="1" a="1"/>
  <c r="AL750" i="1" s="1"/>
  <c r="AL749" i="1" a="1"/>
  <c r="AL749" i="1" s="1"/>
  <c r="AL748" i="1" a="1"/>
  <c r="AL748" i="1" s="1"/>
  <c r="AL747" i="1" a="1"/>
  <c r="AL747" i="1" s="1"/>
  <c r="AL746" i="1" a="1"/>
  <c r="AL746" i="1" s="1"/>
  <c r="AL745" i="1" a="1"/>
  <c r="AL745" i="1" s="1"/>
  <c r="AL744" i="1" a="1"/>
  <c r="AL744" i="1" s="1"/>
  <c r="AL743" i="1" a="1"/>
  <c r="AL743" i="1" s="1"/>
  <c r="AL742" i="1" a="1"/>
  <c r="AL742" i="1" s="1"/>
  <c r="AL741" i="1" a="1"/>
  <c r="AL741" i="1" s="1"/>
  <c r="AL740" i="1" a="1"/>
  <c r="AL740" i="1" s="1"/>
  <c r="AL739" i="1" a="1"/>
  <c r="AL739" i="1" s="1"/>
  <c r="AL738" i="1" a="1"/>
  <c r="AL738" i="1" s="1"/>
  <c r="AL737" i="1" a="1"/>
  <c r="AL737" i="1" s="1"/>
  <c r="AL736" i="1" a="1"/>
  <c r="AL736" i="1" s="1"/>
  <c r="AL735" i="1" a="1"/>
  <c r="AL735" i="1" s="1"/>
  <c r="AL734" i="1" a="1"/>
  <c r="AL734" i="1" s="1"/>
  <c r="AL733" i="1" a="1"/>
  <c r="AL733" i="1" s="1"/>
  <c r="AL732" i="1" a="1"/>
  <c r="AL732" i="1" s="1"/>
  <c r="AL731" i="1" a="1"/>
  <c r="AL731" i="1" s="1"/>
  <c r="AL730" i="1" a="1"/>
  <c r="AL730" i="1" s="1"/>
  <c r="AL729" i="1" a="1"/>
  <c r="AL729" i="1" s="1"/>
  <c r="AL728" i="1" a="1"/>
  <c r="AL728" i="1" s="1"/>
  <c r="AL727" i="1" a="1"/>
  <c r="AL727" i="1" s="1"/>
  <c r="AL726" i="1" a="1"/>
  <c r="AL726" i="1" s="1"/>
  <c r="AL725" i="1" a="1"/>
  <c r="AL725" i="1" s="1"/>
  <c r="AL724" i="1" a="1"/>
  <c r="AL724" i="1" s="1"/>
  <c r="AL723" i="1" a="1"/>
  <c r="AL723" i="1" s="1"/>
  <c r="AL722" i="1" a="1"/>
  <c r="AL722" i="1" s="1"/>
  <c r="AL721" i="1" a="1"/>
  <c r="AL721" i="1" s="1"/>
  <c r="AL720" i="1" a="1"/>
  <c r="AL720" i="1" s="1"/>
  <c r="AL719" i="1" a="1"/>
  <c r="AL719" i="1" s="1"/>
  <c r="AL718" i="1" a="1"/>
  <c r="AL718" i="1" s="1"/>
  <c r="AL717" i="1" a="1"/>
  <c r="AL717" i="1" s="1"/>
  <c r="AL716" i="1" a="1"/>
  <c r="AL716" i="1" s="1"/>
  <c r="AL715" i="1" a="1"/>
  <c r="AL715" i="1" s="1"/>
  <c r="AL714" i="1" a="1"/>
  <c r="AL714" i="1" s="1"/>
  <c r="AL713" i="1" a="1"/>
  <c r="AL713" i="1" s="1"/>
  <c r="AL712" i="1" a="1"/>
  <c r="AL712" i="1" s="1"/>
  <c r="AL711" i="1" a="1"/>
  <c r="AL711" i="1" s="1"/>
  <c r="AL710" i="1" a="1"/>
  <c r="AL710" i="1" s="1"/>
  <c r="AL709" i="1" a="1"/>
  <c r="AL709" i="1" s="1"/>
  <c r="AL708" i="1" a="1"/>
  <c r="AL708" i="1" s="1"/>
  <c r="AL707" i="1" a="1"/>
  <c r="AL707" i="1" s="1"/>
  <c r="AL706" i="1" a="1"/>
  <c r="AL706" i="1" s="1"/>
  <c r="AL705" i="1" a="1"/>
  <c r="AL705" i="1" s="1"/>
  <c r="AL704" i="1" a="1"/>
  <c r="AL704" i="1" s="1"/>
  <c r="AL703" i="1" a="1"/>
  <c r="AL703" i="1" s="1"/>
  <c r="AL702" i="1" a="1"/>
  <c r="AL702" i="1" s="1"/>
  <c r="AL701" i="1" a="1"/>
  <c r="AL701" i="1" s="1"/>
  <c r="AL700" i="1" a="1"/>
  <c r="AL700" i="1" s="1"/>
  <c r="AL699" i="1" a="1"/>
  <c r="AL699" i="1" s="1"/>
  <c r="AL698" i="1" a="1"/>
  <c r="AL698" i="1" s="1"/>
  <c r="AL697" i="1" a="1"/>
  <c r="AL697" i="1" s="1"/>
  <c r="AL696" i="1" a="1"/>
  <c r="AL696" i="1" s="1"/>
  <c r="AL695" i="1" a="1"/>
  <c r="AL695" i="1" s="1"/>
  <c r="AL694" i="1" a="1"/>
  <c r="AL694" i="1" s="1"/>
  <c r="AL693" i="1" a="1"/>
  <c r="AL693" i="1" s="1"/>
  <c r="AL692" i="1" a="1"/>
  <c r="AL692" i="1" s="1"/>
  <c r="AL691" i="1" a="1"/>
  <c r="AL691" i="1" s="1"/>
  <c r="AL690" i="1" a="1"/>
  <c r="AL690" i="1" s="1"/>
  <c r="AL689" i="1" a="1"/>
  <c r="AL689" i="1" s="1"/>
  <c r="AL688" i="1" a="1"/>
  <c r="AL688" i="1"/>
  <c r="AL687" i="1" a="1"/>
  <c r="AL687" i="1" s="1"/>
  <c r="AL686" i="1" a="1"/>
  <c r="AL686" i="1" s="1"/>
  <c r="AL685" i="1" a="1"/>
  <c r="AL685" i="1" s="1"/>
  <c r="AL684" i="1" a="1"/>
  <c r="AL684" i="1" s="1"/>
  <c r="AL683" i="1" a="1"/>
  <c r="AL683" i="1" s="1"/>
  <c r="AL682" i="1" a="1"/>
  <c r="AL682" i="1" s="1"/>
  <c r="AL681" i="1" a="1"/>
  <c r="AL681" i="1" s="1"/>
  <c r="AL680" i="1" a="1"/>
  <c r="AL680" i="1" s="1"/>
  <c r="AL679" i="1" a="1"/>
  <c r="AL679" i="1" s="1"/>
  <c r="AL678" i="1" a="1"/>
  <c r="AL678" i="1" s="1"/>
  <c r="AL677" i="1" a="1"/>
  <c r="AL677" i="1" s="1"/>
  <c r="AL676" i="1" a="1"/>
  <c r="AL676" i="1" s="1"/>
  <c r="AL675" i="1" a="1"/>
  <c r="AL675" i="1" s="1"/>
  <c r="AL674" i="1" a="1"/>
  <c r="AL674" i="1" s="1"/>
  <c r="AL673" i="1" a="1"/>
  <c r="AL673" i="1" s="1"/>
  <c r="AL672" i="1" a="1"/>
  <c r="AL672" i="1" s="1"/>
  <c r="AL671" i="1" a="1"/>
  <c r="AL671" i="1" s="1"/>
  <c r="AL670" i="1" a="1"/>
  <c r="AL670" i="1" s="1"/>
  <c r="AL669" i="1" a="1"/>
  <c r="AL669" i="1" s="1"/>
  <c r="AL668" i="1" a="1"/>
  <c r="AL668" i="1" s="1"/>
  <c r="AL667" i="1" a="1"/>
  <c r="AL667" i="1" s="1"/>
  <c r="AL666" i="1" a="1"/>
  <c r="AL666" i="1" s="1"/>
  <c r="AL665" i="1" a="1"/>
  <c r="AL665" i="1" s="1"/>
  <c r="AL664" i="1" a="1"/>
  <c r="AL664" i="1" s="1"/>
  <c r="AL663" i="1" a="1"/>
  <c r="AL663" i="1" s="1"/>
  <c r="AL662" i="1" a="1"/>
  <c r="AL662" i="1" s="1"/>
  <c r="AL661" i="1" a="1"/>
  <c r="AL661" i="1" s="1"/>
  <c r="AL660" i="1" a="1"/>
  <c r="AL660" i="1" s="1"/>
  <c r="AL659" i="1" a="1"/>
  <c r="AL659" i="1" s="1"/>
  <c r="AL658" i="1" a="1"/>
  <c r="AL658" i="1" s="1"/>
  <c r="AL657" i="1" a="1"/>
  <c r="AL657" i="1" s="1"/>
  <c r="AL656" i="1" a="1"/>
  <c r="AL656" i="1" s="1"/>
  <c r="AL655" i="1" a="1"/>
  <c r="AL655" i="1" s="1"/>
  <c r="AL654" i="1" a="1"/>
  <c r="AL654" i="1" s="1"/>
  <c r="AL653" i="1" a="1"/>
  <c r="AL653" i="1" s="1"/>
  <c r="AL652" i="1" a="1"/>
  <c r="AL652" i="1" s="1"/>
  <c r="AL651" i="1" a="1"/>
  <c r="AL651" i="1" s="1"/>
  <c r="AL650" i="1" a="1"/>
  <c r="AL650" i="1" s="1"/>
  <c r="AL649" i="1" a="1"/>
  <c r="AL649" i="1" s="1"/>
  <c r="AL648" i="1" a="1"/>
  <c r="AL648" i="1" s="1"/>
  <c r="AL647" i="1" a="1"/>
  <c r="AL647" i="1" s="1"/>
  <c r="AL646" i="1" a="1"/>
  <c r="AL646" i="1" s="1"/>
  <c r="AL645" i="1" a="1"/>
  <c r="AL645" i="1" s="1"/>
  <c r="AL644" i="1" a="1"/>
  <c r="AL644" i="1" s="1"/>
  <c r="AL643" i="1" a="1"/>
  <c r="AL643" i="1" s="1"/>
  <c r="AL642" i="1" a="1"/>
  <c r="AL642" i="1" s="1"/>
  <c r="AL641" i="1" a="1"/>
  <c r="AL641" i="1" s="1"/>
  <c r="AL640" i="1" a="1"/>
  <c r="AL640" i="1" s="1"/>
  <c r="AL639" i="1" a="1"/>
  <c r="AL639" i="1" s="1"/>
  <c r="AL638" i="1" a="1"/>
  <c r="AL638" i="1" s="1"/>
  <c r="AL637" i="1" a="1"/>
  <c r="AL637" i="1" s="1"/>
  <c r="AL636" i="1" a="1"/>
  <c r="AL636" i="1" s="1"/>
  <c r="AL635" i="1" a="1"/>
  <c r="AL635" i="1" s="1"/>
  <c r="AL634" i="1" a="1"/>
  <c r="AL634" i="1" s="1"/>
  <c r="AL633" i="1" a="1"/>
  <c r="AL633" i="1" s="1"/>
  <c r="AL632" i="1" a="1"/>
  <c r="AL632" i="1" s="1"/>
  <c r="AL631" i="1" a="1"/>
  <c r="AL631" i="1" s="1"/>
  <c r="AL630" i="1" a="1"/>
  <c r="AL630" i="1" s="1"/>
  <c r="AL629" i="1" a="1"/>
  <c r="AL629" i="1" s="1"/>
  <c r="AL628" i="1" a="1"/>
  <c r="AL628" i="1" s="1"/>
  <c r="AL627" i="1" a="1"/>
  <c r="AL627" i="1" s="1"/>
  <c r="AL626" i="1" a="1"/>
  <c r="AL626" i="1" s="1"/>
  <c r="AL625" i="1" a="1"/>
  <c r="AL625" i="1" s="1"/>
  <c r="AL624" i="1" a="1"/>
  <c r="AL624" i="1"/>
  <c r="AL623" i="1" a="1"/>
  <c r="AL623" i="1" s="1"/>
  <c r="AL622" i="1" a="1"/>
  <c r="AL622" i="1" s="1"/>
  <c r="AL621" i="1" a="1"/>
  <c r="AL621" i="1" s="1"/>
  <c r="AL620" i="1" a="1"/>
  <c r="AL620" i="1" s="1"/>
  <c r="AL619" i="1" a="1"/>
  <c r="AL619" i="1" s="1"/>
  <c r="AL618" i="1" a="1"/>
  <c r="AL618" i="1" s="1"/>
  <c r="AL617" i="1" a="1"/>
  <c r="AL617" i="1" s="1"/>
  <c r="AL616" i="1" a="1"/>
  <c r="AL616" i="1" s="1"/>
  <c r="AL615" i="1" a="1"/>
  <c r="AL615" i="1" s="1"/>
  <c r="AL614" i="1" a="1"/>
  <c r="AL614" i="1" s="1"/>
  <c r="AL613" i="1" a="1"/>
  <c r="AL613" i="1" s="1"/>
  <c r="AL612" i="1" a="1"/>
  <c r="AL612" i="1" s="1"/>
  <c r="AL611" i="1" a="1"/>
  <c r="AL611" i="1" s="1"/>
  <c r="AL610" i="1" a="1"/>
  <c r="AL610" i="1" s="1"/>
  <c r="AL609" i="1" a="1"/>
  <c r="AL609" i="1" s="1"/>
  <c r="AL608" i="1" a="1"/>
  <c r="AL608" i="1" s="1"/>
  <c r="AL607" i="1" a="1"/>
  <c r="AL607" i="1" s="1"/>
  <c r="AL606" i="1" a="1"/>
  <c r="AL606" i="1" s="1"/>
  <c r="AL605" i="1" a="1"/>
  <c r="AL605" i="1" s="1"/>
  <c r="AL604" i="1" a="1"/>
  <c r="AL604" i="1" s="1"/>
  <c r="AL603" i="1" a="1"/>
  <c r="AL603" i="1" s="1"/>
  <c r="AL602" i="1" a="1"/>
  <c r="AL602" i="1" s="1"/>
  <c r="AL601" i="1" a="1"/>
  <c r="AL601" i="1" s="1"/>
  <c r="AL600" i="1" a="1"/>
  <c r="AL600" i="1" s="1"/>
  <c r="AL599" i="1" a="1"/>
  <c r="AL599" i="1" s="1"/>
  <c r="AL598" i="1" a="1"/>
  <c r="AL598" i="1" s="1"/>
  <c r="AL597" i="1" a="1"/>
  <c r="AL597" i="1" s="1"/>
  <c r="AL596" i="1" a="1"/>
  <c r="AL596" i="1" s="1"/>
  <c r="AL595" i="1" a="1"/>
  <c r="AL595" i="1" s="1"/>
  <c r="AL594" i="1" a="1"/>
  <c r="AL594" i="1" s="1"/>
  <c r="AL593" i="1" a="1"/>
  <c r="AL593" i="1" s="1"/>
  <c r="AL592" i="1" a="1"/>
  <c r="AL592" i="1" s="1"/>
  <c r="AL591" i="1" a="1"/>
  <c r="AL591" i="1" s="1"/>
  <c r="AL590" i="1" a="1"/>
  <c r="AL590" i="1" s="1"/>
  <c r="AL589" i="1" a="1"/>
  <c r="AL589" i="1" s="1"/>
  <c r="AL588" i="1" a="1"/>
  <c r="AL588" i="1" s="1"/>
  <c r="AL587" i="1" a="1"/>
  <c r="AL587" i="1" s="1"/>
  <c r="AL586" i="1" a="1"/>
  <c r="AL586" i="1" s="1"/>
  <c r="AL585" i="1" a="1"/>
  <c r="AL585" i="1" s="1"/>
  <c r="AL584" i="1" a="1"/>
  <c r="AL584" i="1" s="1"/>
  <c r="AL583" i="1" a="1"/>
  <c r="AL583" i="1" s="1"/>
  <c r="AL582" i="1" a="1"/>
  <c r="AL582" i="1" s="1"/>
  <c r="AL581" i="1" a="1"/>
  <c r="AL581" i="1" s="1"/>
  <c r="AL580" i="1" a="1"/>
  <c r="AL580" i="1" s="1"/>
  <c r="AL579" i="1" a="1"/>
  <c r="AL579" i="1" s="1"/>
  <c r="AL578" i="1" a="1"/>
  <c r="AL578" i="1" s="1"/>
  <c r="AL577" i="1" a="1"/>
  <c r="AL577" i="1" s="1"/>
  <c r="AL576" i="1" a="1"/>
  <c r="AL576" i="1" s="1"/>
  <c r="AL575" i="1" a="1"/>
  <c r="AL575" i="1" s="1"/>
  <c r="AL574" i="1" a="1"/>
  <c r="AL574" i="1" s="1"/>
  <c r="AL573" i="1" a="1"/>
  <c r="AL573" i="1" s="1"/>
  <c r="AL572" i="1" a="1"/>
  <c r="AL572" i="1" s="1"/>
  <c r="AL571" i="1" a="1"/>
  <c r="AL571" i="1" s="1"/>
  <c r="AL570" i="1" a="1"/>
  <c r="AL570" i="1" s="1"/>
  <c r="AL569" i="1" a="1"/>
  <c r="AL569" i="1" s="1"/>
  <c r="AL568" i="1" a="1"/>
  <c r="AL568" i="1" s="1"/>
  <c r="AL567" i="1" a="1"/>
  <c r="AL567" i="1" s="1"/>
  <c r="AL566" i="1" a="1"/>
  <c r="AL566" i="1" s="1"/>
  <c r="AL565" i="1" a="1"/>
  <c r="AL565" i="1" s="1"/>
  <c r="AL564" i="1" a="1"/>
  <c r="AL564" i="1" s="1"/>
  <c r="AL563" i="1" a="1"/>
  <c r="AL563" i="1" s="1"/>
  <c r="AL562" i="1" a="1"/>
  <c r="AL562" i="1" s="1"/>
  <c r="AL561" i="1" a="1"/>
  <c r="AL561" i="1" s="1"/>
  <c r="AL560" i="1" a="1"/>
  <c r="AL560" i="1" s="1"/>
  <c r="AL559" i="1" a="1"/>
  <c r="AL559" i="1" s="1"/>
  <c r="AL558" i="1" a="1"/>
  <c r="AL558" i="1" s="1"/>
  <c r="AL557" i="1" a="1"/>
  <c r="AL557" i="1" s="1"/>
  <c r="AL556" i="1" a="1"/>
  <c r="AL556" i="1" s="1"/>
  <c r="AL555" i="1" a="1"/>
  <c r="AL555" i="1" s="1"/>
  <c r="AL554" i="1" a="1"/>
  <c r="AL554" i="1" s="1"/>
  <c r="AL553" i="1" a="1"/>
  <c r="AL553" i="1" s="1"/>
  <c r="AL552" i="1" a="1"/>
  <c r="AL552" i="1" s="1"/>
  <c r="AL551" i="1" a="1"/>
  <c r="AL551" i="1" s="1"/>
  <c r="AL550" i="1" a="1"/>
  <c r="AL550" i="1" s="1"/>
  <c r="AL549" i="1" a="1"/>
  <c r="AL549" i="1" s="1"/>
  <c r="AL548" i="1" a="1"/>
  <c r="AL548" i="1" s="1"/>
  <c r="AL547" i="1" a="1"/>
  <c r="AL547" i="1" s="1"/>
  <c r="AL546" i="1" a="1"/>
  <c r="AL546" i="1" s="1"/>
  <c r="AL545" i="1" a="1"/>
  <c r="AL545" i="1" s="1"/>
  <c r="AL544" i="1" a="1"/>
  <c r="AL544" i="1" s="1"/>
  <c r="AL543" i="1" a="1"/>
  <c r="AL543" i="1" s="1"/>
  <c r="AL542" i="1" a="1"/>
  <c r="AL542" i="1" s="1"/>
  <c r="AL541" i="1" a="1"/>
  <c r="AL541" i="1" s="1"/>
  <c r="AL540" i="1" a="1"/>
  <c r="AL540" i="1" s="1"/>
  <c r="AL539" i="1" a="1"/>
  <c r="AL539" i="1" s="1"/>
  <c r="AL538" i="1" a="1"/>
  <c r="AL538" i="1" s="1"/>
  <c r="AL537" i="1" a="1"/>
  <c r="AL537" i="1" s="1"/>
  <c r="AL536" i="1" a="1"/>
  <c r="AL536" i="1" s="1"/>
  <c r="AL535" i="1" a="1"/>
  <c r="AL535" i="1" s="1"/>
  <c r="AL534" i="1" a="1"/>
  <c r="AL534" i="1" s="1"/>
  <c r="AL533" i="1" a="1"/>
  <c r="AL533" i="1" s="1"/>
  <c r="AL532" i="1" a="1"/>
  <c r="AL532" i="1" s="1"/>
  <c r="AL531" i="1" a="1"/>
  <c r="AL531" i="1" s="1"/>
  <c r="AL530" i="1" a="1"/>
  <c r="AL530" i="1" s="1"/>
  <c r="AL529" i="1" a="1"/>
  <c r="AL529" i="1" s="1"/>
  <c r="AL528" i="1" a="1"/>
  <c r="AL528" i="1" s="1"/>
  <c r="AL527" i="1" a="1"/>
  <c r="AL527" i="1" s="1"/>
  <c r="AL526" i="1" a="1"/>
  <c r="AL526" i="1" s="1"/>
  <c r="AL525" i="1" a="1"/>
  <c r="AL525" i="1" s="1"/>
  <c r="AL524" i="1" a="1"/>
  <c r="AL524" i="1" s="1"/>
  <c r="AL523" i="1" a="1"/>
  <c r="AL523" i="1" s="1"/>
  <c r="AL522" i="1" a="1"/>
  <c r="AL522" i="1" s="1"/>
  <c r="AL521" i="1" a="1"/>
  <c r="AL521" i="1" s="1"/>
  <c r="AL520" i="1" a="1"/>
  <c r="AL520" i="1" s="1"/>
  <c r="AL519" i="1" a="1"/>
  <c r="AL519" i="1" s="1"/>
  <c r="AL518" i="1" a="1"/>
  <c r="AL518" i="1" s="1"/>
  <c r="AL517" i="1" a="1"/>
  <c r="AL517" i="1" s="1"/>
  <c r="AL516" i="1" a="1"/>
  <c r="AL516" i="1" s="1"/>
  <c r="AL515" i="1" a="1"/>
  <c r="AL515" i="1" s="1"/>
  <c r="AL514" i="1" a="1"/>
  <c r="AL514" i="1" s="1"/>
  <c r="AL513" i="1" a="1"/>
  <c r="AL513" i="1" s="1"/>
  <c r="AL512" i="1" a="1"/>
  <c r="AL512" i="1" s="1"/>
  <c r="AL511" i="1" a="1"/>
  <c r="AL511" i="1" s="1"/>
  <c r="AL510" i="1" a="1"/>
  <c r="AL510" i="1" s="1"/>
  <c r="AL509" i="1" a="1"/>
  <c r="AL509" i="1" s="1"/>
  <c r="AL508" i="1" a="1"/>
  <c r="AL508" i="1" s="1"/>
  <c r="AL507" i="1" a="1"/>
  <c r="AL507" i="1" s="1"/>
  <c r="AL506" i="1" a="1"/>
  <c r="AL506" i="1" s="1"/>
  <c r="AL505" i="1" a="1"/>
  <c r="AL505" i="1" s="1"/>
  <c r="AL504" i="1" a="1"/>
  <c r="AL504" i="1" s="1"/>
  <c r="AL503" i="1" a="1"/>
  <c r="AL503" i="1" s="1"/>
  <c r="AL502" i="1" a="1"/>
  <c r="AL502" i="1" s="1"/>
  <c r="AL501" i="1" a="1"/>
  <c r="AL501" i="1" s="1"/>
  <c r="AL500" i="1" a="1"/>
  <c r="AL500" i="1" s="1"/>
  <c r="AL499" i="1" a="1"/>
  <c r="AL499" i="1" s="1"/>
  <c r="AL498" i="1" a="1"/>
  <c r="AL498" i="1" s="1"/>
  <c r="AL497" i="1" a="1"/>
  <c r="AL497" i="1" s="1"/>
  <c r="AL496" i="1" a="1"/>
  <c r="AL496" i="1" s="1"/>
  <c r="AL495" i="1" a="1"/>
  <c r="AL495" i="1" s="1"/>
  <c r="AL494" i="1" a="1"/>
  <c r="AL494" i="1" s="1"/>
  <c r="AL493" i="1" a="1"/>
  <c r="AL493" i="1" s="1"/>
  <c r="AL492" i="1" a="1"/>
  <c r="AL492" i="1" s="1"/>
  <c r="AL491" i="1" a="1"/>
  <c r="AL491" i="1" s="1"/>
  <c r="AL490" i="1" a="1"/>
  <c r="AL490" i="1" s="1"/>
  <c r="AL489" i="1" a="1"/>
  <c r="AL489" i="1" s="1"/>
  <c r="AL488" i="1" a="1"/>
  <c r="AL488" i="1" s="1"/>
  <c r="AL487" i="1" a="1"/>
  <c r="AL487" i="1" s="1"/>
  <c r="AL486" i="1" a="1"/>
  <c r="AL486" i="1" s="1"/>
  <c r="AL485" i="1" a="1"/>
  <c r="AL485" i="1" s="1"/>
  <c r="AL484" i="1" a="1"/>
  <c r="AL484" i="1" s="1"/>
  <c r="AL483" i="1" a="1"/>
  <c r="AL483" i="1" s="1"/>
  <c r="AL482" i="1" a="1"/>
  <c r="AL482" i="1" s="1"/>
  <c r="AL481" i="1" a="1"/>
  <c r="AL481" i="1" s="1"/>
  <c r="AL480" i="1" a="1"/>
  <c r="AL480" i="1" s="1"/>
  <c r="AL479" i="1" a="1"/>
  <c r="AL479" i="1" s="1"/>
  <c r="AL478" i="1" a="1"/>
  <c r="AL478" i="1" s="1"/>
  <c r="AL477" i="1" a="1"/>
  <c r="AL477" i="1" s="1"/>
  <c r="AL476" i="1" a="1"/>
  <c r="AL476" i="1" s="1"/>
  <c r="AL475" i="1" a="1"/>
  <c r="AL475" i="1" s="1"/>
  <c r="AL474" i="1" a="1"/>
  <c r="AL474" i="1" s="1"/>
  <c r="AL473" i="1" a="1"/>
  <c r="AL473" i="1" s="1"/>
  <c r="AL472" i="1" a="1"/>
  <c r="AL472" i="1" s="1"/>
  <c r="AL471" i="1" a="1"/>
  <c r="AL471" i="1" s="1"/>
  <c r="AL470" i="1" a="1"/>
  <c r="AL470" i="1" s="1"/>
  <c r="AL469" i="1" a="1"/>
  <c r="AL469" i="1" s="1"/>
  <c r="AL468" i="1" a="1"/>
  <c r="AL468" i="1" s="1"/>
  <c r="AL467" i="1" a="1"/>
  <c r="AL467" i="1" s="1"/>
  <c r="AL466" i="1" a="1"/>
  <c r="AL466" i="1" s="1"/>
  <c r="AL465" i="1" a="1"/>
  <c r="AL465" i="1" s="1"/>
  <c r="AL464" i="1" a="1"/>
  <c r="AL464" i="1" s="1"/>
  <c r="AL463" i="1" a="1"/>
  <c r="AL463" i="1" s="1"/>
  <c r="AL462" i="1" a="1"/>
  <c r="AL462" i="1" s="1"/>
  <c r="AL461" i="1" a="1"/>
  <c r="AL461" i="1" s="1"/>
  <c r="AL460" i="1" a="1"/>
  <c r="AL460" i="1" s="1"/>
  <c r="AL459" i="1" a="1"/>
  <c r="AL459" i="1" s="1"/>
  <c r="AL458" i="1" a="1"/>
  <c r="AL458" i="1" s="1"/>
  <c r="AL457" i="1" a="1"/>
  <c r="AL457" i="1" s="1"/>
  <c r="AL456" i="1" a="1"/>
  <c r="AL456" i="1" s="1"/>
  <c r="AL455" i="1" a="1"/>
  <c r="AL455" i="1" s="1"/>
  <c r="AL454" i="1" a="1"/>
  <c r="AL454" i="1" s="1"/>
  <c r="AL453" i="1" a="1"/>
  <c r="AL453" i="1" s="1"/>
  <c r="AL452" i="1" a="1"/>
  <c r="AL452" i="1" s="1"/>
  <c r="AL451" i="1" a="1"/>
  <c r="AL451" i="1" s="1"/>
  <c r="AL450" i="1" a="1"/>
  <c r="AL450" i="1" s="1"/>
  <c r="AL449" i="1" a="1"/>
  <c r="AL449" i="1" s="1"/>
  <c r="AL448" i="1" a="1"/>
  <c r="AL448" i="1" s="1"/>
  <c r="AL447" i="1" a="1"/>
  <c r="AL447" i="1" s="1"/>
  <c r="AL446" i="1" a="1"/>
  <c r="AL446" i="1" s="1"/>
  <c r="AL445" i="1" a="1"/>
  <c r="AL445" i="1" s="1"/>
  <c r="AL444" i="1" a="1"/>
  <c r="AL444" i="1" s="1"/>
  <c r="AL443" i="1" a="1"/>
  <c r="AL443" i="1" s="1"/>
  <c r="AL442" i="1" a="1"/>
  <c r="AL442" i="1" s="1"/>
  <c r="AL441" i="1" a="1"/>
  <c r="AL441" i="1" s="1"/>
  <c r="AL440" i="1" a="1"/>
  <c r="AL440" i="1" s="1"/>
  <c r="AL439" i="1" a="1"/>
  <c r="AL439" i="1" s="1"/>
  <c r="AL438" i="1" a="1"/>
  <c r="AL438" i="1" s="1"/>
  <c r="AL437" i="1" a="1"/>
  <c r="AL437" i="1" s="1"/>
  <c r="AL436" i="1" a="1"/>
  <c r="AL436" i="1" s="1"/>
  <c r="AM506" i="1"/>
  <c r="J152" i="1"/>
  <c r="J183" i="1"/>
  <c r="H259" i="1"/>
  <c r="G267" i="1"/>
  <c r="J216" i="1" l="1"/>
  <c r="J434" i="1" l="1"/>
  <c r="J177" i="1"/>
  <c r="I467" i="1" l="1"/>
  <c r="J191" i="1"/>
  <c r="J341" i="1"/>
  <c r="D136" i="5"/>
  <c r="D126" i="5"/>
  <c r="G464" i="1"/>
  <c r="I466" i="1"/>
  <c r="I464" i="1"/>
  <c r="G466" i="1"/>
  <c r="J450" i="1"/>
  <c r="AM501" i="1"/>
  <c r="AM502" i="1"/>
  <c r="AM503" i="1"/>
  <c r="AM504" i="1"/>
  <c r="AM505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E501" i="1"/>
  <c r="E502" i="1"/>
  <c r="E503" i="1"/>
  <c r="E504" i="1"/>
  <c r="E505" i="1"/>
  <c r="E506" i="1"/>
  <c r="B500" i="1"/>
  <c r="C500" i="1"/>
  <c r="K259" i="1"/>
  <c r="AM407" i="1"/>
  <c r="AM408" i="1"/>
  <c r="AM409" i="1"/>
  <c r="AM410" i="1"/>
  <c r="AM411" i="1"/>
  <c r="AM412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D121" i="5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Q22" i="6" a="1"/>
  <c r="Q22" i="6" s="1"/>
  <c r="Q21" i="6" a="1"/>
  <c r="Q21" i="6" s="1"/>
  <c r="D27" i="9"/>
  <c r="D23" i="9"/>
  <c r="D6" i="5"/>
  <c r="D100" i="5"/>
  <c r="D99" i="5"/>
  <c r="D98" i="5"/>
  <c r="D96" i="5"/>
  <c r="D97" i="5"/>
  <c r="D95" i="5"/>
  <c r="D94" i="5"/>
  <c r="D93" i="5"/>
  <c r="D92" i="5"/>
  <c r="D91" i="5"/>
  <c r="D90" i="5"/>
  <c r="D89" i="5"/>
  <c r="D88" i="5"/>
  <c r="D86" i="5"/>
  <c r="D87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48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38" i="5"/>
  <c r="D137" i="5"/>
  <c r="D135" i="5"/>
  <c r="D134" i="5"/>
  <c r="D133" i="5"/>
  <c r="D132" i="5"/>
  <c r="D131" i="5"/>
  <c r="D130" i="5"/>
  <c r="D129" i="5"/>
  <c r="D128" i="5"/>
  <c r="D127" i="5"/>
  <c r="D125" i="5"/>
  <c r="D124" i="5"/>
  <c r="D123" i="5"/>
  <c r="D122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4" i="5"/>
  <c r="D105" i="5"/>
  <c r="D102" i="5"/>
  <c r="D103" i="5"/>
  <c r="D101" i="5"/>
  <c r="D4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5" i="5"/>
  <c r="M50" i="4" a="1"/>
  <c r="M50" i="4" s="1"/>
  <c r="M49" i="4" a="1"/>
  <c r="M49" i="4" s="1"/>
  <c r="M48" i="4" a="1"/>
  <c r="M48" i="4" s="1"/>
  <c r="M47" i="4" a="1"/>
  <c r="M47" i="4" s="1"/>
  <c r="M46" i="4" a="1"/>
  <c r="M46" i="4" s="1"/>
  <c r="M45" i="4" a="1"/>
  <c r="M45" i="4" s="1"/>
  <c r="M44" i="4" a="1"/>
  <c r="M44" i="4" s="1"/>
  <c r="M43" i="4" a="1"/>
  <c r="M43" i="4" s="1"/>
  <c r="M42" i="4" a="1"/>
  <c r="M42" i="4" s="1"/>
  <c r="M41" i="4" a="1"/>
  <c r="M41" i="4" s="1"/>
  <c r="M40" i="4" a="1"/>
  <c r="M40" i="4" s="1"/>
  <c r="M39" i="4" a="1"/>
  <c r="M39" i="4" s="1"/>
  <c r="M38" i="4" a="1"/>
  <c r="M38" i="4" s="1"/>
  <c r="M37" i="4" a="1"/>
  <c r="M37" i="4" s="1"/>
  <c r="M36" i="4" a="1"/>
  <c r="M36" i="4" s="1"/>
  <c r="M35" i="4" a="1"/>
  <c r="M35" i="4" s="1"/>
  <c r="M34" i="4" a="1"/>
  <c r="M34" i="4" s="1"/>
  <c r="M33" i="4" a="1"/>
  <c r="M33" i="4" s="1"/>
  <c r="M32" i="4" a="1"/>
  <c r="M32" i="4" s="1"/>
  <c r="M31" i="4" a="1"/>
  <c r="M31" i="4" s="1"/>
  <c r="N3" i="1"/>
  <c r="AI3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489" i="1"/>
  <c r="B489" i="1"/>
  <c r="E489" i="1" s="1"/>
  <c r="C488" i="1"/>
  <c r="B488" i="1"/>
  <c r="E488" i="1" s="1"/>
  <c r="C487" i="1"/>
  <c r="B487" i="1"/>
  <c r="E487" i="1" s="1"/>
  <c r="C486" i="1"/>
  <c r="B486" i="1"/>
  <c r="E486" i="1" s="1"/>
  <c r="C485" i="1"/>
  <c r="B485" i="1"/>
  <c r="E485" i="1" s="1"/>
  <c r="C484" i="1"/>
  <c r="B484" i="1"/>
  <c r="E484" i="1" s="1"/>
  <c r="C483" i="1"/>
  <c r="B483" i="1"/>
  <c r="E483" i="1" s="1"/>
  <c r="C482" i="1"/>
  <c r="B482" i="1"/>
  <c r="E482" i="1" s="1"/>
  <c r="C481" i="1"/>
  <c r="B481" i="1"/>
  <c r="E481" i="1" s="1"/>
  <c r="C480" i="1"/>
  <c r="B480" i="1"/>
  <c r="E480" i="1" s="1"/>
  <c r="C479" i="1"/>
  <c r="B479" i="1"/>
  <c r="E479" i="1" s="1"/>
  <c r="C478" i="1"/>
  <c r="B478" i="1"/>
  <c r="E478" i="1" s="1"/>
  <c r="C477" i="1"/>
  <c r="B477" i="1"/>
  <c r="E477" i="1" s="1"/>
  <c r="C476" i="1"/>
  <c r="B476" i="1"/>
  <c r="E476" i="1" s="1"/>
  <c r="C475" i="1"/>
  <c r="B475" i="1"/>
  <c r="E475" i="1"/>
  <c r="C474" i="1"/>
  <c r="B474" i="1"/>
  <c r="E474" i="1"/>
  <c r="C473" i="1"/>
  <c r="B473" i="1"/>
  <c r="E473" i="1"/>
  <c r="C472" i="1"/>
  <c r="B472" i="1"/>
  <c r="E472" i="1"/>
  <c r="C471" i="1"/>
  <c r="B471" i="1"/>
  <c r="E471" i="1"/>
  <c r="C470" i="1"/>
  <c r="B470" i="1"/>
  <c r="E470" i="1"/>
  <c r="C469" i="1"/>
  <c r="B469" i="1"/>
  <c r="E469" i="1"/>
  <c r="C468" i="1"/>
  <c r="B468" i="1"/>
  <c r="E468" i="1"/>
  <c r="C467" i="1"/>
  <c r="B467" i="1"/>
  <c r="E467" i="1"/>
  <c r="C466" i="1"/>
  <c r="B466" i="1"/>
  <c r="E466" i="1"/>
  <c r="C465" i="1"/>
  <c r="B465" i="1"/>
  <c r="E465" i="1"/>
  <c r="C464" i="1"/>
  <c r="B464" i="1"/>
  <c r="E464" i="1"/>
  <c r="C463" i="1"/>
  <c r="B463" i="1"/>
  <c r="E463" i="1"/>
  <c r="C462" i="1"/>
  <c r="B462" i="1"/>
  <c r="E462" i="1"/>
  <c r="C461" i="1"/>
  <c r="B461" i="1"/>
  <c r="E461" i="1"/>
  <c r="C460" i="1"/>
  <c r="B460" i="1"/>
  <c r="E460" i="1"/>
  <c r="C459" i="1"/>
  <c r="B459" i="1"/>
  <c r="E459" i="1"/>
  <c r="C458" i="1"/>
  <c r="B458" i="1"/>
  <c r="E458" i="1"/>
  <c r="C457" i="1"/>
  <c r="B457" i="1"/>
  <c r="E457" i="1"/>
  <c r="C456" i="1"/>
  <c r="B456" i="1"/>
  <c r="E456" i="1"/>
  <c r="C455" i="1"/>
  <c r="B455" i="1"/>
  <c r="E455" i="1"/>
  <c r="C454" i="1"/>
  <c r="B454" i="1"/>
  <c r="E454" i="1"/>
  <c r="C453" i="1"/>
  <c r="B453" i="1"/>
  <c r="E453" i="1"/>
  <c r="C452" i="1"/>
  <c r="B452" i="1"/>
  <c r="E452" i="1"/>
  <c r="C451" i="1"/>
  <c r="B451" i="1"/>
  <c r="E451" i="1"/>
  <c r="C450" i="1"/>
  <c r="B450" i="1"/>
  <c r="E450" i="1"/>
  <c r="C449" i="1"/>
  <c r="B449" i="1"/>
  <c r="E449" i="1"/>
  <c r="C448" i="1"/>
  <c r="B448" i="1"/>
  <c r="E448" i="1"/>
  <c r="C447" i="1"/>
  <c r="B447" i="1"/>
  <c r="E447" i="1"/>
  <c r="C446" i="1"/>
  <c r="B446" i="1"/>
  <c r="E446" i="1"/>
  <c r="C445" i="1"/>
  <c r="B445" i="1"/>
  <c r="E445" i="1"/>
  <c r="C444" i="1"/>
  <c r="B444" i="1"/>
  <c r="E444" i="1"/>
  <c r="C443" i="1"/>
  <c r="B443" i="1"/>
  <c r="E443" i="1"/>
  <c r="C442" i="1"/>
  <c r="B442" i="1"/>
  <c r="E442" i="1"/>
  <c r="C441" i="1"/>
  <c r="B441" i="1"/>
  <c r="E441" i="1"/>
  <c r="C440" i="1"/>
  <c r="B440" i="1"/>
  <c r="E440" i="1"/>
  <c r="C439" i="1"/>
  <c r="B439" i="1"/>
  <c r="E439" i="1"/>
  <c r="C438" i="1"/>
  <c r="B438" i="1"/>
  <c r="E438" i="1"/>
  <c r="C437" i="1"/>
  <c r="B437" i="1"/>
  <c r="E437" i="1"/>
  <c r="B436" i="1"/>
  <c r="C436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O6" i="4" s="1" a="1"/>
  <c r="O6" i="4" s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D6" i="4" s="1" a="1"/>
  <c r="D6" i="4" s="1"/>
  <c r="B31" i="1"/>
  <c r="C6" i="4" s="1" a="1"/>
  <c r="E27" i="4" s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AL435" i="1" a="1"/>
  <c r="AL435" i="1" s="1"/>
  <c r="AL434" i="1" a="1"/>
  <c r="AL434" i="1" s="1"/>
  <c r="AL433" i="1" a="1"/>
  <c r="AL433" i="1" s="1"/>
  <c r="AL432" i="1" a="1"/>
  <c r="AL432" i="1" s="1"/>
  <c r="AL431" i="1" a="1"/>
  <c r="AL431" i="1" s="1"/>
  <c r="AL430" i="1" a="1"/>
  <c r="AL430" i="1" s="1"/>
  <c r="AL429" i="1" a="1"/>
  <c r="AL429" i="1" s="1"/>
  <c r="AL428" i="1" a="1"/>
  <c r="AL428" i="1" s="1"/>
  <c r="AL427" i="1" a="1"/>
  <c r="AL427" i="1" s="1"/>
  <c r="AL426" i="1" a="1"/>
  <c r="AL426" i="1" s="1"/>
  <c r="AL425" i="1" a="1"/>
  <c r="AL425" i="1" s="1"/>
  <c r="AL424" i="1" a="1"/>
  <c r="AL424" i="1" s="1"/>
  <c r="AL423" i="1" a="1"/>
  <c r="AL423" i="1" s="1"/>
  <c r="AL422" i="1" a="1"/>
  <c r="AL422" i="1" s="1"/>
  <c r="AL421" i="1" a="1"/>
  <c r="AL421" i="1" s="1"/>
  <c r="AL420" i="1" a="1"/>
  <c r="AL420" i="1" s="1"/>
  <c r="AL419" i="1" a="1"/>
  <c r="AL419" i="1" s="1"/>
  <c r="AL418" i="1" a="1"/>
  <c r="AL418" i="1" s="1"/>
  <c r="AL417" i="1" a="1"/>
  <c r="AL417" i="1" s="1"/>
  <c r="AL416" i="1" a="1"/>
  <c r="AL416" i="1" s="1"/>
  <c r="AL415" i="1" a="1"/>
  <c r="AL415" i="1" s="1"/>
  <c r="AL414" i="1" a="1"/>
  <c r="AL414" i="1" s="1"/>
  <c r="AL413" i="1" a="1"/>
  <c r="AL413" i="1" s="1"/>
  <c r="AL412" i="1" a="1"/>
  <c r="AL412" i="1" s="1"/>
  <c r="AL411" i="1" a="1"/>
  <c r="AL411" i="1" s="1"/>
  <c r="AL410" i="1" a="1"/>
  <c r="AL410" i="1" s="1"/>
  <c r="AL409" i="1" a="1"/>
  <c r="AL409" i="1" s="1"/>
  <c r="AL408" i="1" a="1"/>
  <c r="AL408" i="1" s="1"/>
  <c r="AL407" i="1" a="1"/>
  <c r="AL407" i="1" s="1"/>
  <c r="AL406" i="1" a="1"/>
  <c r="AL406" i="1" s="1"/>
  <c r="AL405" i="1" a="1"/>
  <c r="AL405" i="1" s="1"/>
  <c r="AL404" i="1" a="1"/>
  <c r="AL404" i="1" s="1"/>
  <c r="AL403" i="1" a="1"/>
  <c r="AL403" i="1" s="1"/>
  <c r="AL402" i="1" a="1"/>
  <c r="AL402" i="1" s="1"/>
  <c r="AL401" i="1" a="1"/>
  <c r="AL401" i="1" s="1"/>
  <c r="AL400" i="1" a="1"/>
  <c r="AL400" i="1" s="1"/>
  <c r="AL399" i="1" a="1"/>
  <c r="AL399" i="1" s="1"/>
  <c r="AL398" i="1" a="1"/>
  <c r="AL398" i="1" s="1"/>
  <c r="AL397" i="1" a="1"/>
  <c r="AL397" i="1" s="1"/>
  <c r="AL396" i="1" a="1"/>
  <c r="AL396" i="1" s="1"/>
  <c r="AL395" i="1" a="1"/>
  <c r="AL395" i="1" s="1"/>
  <c r="AL394" i="1" a="1"/>
  <c r="AL394" i="1" s="1"/>
  <c r="AL393" i="1" a="1"/>
  <c r="AL393" i="1" s="1"/>
  <c r="AL392" i="1" a="1"/>
  <c r="AL392" i="1" s="1"/>
  <c r="AL391" i="1" a="1"/>
  <c r="AL391" i="1" s="1"/>
  <c r="AL390" i="1" a="1"/>
  <c r="AL390" i="1" s="1"/>
  <c r="AL389" i="1" a="1"/>
  <c r="AL389" i="1" s="1"/>
  <c r="AL388" i="1" a="1"/>
  <c r="AL388" i="1" s="1"/>
  <c r="AL387" i="1" a="1"/>
  <c r="AL387" i="1" s="1"/>
  <c r="AL386" i="1" a="1"/>
  <c r="AL386" i="1" s="1"/>
  <c r="AL385" i="1" a="1"/>
  <c r="AL385" i="1" s="1"/>
  <c r="AL384" i="1" a="1"/>
  <c r="AL384" i="1" s="1"/>
  <c r="AL383" i="1" a="1"/>
  <c r="AL383" i="1" s="1"/>
  <c r="AL382" i="1" a="1"/>
  <c r="AL382" i="1" s="1"/>
  <c r="AL381" i="1" a="1"/>
  <c r="AL381" i="1" s="1"/>
  <c r="AL380" i="1" a="1"/>
  <c r="AL380" i="1" s="1"/>
  <c r="AL379" i="1" a="1"/>
  <c r="AL379" i="1" s="1"/>
  <c r="AL378" i="1" a="1"/>
  <c r="AL378" i="1" s="1"/>
  <c r="AL377" i="1" a="1"/>
  <c r="AL377" i="1" s="1"/>
  <c r="AL376" i="1" a="1"/>
  <c r="AL376" i="1" s="1"/>
  <c r="AL375" i="1" a="1"/>
  <c r="AL375" i="1" s="1"/>
  <c r="AL374" i="1" a="1"/>
  <c r="AL374" i="1" s="1"/>
  <c r="AL373" i="1" a="1"/>
  <c r="AL373" i="1" s="1"/>
  <c r="AL372" i="1" a="1"/>
  <c r="AL372" i="1" s="1"/>
  <c r="AL371" i="1" a="1"/>
  <c r="AL371" i="1" s="1"/>
  <c r="AL370" i="1" a="1"/>
  <c r="AL370" i="1" s="1"/>
  <c r="AL369" i="1" a="1"/>
  <c r="AL369" i="1" s="1"/>
  <c r="AL368" i="1" a="1"/>
  <c r="AL368" i="1" s="1"/>
  <c r="AL367" i="1" a="1"/>
  <c r="AL367" i="1" s="1"/>
  <c r="AL366" i="1" a="1"/>
  <c r="AL366" i="1" s="1"/>
  <c r="AL365" i="1" a="1"/>
  <c r="AL365" i="1" s="1"/>
  <c r="AL364" i="1" a="1"/>
  <c r="AL364" i="1" s="1"/>
  <c r="AL363" i="1" a="1"/>
  <c r="AL363" i="1" s="1"/>
  <c r="AL362" i="1" a="1"/>
  <c r="AL362" i="1" s="1"/>
  <c r="AL361" i="1" a="1"/>
  <c r="AL361" i="1" s="1"/>
  <c r="AL360" i="1" a="1"/>
  <c r="AL360" i="1" s="1"/>
  <c r="AL359" i="1" a="1"/>
  <c r="AL359" i="1" s="1"/>
  <c r="AL358" i="1" a="1"/>
  <c r="AL358" i="1" s="1"/>
  <c r="AL357" i="1" a="1"/>
  <c r="AL357" i="1" s="1"/>
  <c r="AL356" i="1" a="1"/>
  <c r="AL356" i="1" s="1"/>
  <c r="AL355" i="1" a="1"/>
  <c r="AL355" i="1" s="1"/>
  <c r="AL354" i="1" a="1"/>
  <c r="AL354" i="1" s="1"/>
  <c r="AL353" i="1" a="1"/>
  <c r="AL353" i="1" s="1"/>
  <c r="AL352" i="1" a="1"/>
  <c r="AL352" i="1" s="1"/>
  <c r="AL351" i="1" a="1"/>
  <c r="AL351" i="1" s="1"/>
  <c r="AL350" i="1" a="1"/>
  <c r="AL350" i="1" s="1"/>
  <c r="AL349" i="1" a="1"/>
  <c r="AL349" i="1" s="1"/>
  <c r="AL348" i="1" a="1"/>
  <c r="AL348" i="1" s="1"/>
  <c r="AL347" i="1" a="1"/>
  <c r="AL347" i="1" s="1"/>
  <c r="AL346" i="1" a="1"/>
  <c r="AL346" i="1" s="1"/>
  <c r="AL345" i="1" a="1"/>
  <c r="AL345" i="1" s="1"/>
  <c r="AL344" i="1" a="1"/>
  <c r="AL344" i="1" s="1"/>
  <c r="AL343" i="1" a="1"/>
  <c r="AL343" i="1" s="1"/>
  <c r="AL342" i="1" a="1"/>
  <c r="AL342" i="1" s="1"/>
  <c r="AL341" i="1" a="1"/>
  <c r="AL341" i="1" s="1"/>
  <c r="AL340" i="1" a="1"/>
  <c r="AL340" i="1" s="1"/>
  <c r="AL339" i="1" a="1"/>
  <c r="AL339" i="1" s="1"/>
  <c r="AL338" i="1" a="1"/>
  <c r="AL338" i="1" s="1"/>
  <c r="AL337" i="1" a="1"/>
  <c r="AL337" i="1" s="1"/>
  <c r="AL336" i="1" a="1"/>
  <c r="AL336" i="1" s="1"/>
  <c r="AL335" i="1" a="1"/>
  <c r="AL335" i="1" s="1"/>
  <c r="AL334" i="1" a="1"/>
  <c r="AL334" i="1" s="1"/>
  <c r="AL333" i="1" a="1"/>
  <c r="AL333" i="1" s="1"/>
  <c r="AL332" i="1" a="1"/>
  <c r="AL332" i="1" s="1"/>
  <c r="AL331" i="1" a="1"/>
  <c r="AL331" i="1" s="1"/>
  <c r="AL330" i="1" a="1"/>
  <c r="AL330" i="1" s="1"/>
  <c r="AL329" i="1" a="1"/>
  <c r="AL329" i="1" s="1"/>
  <c r="AL328" i="1" a="1"/>
  <c r="AL328" i="1" s="1"/>
  <c r="AL327" i="1" a="1"/>
  <c r="AL327" i="1" s="1"/>
  <c r="AL326" i="1" a="1"/>
  <c r="AL326" i="1" s="1"/>
  <c r="AL325" i="1" a="1"/>
  <c r="AL325" i="1" s="1"/>
  <c r="AL324" i="1" a="1"/>
  <c r="AL324" i="1" s="1"/>
  <c r="AL323" i="1" a="1"/>
  <c r="AL323" i="1" s="1"/>
  <c r="AL322" i="1" a="1"/>
  <c r="AL322" i="1" s="1"/>
  <c r="AL321" i="1" a="1"/>
  <c r="AL321" i="1" s="1"/>
  <c r="AL320" i="1" a="1"/>
  <c r="AL320" i="1" s="1"/>
  <c r="AL319" i="1" a="1"/>
  <c r="AL319" i="1" s="1"/>
  <c r="AL318" i="1" a="1"/>
  <c r="AL318" i="1" s="1"/>
  <c r="AL317" i="1" a="1"/>
  <c r="AL317" i="1" s="1"/>
  <c r="AL316" i="1" a="1"/>
  <c r="AL316" i="1" s="1"/>
  <c r="AL315" i="1" a="1"/>
  <c r="AL315" i="1" s="1"/>
  <c r="AL314" i="1" a="1"/>
  <c r="AL314" i="1" s="1"/>
  <c r="AL313" i="1" a="1"/>
  <c r="AL313" i="1" s="1"/>
  <c r="AL312" i="1" a="1"/>
  <c r="AL312" i="1" s="1"/>
  <c r="AL311" i="1" a="1"/>
  <c r="AL311" i="1" s="1"/>
  <c r="AL310" i="1" a="1"/>
  <c r="AL310" i="1" s="1"/>
  <c r="AL309" i="1" a="1"/>
  <c r="AL309" i="1" s="1"/>
  <c r="AL308" i="1" a="1"/>
  <c r="AL308" i="1" s="1"/>
  <c r="AL307" i="1" a="1"/>
  <c r="AL307" i="1" s="1"/>
  <c r="AL306" i="1" a="1"/>
  <c r="AL306" i="1" s="1"/>
  <c r="AL305" i="1" a="1"/>
  <c r="AL305" i="1" s="1"/>
  <c r="AL304" i="1" a="1"/>
  <c r="AL304" i="1" s="1"/>
  <c r="AL303" i="1" a="1"/>
  <c r="AL303" i="1" s="1"/>
  <c r="AL302" i="1" a="1"/>
  <c r="AL302" i="1" s="1"/>
  <c r="AL301" i="1" a="1"/>
  <c r="AL301" i="1" s="1"/>
  <c r="AL300" i="1" a="1"/>
  <c r="AL300" i="1" s="1"/>
  <c r="AL299" i="1" a="1"/>
  <c r="AL299" i="1" s="1"/>
  <c r="AL298" i="1" a="1"/>
  <c r="AL298" i="1" s="1"/>
  <c r="AL297" i="1" a="1"/>
  <c r="AL297" i="1" s="1"/>
  <c r="AL296" i="1" a="1"/>
  <c r="AL296" i="1" s="1"/>
  <c r="AL295" i="1" a="1"/>
  <c r="AL295" i="1" s="1"/>
  <c r="AL294" i="1" a="1"/>
  <c r="AL294" i="1" s="1"/>
  <c r="AL293" i="1" a="1"/>
  <c r="AL293" i="1" s="1"/>
  <c r="AL292" i="1" a="1"/>
  <c r="AL292" i="1" s="1"/>
  <c r="AL291" i="1" a="1"/>
  <c r="AL291" i="1" s="1"/>
  <c r="AL290" i="1" a="1"/>
  <c r="AL290" i="1" s="1"/>
  <c r="AL289" i="1" a="1"/>
  <c r="AL289" i="1" s="1"/>
  <c r="AL288" i="1" a="1"/>
  <c r="AL288" i="1" s="1"/>
  <c r="AL287" i="1" a="1"/>
  <c r="AL287" i="1" s="1"/>
  <c r="AL286" i="1" a="1"/>
  <c r="AL286" i="1" s="1"/>
  <c r="AL285" i="1" a="1"/>
  <c r="AL285" i="1" s="1"/>
  <c r="AL284" i="1" a="1"/>
  <c r="AL284" i="1" s="1"/>
  <c r="AL283" i="1" a="1"/>
  <c r="AL283" i="1" s="1"/>
  <c r="AL282" i="1" a="1"/>
  <c r="AL282" i="1" s="1"/>
  <c r="AL281" i="1" a="1"/>
  <c r="AL281" i="1" s="1"/>
  <c r="AL280" i="1" a="1"/>
  <c r="AL280" i="1" s="1"/>
  <c r="AL279" i="1" a="1"/>
  <c r="AL279" i="1" s="1"/>
  <c r="AL278" i="1" a="1"/>
  <c r="AL278" i="1" s="1"/>
  <c r="AL277" i="1" a="1"/>
  <c r="AL277" i="1" s="1"/>
  <c r="AL276" i="1" a="1"/>
  <c r="AL276" i="1" s="1"/>
  <c r="AL275" i="1" a="1"/>
  <c r="AL275" i="1" s="1"/>
  <c r="AL274" i="1" a="1"/>
  <c r="AL274" i="1" s="1"/>
  <c r="AL273" i="1" a="1"/>
  <c r="AL273" i="1" s="1"/>
  <c r="AL272" i="1" a="1"/>
  <c r="AL272" i="1" s="1"/>
  <c r="AL271" i="1" a="1"/>
  <c r="AL271" i="1" s="1"/>
  <c r="AL270" i="1" a="1"/>
  <c r="AL270" i="1" s="1"/>
  <c r="AL269" i="1" a="1"/>
  <c r="AL269" i="1" s="1"/>
  <c r="AL268" i="1" a="1"/>
  <c r="AL268" i="1" s="1"/>
  <c r="AL267" i="1" a="1"/>
  <c r="AL267" i="1" s="1"/>
  <c r="AL266" i="1" a="1"/>
  <c r="AL266" i="1" s="1"/>
  <c r="AL265" i="1" a="1"/>
  <c r="AL265" i="1" s="1"/>
  <c r="AL264" i="1" a="1"/>
  <c r="AL264" i="1" s="1"/>
  <c r="AL263" i="1" a="1"/>
  <c r="AL263" i="1" s="1"/>
  <c r="AL262" i="1" a="1"/>
  <c r="AL262" i="1" s="1"/>
  <c r="AL261" i="1" a="1"/>
  <c r="AL261" i="1" s="1"/>
  <c r="AL260" i="1" a="1"/>
  <c r="AL260" i="1" s="1"/>
  <c r="AL259" i="1" a="1"/>
  <c r="AL259" i="1" s="1"/>
  <c r="AL258" i="1" a="1"/>
  <c r="AL258" i="1" s="1"/>
  <c r="AL257" i="1" a="1"/>
  <c r="AL257" i="1" s="1"/>
  <c r="AL256" i="1" a="1"/>
  <c r="AL256" i="1" s="1"/>
  <c r="AL255" i="1" a="1"/>
  <c r="AL255" i="1" s="1"/>
  <c r="AL254" i="1" a="1"/>
  <c r="AL254" i="1" s="1"/>
  <c r="AL253" i="1" a="1"/>
  <c r="AL253" i="1" s="1"/>
  <c r="AL252" i="1" a="1"/>
  <c r="AL252" i="1" s="1"/>
  <c r="AL251" i="1" a="1"/>
  <c r="AL251" i="1" s="1"/>
  <c r="AL250" i="1" a="1"/>
  <c r="AL250" i="1" s="1"/>
  <c r="AL249" i="1" a="1"/>
  <c r="AL249" i="1" s="1"/>
  <c r="AL248" i="1" a="1"/>
  <c r="AL248" i="1" s="1"/>
  <c r="AL247" i="1" a="1"/>
  <c r="AL247" i="1" s="1"/>
  <c r="AL246" i="1" a="1"/>
  <c r="AL246" i="1" s="1"/>
  <c r="AL245" i="1" a="1"/>
  <c r="AL245" i="1" s="1"/>
  <c r="AL244" i="1" a="1"/>
  <c r="AL244" i="1" s="1"/>
  <c r="AL243" i="1" a="1"/>
  <c r="AL243" i="1" s="1"/>
  <c r="AL242" i="1" a="1"/>
  <c r="AL242" i="1" s="1"/>
  <c r="AL241" i="1" a="1"/>
  <c r="AL241" i="1" s="1"/>
  <c r="AL240" i="1" a="1"/>
  <c r="AL240" i="1" s="1"/>
  <c r="AL239" i="1" a="1"/>
  <c r="AL239" i="1" s="1"/>
  <c r="AL238" i="1" a="1"/>
  <c r="AL238" i="1" s="1"/>
  <c r="AL237" i="1" a="1"/>
  <c r="AL237" i="1" s="1"/>
  <c r="AL236" i="1" a="1"/>
  <c r="AL236" i="1" s="1"/>
  <c r="AL235" i="1" a="1"/>
  <c r="AL235" i="1" s="1"/>
  <c r="AL234" i="1" a="1"/>
  <c r="AL234" i="1" s="1"/>
  <c r="AL233" i="1" a="1"/>
  <c r="AL233" i="1" s="1"/>
  <c r="AL232" i="1" a="1"/>
  <c r="AL232" i="1" s="1"/>
  <c r="AL231" i="1" a="1"/>
  <c r="AL231" i="1" s="1"/>
  <c r="AL230" i="1" a="1"/>
  <c r="AL230" i="1" s="1"/>
  <c r="AL229" i="1" a="1"/>
  <c r="AL229" i="1" s="1"/>
  <c r="AL228" i="1" a="1"/>
  <c r="AL228" i="1" s="1"/>
  <c r="AL227" i="1" a="1"/>
  <c r="AL227" i="1" s="1"/>
  <c r="AL226" i="1" a="1"/>
  <c r="AL226" i="1" s="1"/>
  <c r="AL225" i="1" a="1"/>
  <c r="AL225" i="1" s="1"/>
  <c r="AL224" i="1" a="1"/>
  <c r="AL224" i="1" s="1"/>
  <c r="AL223" i="1" a="1"/>
  <c r="AL223" i="1" s="1"/>
  <c r="AL222" i="1" a="1"/>
  <c r="AL222" i="1" s="1"/>
  <c r="AL221" i="1" a="1"/>
  <c r="AL221" i="1" s="1"/>
  <c r="AL220" i="1" a="1"/>
  <c r="AL220" i="1" s="1"/>
  <c r="AL219" i="1" a="1"/>
  <c r="AL219" i="1" s="1"/>
  <c r="AL218" i="1" a="1"/>
  <c r="AL218" i="1" s="1"/>
  <c r="AL217" i="1" a="1"/>
  <c r="AL217" i="1" s="1"/>
  <c r="AL216" i="1" a="1"/>
  <c r="AL216" i="1" s="1"/>
  <c r="AL215" i="1" a="1"/>
  <c r="AL215" i="1" s="1"/>
  <c r="AL214" i="1" a="1"/>
  <c r="AL214" i="1" s="1"/>
  <c r="AL213" i="1" a="1"/>
  <c r="AL213" i="1" s="1"/>
  <c r="AL212" i="1" a="1"/>
  <c r="AL212" i="1" s="1"/>
  <c r="AL211" i="1" a="1"/>
  <c r="AL211" i="1" s="1"/>
  <c r="AL210" i="1" a="1"/>
  <c r="AL210" i="1" s="1"/>
  <c r="AL209" i="1" a="1"/>
  <c r="AL209" i="1" s="1"/>
  <c r="AL208" i="1" a="1"/>
  <c r="AL208" i="1" s="1"/>
  <c r="AL207" i="1" a="1"/>
  <c r="AL207" i="1" s="1"/>
  <c r="AL206" i="1" a="1"/>
  <c r="AL206" i="1" s="1"/>
  <c r="AL205" i="1" a="1"/>
  <c r="AL205" i="1" s="1"/>
  <c r="AL204" i="1" a="1"/>
  <c r="AL204" i="1" s="1"/>
  <c r="AL203" i="1" a="1"/>
  <c r="AL203" i="1" s="1"/>
  <c r="AL202" i="1" a="1"/>
  <c r="AL202" i="1" s="1"/>
  <c r="AL201" i="1" a="1"/>
  <c r="AL201" i="1" s="1"/>
  <c r="AL200" i="1" a="1"/>
  <c r="AL200" i="1" s="1"/>
  <c r="AL199" i="1" a="1"/>
  <c r="AL199" i="1" s="1"/>
  <c r="AL198" i="1" a="1"/>
  <c r="AL198" i="1" s="1"/>
  <c r="AL197" i="1" a="1"/>
  <c r="AL197" i="1" s="1"/>
  <c r="AL196" i="1" a="1"/>
  <c r="AL196" i="1" s="1"/>
  <c r="AL195" i="1" a="1"/>
  <c r="AL195" i="1" s="1"/>
  <c r="AL194" i="1" a="1"/>
  <c r="AL194" i="1" s="1"/>
  <c r="AL193" i="1" a="1"/>
  <c r="AL193" i="1" s="1"/>
  <c r="AL192" i="1" a="1"/>
  <c r="AL192" i="1" s="1"/>
  <c r="AL191" i="1" a="1"/>
  <c r="AL191" i="1" s="1"/>
  <c r="AL190" i="1" a="1"/>
  <c r="AL190" i="1" s="1"/>
  <c r="AL189" i="1" a="1"/>
  <c r="AL189" i="1" s="1"/>
  <c r="AL188" i="1" a="1"/>
  <c r="AL188" i="1" s="1"/>
  <c r="AL187" i="1" a="1"/>
  <c r="AL187" i="1" s="1"/>
  <c r="AL186" i="1" a="1"/>
  <c r="AL186" i="1" s="1"/>
  <c r="AL185" i="1" a="1"/>
  <c r="AL185" i="1" s="1"/>
  <c r="AL184" i="1" a="1"/>
  <c r="AL184" i="1" s="1"/>
  <c r="AL183" i="1" a="1"/>
  <c r="AL183" i="1" s="1"/>
  <c r="AL182" i="1" a="1"/>
  <c r="AL182" i="1" s="1"/>
  <c r="AL181" i="1" a="1"/>
  <c r="AL181" i="1" s="1"/>
  <c r="AL180" i="1" a="1"/>
  <c r="AL180" i="1" s="1"/>
  <c r="AL179" i="1" a="1"/>
  <c r="AL179" i="1" s="1"/>
  <c r="AL178" i="1" a="1"/>
  <c r="AL178" i="1" s="1"/>
  <c r="AL177" i="1" a="1"/>
  <c r="AL177" i="1" s="1"/>
  <c r="AL176" i="1" a="1"/>
  <c r="AL176" i="1" s="1"/>
  <c r="AL175" i="1" a="1"/>
  <c r="AL175" i="1" s="1"/>
  <c r="AL174" i="1" a="1"/>
  <c r="AL174" i="1" s="1"/>
  <c r="AL173" i="1" a="1"/>
  <c r="AL173" i="1" s="1"/>
  <c r="AL172" i="1" a="1"/>
  <c r="AL172" i="1" s="1"/>
  <c r="AL171" i="1" a="1"/>
  <c r="AL171" i="1" s="1"/>
  <c r="AL170" i="1" a="1"/>
  <c r="AL170" i="1" s="1"/>
  <c r="AL169" i="1" a="1"/>
  <c r="AL169" i="1" s="1"/>
  <c r="AL168" i="1" a="1"/>
  <c r="AL168" i="1" s="1"/>
  <c r="AL167" i="1" a="1"/>
  <c r="AL167" i="1" s="1"/>
  <c r="AL166" i="1" a="1"/>
  <c r="AL166" i="1" s="1"/>
  <c r="AL165" i="1" a="1"/>
  <c r="AL165" i="1" s="1"/>
  <c r="AL164" i="1" a="1"/>
  <c r="AL164" i="1" s="1"/>
  <c r="AL163" i="1" a="1"/>
  <c r="AL163" i="1" s="1"/>
  <c r="AL162" i="1" a="1"/>
  <c r="AL162" i="1" s="1"/>
  <c r="AL161" i="1" a="1"/>
  <c r="AL161" i="1" s="1"/>
  <c r="AL160" i="1" a="1"/>
  <c r="AL160" i="1" s="1"/>
  <c r="AL159" i="1" a="1"/>
  <c r="AL159" i="1" s="1"/>
  <c r="AL158" i="1" a="1"/>
  <c r="AL158" i="1" s="1"/>
  <c r="AL157" i="1" a="1"/>
  <c r="AL157" i="1" s="1"/>
  <c r="AL156" i="1" a="1"/>
  <c r="AL156" i="1" s="1"/>
  <c r="AL155" i="1" a="1"/>
  <c r="AL155" i="1" s="1"/>
  <c r="AL154" i="1" a="1"/>
  <c r="AL154" i="1" s="1"/>
  <c r="AL153" i="1" a="1"/>
  <c r="AL153" i="1" s="1"/>
  <c r="AL152" i="1" a="1"/>
  <c r="AL152" i="1" s="1"/>
  <c r="AL151" i="1" a="1"/>
  <c r="AL151" i="1" s="1"/>
  <c r="AL150" i="1" a="1"/>
  <c r="AL150" i="1" s="1"/>
  <c r="AL149" i="1" a="1"/>
  <c r="AL149" i="1" s="1"/>
  <c r="AL148" i="1" a="1"/>
  <c r="AL148" i="1" s="1"/>
  <c r="AL147" i="1" a="1"/>
  <c r="AL147" i="1" s="1"/>
  <c r="AL146" i="1" a="1"/>
  <c r="AL146" i="1" s="1"/>
  <c r="AL145" i="1" a="1"/>
  <c r="AL145" i="1" s="1"/>
  <c r="AL144" i="1" a="1"/>
  <c r="AL144" i="1" s="1"/>
  <c r="AL143" i="1" a="1"/>
  <c r="AL143" i="1" s="1"/>
  <c r="AL142" i="1" a="1"/>
  <c r="AL142" i="1" s="1"/>
  <c r="AL141" i="1" a="1"/>
  <c r="AL141" i="1" s="1"/>
  <c r="AL140" i="1" a="1"/>
  <c r="AL140" i="1" s="1"/>
  <c r="AL139" i="1" a="1"/>
  <c r="AL139" i="1" s="1"/>
  <c r="AL138" i="1" a="1"/>
  <c r="AL138" i="1" s="1"/>
  <c r="AL137" i="1" a="1"/>
  <c r="AL137" i="1" s="1"/>
  <c r="AL136" i="1" a="1"/>
  <c r="AL136" i="1" s="1"/>
  <c r="AL135" i="1" a="1"/>
  <c r="AL135" i="1" s="1"/>
  <c r="AL134" i="1" a="1"/>
  <c r="AL134" i="1" s="1"/>
  <c r="AL133" i="1" a="1"/>
  <c r="AL133" i="1" s="1"/>
  <c r="AL132" i="1" a="1"/>
  <c r="AL132" i="1" s="1"/>
  <c r="AL131" i="1" a="1"/>
  <c r="AL131" i="1" s="1"/>
  <c r="AL130" i="1" a="1"/>
  <c r="AL130" i="1" s="1"/>
  <c r="AL129" i="1" a="1"/>
  <c r="AL129" i="1" s="1"/>
  <c r="AL128" i="1" a="1"/>
  <c r="AL128" i="1" s="1"/>
  <c r="AL127" i="1" a="1"/>
  <c r="AL127" i="1" s="1"/>
  <c r="AL126" i="1" a="1"/>
  <c r="AL126" i="1" s="1"/>
  <c r="AL125" i="1" a="1"/>
  <c r="AL125" i="1" s="1"/>
  <c r="AL124" i="1" a="1"/>
  <c r="AL124" i="1" s="1"/>
  <c r="AL123" i="1" a="1"/>
  <c r="AL123" i="1" s="1"/>
  <c r="AL122" i="1" a="1"/>
  <c r="AL122" i="1" s="1"/>
  <c r="AL121" i="1" a="1"/>
  <c r="AL121" i="1" s="1"/>
  <c r="AL120" i="1" a="1"/>
  <c r="AL120" i="1" s="1"/>
  <c r="AL119" i="1" a="1"/>
  <c r="AL119" i="1" s="1"/>
  <c r="AL118" i="1" a="1"/>
  <c r="AL118" i="1" s="1"/>
  <c r="AL117" i="1" a="1"/>
  <c r="AL117" i="1" s="1"/>
  <c r="AL116" i="1" a="1"/>
  <c r="AL116" i="1" s="1"/>
  <c r="AL115" i="1" a="1"/>
  <c r="AL115" i="1" s="1"/>
  <c r="AL114" i="1" a="1"/>
  <c r="AL114" i="1" s="1"/>
  <c r="AL113" i="1" a="1"/>
  <c r="AL113" i="1" s="1"/>
  <c r="AL112" i="1" a="1"/>
  <c r="AL112" i="1" s="1"/>
  <c r="AL111" i="1" a="1"/>
  <c r="AL111" i="1" s="1"/>
  <c r="AL110" i="1" a="1"/>
  <c r="AL110" i="1" s="1"/>
  <c r="AL109" i="1" a="1"/>
  <c r="AL109" i="1" s="1"/>
  <c r="AL108" i="1" a="1"/>
  <c r="AL108" i="1" s="1"/>
  <c r="AL107" i="1" a="1"/>
  <c r="AL107" i="1" s="1"/>
  <c r="AL106" i="1" a="1"/>
  <c r="AL106" i="1" s="1"/>
  <c r="AL105" i="1" a="1"/>
  <c r="AL105" i="1" s="1"/>
  <c r="AL104" i="1" a="1"/>
  <c r="AL104" i="1" s="1"/>
  <c r="AL103" i="1" a="1"/>
  <c r="AL103" i="1" s="1"/>
  <c r="AL102" i="1" a="1"/>
  <c r="AL102" i="1" s="1"/>
  <c r="AL101" i="1" a="1"/>
  <c r="AL101" i="1" s="1"/>
  <c r="AL100" i="1" a="1"/>
  <c r="AL100" i="1" s="1"/>
  <c r="AL99" i="1" a="1"/>
  <c r="AL99" i="1" s="1"/>
  <c r="AL98" i="1" a="1"/>
  <c r="AL98" i="1" s="1"/>
  <c r="AL97" i="1" a="1"/>
  <c r="AL97" i="1" s="1"/>
  <c r="AL96" i="1" a="1"/>
  <c r="AL96" i="1" s="1"/>
  <c r="AL95" i="1" a="1"/>
  <c r="AL95" i="1" s="1"/>
  <c r="AL94" i="1" a="1"/>
  <c r="AL94" i="1" s="1"/>
  <c r="AL93" i="1" a="1"/>
  <c r="AL93" i="1" s="1"/>
  <c r="AL92" i="1" a="1"/>
  <c r="AL92" i="1" s="1"/>
  <c r="AL91" i="1" a="1"/>
  <c r="AL91" i="1" s="1"/>
  <c r="AL90" i="1" a="1"/>
  <c r="AL90" i="1" s="1"/>
  <c r="AL89" i="1" a="1"/>
  <c r="AL89" i="1" s="1"/>
  <c r="AL88" i="1" a="1"/>
  <c r="AL88" i="1" s="1"/>
  <c r="AL87" i="1" a="1"/>
  <c r="AL87" i="1" s="1"/>
  <c r="AL86" i="1" a="1"/>
  <c r="AL86" i="1" s="1"/>
  <c r="AL85" i="1" a="1"/>
  <c r="AL85" i="1" s="1"/>
  <c r="AL84" i="1" a="1"/>
  <c r="AL84" i="1" s="1"/>
  <c r="AL83" i="1" a="1"/>
  <c r="AL83" i="1" s="1"/>
  <c r="AL82" i="1" a="1"/>
  <c r="AL82" i="1" s="1"/>
  <c r="AL81" i="1" a="1"/>
  <c r="AL81" i="1" s="1"/>
  <c r="AL80" i="1" a="1"/>
  <c r="AL80" i="1" s="1"/>
  <c r="AL79" i="1" a="1"/>
  <c r="AL79" i="1" s="1"/>
  <c r="AL78" i="1" a="1"/>
  <c r="AL78" i="1" s="1"/>
  <c r="AL77" i="1" a="1"/>
  <c r="AL77" i="1" s="1"/>
  <c r="AL76" i="1" a="1"/>
  <c r="AL76" i="1" s="1"/>
  <c r="AL75" i="1" a="1"/>
  <c r="AL75" i="1" s="1"/>
  <c r="AL74" i="1" a="1"/>
  <c r="AL74" i="1" s="1"/>
  <c r="AL73" i="1" a="1"/>
  <c r="AL73" i="1" s="1"/>
  <c r="AL72" i="1" a="1"/>
  <c r="AL72" i="1" s="1"/>
  <c r="AL71" i="1" a="1"/>
  <c r="AL71" i="1" s="1"/>
  <c r="AL70" i="1" a="1"/>
  <c r="AL70" i="1" s="1"/>
  <c r="AL69" i="1" a="1"/>
  <c r="AL69" i="1" s="1"/>
  <c r="AL68" i="1" a="1"/>
  <c r="AL68" i="1" s="1"/>
  <c r="AL67" i="1" a="1"/>
  <c r="AL67" i="1" s="1"/>
  <c r="AL66" i="1" a="1"/>
  <c r="AL66" i="1" s="1"/>
  <c r="AL65" i="1" a="1"/>
  <c r="AL65" i="1" s="1"/>
  <c r="AL64" i="1" a="1"/>
  <c r="AL64" i="1" s="1"/>
  <c r="AL63" i="1" a="1"/>
  <c r="AL63" i="1" s="1"/>
  <c r="AL62" i="1" a="1"/>
  <c r="AL62" i="1" s="1"/>
  <c r="AL61" i="1" a="1"/>
  <c r="AL61" i="1" s="1"/>
  <c r="AL60" i="1" a="1"/>
  <c r="AL60" i="1" s="1"/>
  <c r="AL59" i="1" a="1"/>
  <c r="AL59" i="1" s="1"/>
  <c r="AL58" i="1" a="1"/>
  <c r="AL58" i="1" s="1"/>
  <c r="AL57" i="1" a="1"/>
  <c r="AL57" i="1" s="1"/>
  <c r="AL56" i="1" a="1"/>
  <c r="AL56" i="1" s="1"/>
  <c r="AL55" i="1" a="1"/>
  <c r="AL55" i="1" s="1"/>
  <c r="AL54" i="1" a="1"/>
  <c r="AL54" i="1" s="1"/>
  <c r="AL53" i="1" a="1"/>
  <c r="AL53" i="1" s="1"/>
  <c r="AL52" i="1" a="1"/>
  <c r="AL52" i="1" s="1"/>
  <c r="AL51" i="1" a="1"/>
  <c r="AL51" i="1" s="1"/>
  <c r="AL50" i="1" a="1"/>
  <c r="AL50" i="1" s="1"/>
  <c r="AL49" i="1" a="1"/>
  <c r="AL49" i="1" s="1"/>
  <c r="AL48" i="1" a="1"/>
  <c r="AL48" i="1" s="1"/>
  <c r="AL47" i="1" a="1"/>
  <c r="AL47" i="1" s="1"/>
  <c r="AL46" i="1" a="1"/>
  <c r="AL46" i="1" s="1"/>
  <c r="AL45" i="1" a="1"/>
  <c r="AL45" i="1" s="1"/>
  <c r="AL44" i="1" a="1"/>
  <c r="AL44" i="1" s="1"/>
  <c r="AL43" i="1" a="1"/>
  <c r="AL43" i="1" s="1"/>
  <c r="AL42" i="1" a="1"/>
  <c r="AL42" i="1" s="1"/>
  <c r="AL41" i="1" a="1"/>
  <c r="AL41" i="1" s="1"/>
  <c r="AL40" i="1" a="1"/>
  <c r="AL40" i="1" s="1"/>
  <c r="AL39" i="1" a="1"/>
  <c r="AL39" i="1" s="1"/>
  <c r="AL38" i="1" a="1"/>
  <c r="AL38" i="1" s="1"/>
  <c r="AL37" i="1" a="1"/>
  <c r="AL37" i="1" s="1"/>
  <c r="AL36" i="1" a="1"/>
  <c r="AL36" i="1" s="1"/>
  <c r="AL35" i="1" a="1"/>
  <c r="AL35" i="1" s="1"/>
  <c r="AL34" i="1" a="1"/>
  <c r="AL34" i="1" s="1"/>
  <c r="AL33" i="1" a="1"/>
  <c r="AL33" i="1" s="1"/>
  <c r="AL32" i="1" a="1"/>
  <c r="AL32" i="1" s="1"/>
  <c r="AL31" i="1" a="1"/>
  <c r="AL31" i="1" s="1"/>
  <c r="AL30" i="1" a="1"/>
  <c r="AL30" i="1" s="1"/>
  <c r="AL29" i="1" a="1"/>
  <c r="AL29" i="1" s="1"/>
  <c r="AL28" i="1" a="1"/>
  <c r="AL28" i="1" s="1"/>
  <c r="AL27" i="1" a="1"/>
  <c r="AL27" i="1" s="1"/>
  <c r="AL26" i="1" a="1"/>
  <c r="AL26" i="1" s="1"/>
  <c r="AL25" i="1" a="1"/>
  <c r="AL25" i="1" s="1"/>
  <c r="AL24" i="1" a="1"/>
  <c r="AL24" i="1" s="1"/>
  <c r="AL23" i="1" a="1"/>
  <c r="AL23" i="1" s="1"/>
  <c r="AL22" i="1" a="1"/>
  <c r="AL22" i="1" s="1"/>
  <c r="AL21" i="1" a="1"/>
  <c r="AL21" i="1" s="1"/>
  <c r="AL20" i="1" a="1"/>
  <c r="AL20" i="1" s="1"/>
  <c r="AL19" i="1" a="1"/>
  <c r="AL19" i="1" s="1"/>
  <c r="AL18" i="1" a="1"/>
  <c r="AL18" i="1" s="1"/>
  <c r="AL17" i="1" a="1"/>
  <c r="AL17" i="1" s="1"/>
  <c r="AL16" i="1" a="1"/>
  <c r="AL16" i="1" s="1"/>
  <c r="AL15" i="1" a="1"/>
  <c r="AL15" i="1" s="1"/>
  <c r="AL14" i="1" a="1"/>
  <c r="AL14" i="1" s="1"/>
  <c r="AL13" i="1" a="1"/>
  <c r="AL13" i="1" s="1"/>
  <c r="AL12" i="1" a="1"/>
  <c r="AL12" i="1" s="1"/>
  <c r="AL11" i="1" a="1"/>
  <c r="AL11" i="1" s="1"/>
  <c r="AL10" i="1" a="1"/>
  <c r="AL10" i="1" s="1"/>
  <c r="AL9" i="1" a="1"/>
  <c r="AL9" i="1" s="1"/>
  <c r="AL8" i="1" a="1"/>
  <c r="AL8" i="1" s="1"/>
  <c r="AL7" i="1" a="1"/>
  <c r="AL7" i="1" s="1"/>
  <c r="AL6" i="1" a="1"/>
  <c r="AL6" i="1" s="1"/>
  <c r="AL5" i="1" a="1"/>
  <c r="AL5" i="1" s="1"/>
  <c r="AL4" i="1" a="1"/>
  <c r="AL4" i="1" s="1"/>
  <c r="AL3" i="1"/>
  <c r="AK3" i="1"/>
  <c r="A2" i="8"/>
  <c r="F7" i="6"/>
  <c r="J5" i="6"/>
  <c r="F5" i="6"/>
  <c r="C5" i="6"/>
  <c r="D12" i="6"/>
  <c r="L45" i="6"/>
  <c r="K22" i="6"/>
  <c r="F45" i="6"/>
  <c r="K21" i="6" s="1"/>
  <c r="K38" i="6"/>
  <c r="K27" i="6" s="1"/>
  <c r="G1" i="4"/>
  <c r="N50" i="4" a="1"/>
  <c r="N50" i="4"/>
  <c r="N49" i="4" a="1"/>
  <c r="N49" i="4"/>
  <c r="N48" i="4" a="1"/>
  <c r="N48" i="4"/>
  <c r="N47" i="4" a="1"/>
  <c r="N47" i="4"/>
  <c r="N46" i="4" a="1"/>
  <c r="N46" i="4"/>
  <c r="N45" i="4" a="1"/>
  <c r="N45" i="4"/>
  <c r="N44" i="4" a="1"/>
  <c r="N44" i="4"/>
  <c r="N43" i="4" a="1"/>
  <c r="N43" i="4"/>
  <c r="N42" i="4" a="1"/>
  <c r="N42" i="4"/>
  <c r="N41" i="4" a="1"/>
  <c r="N41" i="4"/>
  <c r="N40" i="4" a="1"/>
  <c r="N40" i="4"/>
  <c r="N39" i="4" a="1"/>
  <c r="N39" i="4"/>
  <c r="N38" i="4" a="1"/>
  <c r="N38" i="4"/>
  <c r="N37" i="4" a="1"/>
  <c r="N37" i="4"/>
  <c r="N36" i="4" a="1"/>
  <c r="N36" i="4"/>
  <c r="N35" i="4" a="1"/>
  <c r="N35" i="4"/>
  <c r="N34" i="4" a="1"/>
  <c r="N34" i="4"/>
  <c r="N33" i="4" a="1"/>
  <c r="N33" i="4"/>
  <c r="N32" i="4" a="1"/>
  <c r="N32" i="4"/>
  <c r="N31" i="4" a="1"/>
  <c r="N31" i="4"/>
  <c r="N30" i="4" a="1"/>
  <c r="N30" i="4"/>
  <c r="N29" i="4" a="1"/>
  <c r="N29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L50" i="4"/>
  <c r="K50" i="4"/>
  <c r="J50" i="4"/>
  <c r="I50" i="4"/>
  <c r="H50" i="4"/>
  <c r="G50" i="4"/>
  <c r="F50" i="4"/>
  <c r="L49" i="4"/>
  <c r="K49" i="4"/>
  <c r="J49" i="4"/>
  <c r="I49" i="4"/>
  <c r="H49" i="4"/>
  <c r="G49" i="4"/>
  <c r="F49" i="4"/>
  <c r="L48" i="4"/>
  <c r="K48" i="4"/>
  <c r="J48" i="4"/>
  <c r="I48" i="4"/>
  <c r="H48" i="4"/>
  <c r="G48" i="4"/>
  <c r="F48" i="4"/>
  <c r="L47" i="4"/>
  <c r="K47" i="4"/>
  <c r="J47" i="4"/>
  <c r="I47" i="4"/>
  <c r="H47" i="4"/>
  <c r="G47" i="4"/>
  <c r="F47" i="4"/>
  <c r="L46" i="4"/>
  <c r="K46" i="4"/>
  <c r="J46" i="4"/>
  <c r="I46" i="4"/>
  <c r="H46" i="4"/>
  <c r="G46" i="4"/>
  <c r="F46" i="4"/>
  <c r="L45" i="4"/>
  <c r="K45" i="4"/>
  <c r="J45" i="4"/>
  <c r="I45" i="4"/>
  <c r="H45" i="4"/>
  <c r="G45" i="4"/>
  <c r="F45" i="4"/>
  <c r="L44" i="4"/>
  <c r="K44" i="4"/>
  <c r="J44" i="4"/>
  <c r="I44" i="4"/>
  <c r="H44" i="4"/>
  <c r="G44" i="4"/>
  <c r="F44" i="4"/>
  <c r="L43" i="4"/>
  <c r="K43" i="4"/>
  <c r="J43" i="4"/>
  <c r="I43" i="4"/>
  <c r="H43" i="4"/>
  <c r="G43" i="4"/>
  <c r="F43" i="4"/>
  <c r="L42" i="4"/>
  <c r="K42" i="4"/>
  <c r="J42" i="4"/>
  <c r="I42" i="4"/>
  <c r="H42" i="4"/>
  <c r="G42" i="4"/>
  <c r="F42" i="4"/>
  <c r="L41" i="4"/>
  <c r="K41" i="4"/>
  <c r="J41" i="4"/>
  <c r="I41" i="4"/>
  <c r="H41" i="4"/>
  <c r="G41" i="4"/>
  <c r="F41" i="4"/>
  <c r="L40" i="4"/>
  <c r="K40" i="4"/>
  <c r="J40" i="4"/>
  <c r="I40" i="4"/>
  <c r="H40" i="4"/>
  <c r="G40" i="4"/>
  <c r="F40" i="4"/>
  <c r="L39" i="4"/>
  <c r="K39" i="4"/>
  <c r="J39" i="4"/>
  <c r="I39" i="4"/>
  <c r="H39" i="4"/>
  <c r="G39" i="4"/>
  <c r="F39" i="4"/>
  <c r="L38" i="4"/>
  <c r="K38" i="4"/>
  <c r="J38" i="4"/>
  <c r="I38" i="4"/>
  <c r="H38" i="4"/>
  <c r="G38" i="4"/>
  <c r="F38" i="4"/>
  <c r="L37" i="4"/>
  <c r="K37" i="4"/>
  <c r="J37" i="4"/>
  <c r="I37" i="4"/>
  <c r="H37" i="4"/>
  <c r="G37" i="4"/>
  <c r="F37" i="4"/>
  <c r="L36" i="4"/>
  <c r="K36" i="4"/>
  <c r="J36" i="4"/>
  <c r="I36" i="4"/>
  <c r="H36" i="4"/>
  <c r="G36" i="4"/>
  <c r="F36" i="4"/>
  <c r="L35" i="4"/>
  <c r="K35" i="4"/>
  <c r="J35" i="4"/>
  <c r="I35" i="4"/>
  <c r="H35" i="4"/>
  <c r="G35" i="4"/>
  <c r="F35" i="4"/>
  <c r="L34" i="4"/>
  <c r="K34" i="4"/>
  <c r="J34" i="4"/>
  <c r="I34" i="4"/>
  <c r="H34" i="4"/>
  <c r="G34" i="4"/>
  <c r="F34" i="4"/>
  <c r="L33" i="4"/>
  <c r="K33" i="4"/>
  <c r="J33" i="4"/>
  <c r="I33" i="4"/>
  <c r="H33" i="4"/>
  <c r="G33" i="4"/>
  <c r="F33" i="4"/>
  <c r="L32" i="4"/>
  <c r="K32" i="4"/>
  <c r="J32" i="4"/>
  <c r="I32" i="4"/>
  <c r="H32" i="4"/>
  <c r="G32" i="4"/>
  <c r="F32" i="4"/>
  <c r="L31" i="4"/>
  <c r="K31" i="4"/>
  <c r="J31" i="4"/>
  <c r="I31" i="4"/>
  <c r="H31" i="4"/>
  <c r="G31" i="4"/>
  <c r="F31" i="4"/>
  <c r="L30" i="4"/>
  <c r="K30" i="4"/>
  <c r="J30" i="4"/>
  <c r="I30" i="4"/>
  <c r="H30" i="4"/>
  <c r="G30" i="4"/>
  <c r="F30" i="4"/>
  <c r="L29" i="4"/>
  <c r="K29" i="4"/>
  <c r="J29" i="4"/>
  <c r="I29" i="4"/>
  <c r="H29" i="4"/>
  <c r="G29" i="4"/>
  <c r="F29" i="4"/>
  <c r="AJ3" i="1"/>
  <c r="AH3" i="1"/>
  <c r="AG3" i="1"/>
  <c r="AF3" i="1"/>
  <c r="AE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M3" i="1"/>
  <c r="L3" i="1"/>
  <c r="K3" i="1"/>
  <c r="J3" i="1"/>
  <c r="I3" i="1"/>
  <c r="H3" i="1"/>
  <c r="G3" i="1"/>
  <c r="F3" i="1"/>
  <c r="E3" i="1"/>
  <c r="D3" i="1"/>
  <c r="C3" i="1"/>
  <c r="B3" i="1"/>
  <c r="E1000" i="1"/>
  <c r="E992" i="1"/>
  <c r="E991" i="1"/>
  <c r="E980" i="1"/>
  <c r="E972" i="1"/>
  <c r="E936" i="1"/>
  <c r="E932" i="1"/>
  <c r="E928" i="1"/>
  <c r="E923" i="1"/>
  <c r="E916" i="1"/>
  <c r="E908" i="1"/>
  <c r="E891" i="1"/>
  <c r="E888" i="1"/>
  <c r="E879" i="1"/>
  <c r="E876" i="1"/>
  <c r="E852" i="1"/>
  <c r="E836" i="1"/>
  <c r="E832" i="1"/>
  <c r="E828" i="1"/>
  <c r="E816" i="1"/>
  <c r="E812" i="1"/>
  <c r="E796" i="1"/>
  <c r="E795" i="1"/>
  <c r="E788" i="1"/>
  <c r="E787" i="1"/>
  <c r="E768" i="1"/>
  <c r="E767" i="1"/>
  <c r="E752" i="1"/>
  <c r="E748" i="1"/>
  <c r="E744" i="1"/>
  <c r="E735" i="1"/>
  <c r="E724" i="1"/>
  <c r="E720" i="1"/>
  <c r="E716" i="1"/>
  <c r="E712" i="1"/>
  <c r="E708" i="1"/>
  <c r="E704" i="1"/>
  <c r="E696" i="1"/>
  <c r="E692" i="1"/>
  <c r="E688" i="1"/>
  <c r="E684" i="1"/>
  <c r="E672" i="1"/>
  <c r="E660" i="1"/>
  <c r="E651" i="1"/>
  <c r="E648" i="1"/>
  <c r="E636" i="1"/>
  <c r="E624" i="1"/>
  <c r="E612" i="1"/>
  <c r="E600" i="1"/>
  <c r="E588" i="1"/>
  <c r="E576" i="1"/>
  <c r="E564" i="1"/>
  <c r="E552" i="1"/>
  <c r="E540" i="1"/>
  <c r="E531" i="1"/>
  <c r="E528" i="1"/>
  <c r="E516" i="1"/>
  <c r="E432" i="1"/>
  <c r="E428" i="1"/>
  <c r="E424" i="1"/>
  <c r="E420" i="1"/>
  <c r="E416" i="1"/>
  <c r="E412" i="1"/>
  <c r="E408" i="1"/>
  <c r="E404" i="1"/>
  <c r="E395" i="1"/>
  <c r="E343" i="1"/>
  <c r="E247" i="1"/>
  <c r="E239" i="1"/>
  <c r="E223" i="1"/>
  <c r="E219" i="1"/>
  <c r="E206" i="1"/>
  <c r="E956" i="1"/>
  <c r="E872" i="1"/>
  <c r="E792" i="1"/>
  <c r="E700" i="1"/>
  <c r="E931" i="1"/>
  <c r="E895" i="1"/>
  <c r="E627" i="1"/>
  <c r="E367" i="1"/>
  <c r="E512" i="1"/>
  <c r="E524" i="1"/>
  <c r="E536" i="1"/>
  <c r="E548" i="1"/>
  <c r="E551" i="1"/>
  <c r="E560" i="1"/>
  <c r="E572" i="1"/>
  <c r="E584" i="1"/>
  <c r="E596" i="1"/>
  <c r="E599" i="1"/>
  <c r="E608" i="1"/>
  <c r="E620" i="1"/>
  <c r="E632" i="1"/>
  <c r="E644" i="1"/>
  <c r="E656" i="1"/>
  <c r="E668" i="1"/>
  <c r="E680" i="1"/>
  <c r="E508" i="1"/>
  <c r="E520" i="1"/>
  <c r="E532" i="1"/>
  <c r="E544" i="1"/>
  <c r="E556" i="1"/>
  <c r="E568" i="1"/>
  <c r="E580" i="1"/>
  <c r="E592" i="1"/>
  <c r="E604" i="1"/>
  <c r="E616" i="1"/>
  <c r="E628" i="1"/>
  <c r="E640" i="1"/>
  <c r="E652" i="1"/>
  <c r="E664" i="1"/>
  <c r="E676" i="1"/>
  <c r="T2" i="6" a="1"/>
  <c r="T2" i="6" s="1"/>
  <c r="A1" i="7" a="1"/>
  <c r="F9" i="6" a="1"/>
  <c r="F9" i="6" s="1"/>
  <c r="E278" i="1"/>
  <c r="E306" i="1"/>
  <c r="E314" i="1"/>
  <c r="E962" i="1"/>
  <c r="E271" i="1"/>
  <c r="E307" i="1"/>
  <c r="E327" i="1"/>
  <c r="E331" i="1"/>
  <c r="E339" i="1"/>
  <c r="E363" i="1"/>
  <c r="E391" i="1"/>
  <c r="E423" i="1"/>
  <c r="E431" i="1"/>
  <c r="E507" i="1"/>
  <c r="E519" i="1"/>
  <c r="E583" i="1"/>
  <c r="E591" i="1"/>
  <c r="E595" i="1"/>
  <c r="E607" i="1"/>
  <c r="E619" i="1"/>
  <c r="E643" i="1"/>
  <c r="E675" i="1"/>
  <c r="E683" i="1"/>
  <c r="E707" i="1"/>
  <c r="E715" i="1"/>
  <c r="E731" i="1"/>
  <c r="E751" i="1"/>
  <c r="E775" i="1"/>
  <c r="E783" i="1"/>
  <c r="E819" i="1"/>
  <c r="E831" i="1"/>
  <c r="E835" i="1"/>
  <c r="E847" i="1"/>
  <c r="E867" i="1"/>
  <c r="E887" i="1"/>
  <c r="E919" i="1"/>
  <c r="E939" i="1"/>
  <c r="E971" i="1"/>
  <c r="E983" i="1"/>
  <c r="E987" i="1"/>
  <c r="E728" i="1"/>
  <c r="E732" i="1"/>
  <c r="E736" i="1"/>
  <c r="E740" i="1"/>
  <c r="E756" i="1"/>
  <c r="E760" i="1"/>
  <c r="E764" i="1"/>
  <c r="E772" i="1"/>
  <c r="E776" i="1"/>
  <c r="E780" i="1"/>
  <c r="E784" i="1"/>
  <c r="E800" i="1"/>
  <c r="E804" i="1"/>
  <c r="E808" i="1"/>
  <c r="E820" i="1"/>
  <c r="E824" i="1"/>
  <c r="E840" i="1"/>
  <c r="E844" i="1"/>
  <c r="E848" i="1"/>
  <c r="E856" i="1"/>
  <c r="E860" i="1"/>
  <c r="E864" i="1"/>
  <c r="E868" i="1"/>
  <c r="E880" i="1"/>
  <c r="E884" i="1"/>
  <c r="E892" i="1"/>
  <c r="E896" i="1"/>
  <c r="E900" i="1"/>
  <c r="E904" i="1"/>
  <c r="E912" i="1"/>
  <c r="E920" i="1"/>
  <c r="E924" i="1"/>
  <c r="E940" i="1"/>
  <c r="E944" i="1"/>
  <c r="E948" i="1"/>
  <c r="E952" i="1"/>
  <c r="E960" i="1"/>
  <c r="E964" i="1"/>
  <c r="E968" i="1"/>
  <c r="E976" i="1"/>
  <c r="E984" i="1"/>
  <c r="E988" i="1"/>
  <c r="E7" i="1"/>
  <c r="E11" i="1"/>
  <c r="E15" i="1"/>
  <c r="E19" i="1"/>
  <c r="E23" i="1"/>
  <c r="E27" i="1"/>
  <c r="E31" i="1"/>
  <c r="E35" i="1"/>
  <c r="E39" i="1"/>
  <c r="E43" i="1"/>
  <c r="E47" i="1"/>
  <c r="E95" i="1"/>
  <c r="E190" i="1"/>
  <c r="E318" i="1"/>
  <c r="E155" i="1"/>
  <c r="E187" i="1"/>
  <c r="E203" i="1"/>
  <c r="E215" i="1"/>
  <c r="E315" i="1"/>
  <c r="E355" i="1"/>
  <c r="E885" i="1"/>
  <c r="E969" i="1"/>
  <c r="E132" i="1"/>
  <c r="E147" i="1"/>
  <c r="E151" i="1"/>
  <c r="E159" i="1"/>
  <c r="E163" i="1"/>
  <c r="E167" i="1"/>
  <c r="E171" i="1"/>
  <c r="E175" i="1"/>
  <c r="E179" i="1"/>
  <c r="E183" i="1"/>
  <c r="E191" i="1"/>
  <c r="E195" i="1"/>
  <c r="E199" i="1"/>
  <c r="E207" i="1"/>
  <c r="E211" i="1"/>
  <c r="E227" i="1"/>
  <c r="E231" i="1"/>
  <c r="E235" i="1"/>
  <c r="E243" i="1"/>
  <c r="E251" i="1"/>
  <c r="E255" i="1"/>
  <c r="E259" i="1"/>
  <c r="E263" i="1"/>
  <c r="E267" i="1"/>
  <c r="E275" i="1"/>
  <c r="E279" i="1"/>
  <c r="E283" i="1"/>
  <c r="E287" i="1"/>
  <c r="E291" i="1"/>
  <c r="E295" i="1"/>
  <c r="E299" i="1"/>
  <c r="E303" i="1"/>
  <c r="E311" i="1"/>
  <c r="E319" i="1"/>
  <c r="E351" i="1"/>
  <c r="E407" i="1"/>
  <c r="E158" i="1"/>
  <c r="E166" i="1"/>
  <c r="E170" i="1"/>
  <c r="E182" i="1"/>
  <c r="E194" i="1"/>
  <c r="E218" i="1"/>
  <c r="E230" i="1"/>
  <c r="E242" i="1"/>
  <c r="E254" i="1"/>
  <c r="E258" i="1"/>
  <c r="E266" i="1"/>
  <c r="E282" i="1"/>
  <c r="E290" i="1"/>
  <c r="E294" i="1"/>
  <c r="E302" i="1"/>
  <c r="E330" i="1"/>
  <c r="E338" i="1"/>
  <c r="E346" i="1"/>
  <c r="E366" i="1"/>
  <c r="E370" i="1"/>
  <c r="E382" i="1"/>
  <c r="E394" i="1"/>
  <c r="E402" i="1"/>
  <c r="E626" i="1"/>
  <c r="E698" i="1"/>
  <c r="E762" i="1"/>
  <c r="E802" i="1"/>
  <c r="E826" i="1"/>
  <c r="E846" i="1"/>
  <c r="E854" i="1"/>
  <c r="E858" i="1"/>
  <c r="E886" i="1"/>
  <c r="E894" i="1"/>
  <c r="E926" i="1"/>
  <c r="E990" i="1"/>
  <c r="E998" i="1"/>
  <c r="E359" i="1"/>
  <c r="E387" i="1"/>
  <c r="E403" i="1"/>
  <c r="E415" i="1"/>
  <c r="E427" i="1"/>
  <c r="E435" i="1"/>
  <c r="E511" i="1"/>
  <c r="E515" i="1"/>
  <c r="E523" i="1"/>
  <c r="E527" i="1"/>
  <c r="E535" i="1"/>
  <c r="E547" i="1"/>
  <c r="E555" i="1"/>
  <c r="E559" i="1"/>
  <c r="E563" i="1"/>
  <c r="E567" i="1"/>
  <c r="E571" i="1"/>
  <c r="E575" i="1"/>
  <c r="E587" i="1"/>
  <c r="E611" i="1"/>
  <c r="E615" i="1"/>
  <c r="E623" i="1"/>
  <c r="E631" i="1"/>
  <c r="E639" i="1"/>
  <c r="E647" i="1"/>
  <c r="E655" i="1"/>
  <c r="E659" i="1"/>
  <c r="E663" i="1"/>
  <c r="E671" i="1"/>
  <c r="E679" i="1"/>
  <c r="E687" i="1"/>
  <c r="E691" i="1"/>
  <c r="E695" i="1"/>
  <c r="E703" i="1"/>
  <c r="E711" i="1"/>
  <c r="E719" i="1"/>
  <c r="E723" i="1"/>
  <c r="E739" i="1"/>
  <c r="E743" i="1"/>
  <c r="E747" i="1"/>
  <c r="E755" i="1"/>
  <c r="E759" i="1"/>
  <c r="E763" i="1"/>
  <c r="E771" i="1"/>
  <c r="E779" i="1"/>
  <c r="E791" i="1"/>
  <c r="E799" i="1"/>
  <c r="E803" i="1"/>
  <c r="E807" i="1"/>
  <c r="E811" i="1"/>
  <c r="E815" i="1"/>
  <c r="E827" i="1"/>
  <c r="E839" i="1"/>
  <c r="E843" i="1"/>
  <c r="E851" i="1"/>
  <c r="E855" i="1"/>
  <c r="E859" i="1"/>
  <c r="E863" i="1"/>
  <c r="E871" i="1"/>
  <c r="E875" i="1"/>
  <c r="E883" i="1"/>
  <c r="E899" i="1"/>
  <c r="E903" i="1"/>
  <c r="E907" i="1"/>
  <c r="E915" i="1"/>
  <c r="E927" i="1"/>
  <c r="E943" i="1"/>
  <c r="E947" i="1"/>
  <c r="E951" i="1"/>
  <c r="E955" i="1"/>
  <c r="E959" i="1"/>
  <c r="E963" i="1"/>
  <c r="E975" i="1"/>
  <c r="E979" i="1"/>
  <c r="E995" i="1"/>
  <c r="E999" i="1"/>
  <c r="E996" i="1"/>
  <c r="E741" i="1"/>
  <c r="E841" i="1"/>
  <c r="E853" i="1"/>
  <c r="E873" i="1"/>
  <c r="E172" i="1"/>
  <c r="E188" i="1"/>
  <c r="E200" i="1"/>
  <c r="E216" i="1"/>
  <c r="E232" i="1"/>
  <c r="E248" i="1"/>
  <c r="E268" i="1"/>
  <c r="E280" i="1"/>
  <c r="E300" i="1"/>
  <c r="E324" i="1"/>
  <c r="E340" i="1"/>
  <c r="E356" i="1"/>
  <c r="E372" i="1"/>
  <c r="E388" i="1"/>
  <c r="E677" i="1"/>
  <c r="E156" i="1"/>
  <c r="E168" i="1"/>
  <c r="E184" i="1"/>
  <c r="E204" i="1"/>
  <c r="E224" i="1"/>
  <c r="E240" i="1"/>
  <c r="E256" i="1"/>
  <c r="E276" i="1"/>
  <c r="E292" i="1"/>
  <c r="E308" i="1"/>
  <c r="E316" i="1"/>
  <c r="E328" i="1"/>
  <c r="E344" i="1"/>
  <c r="E360" i="1"/>
  <c r="E376" i="1"/>
  <c r="E392" i="1"/>
  <c r="E36" i="1"/>
  <c r="E148" i="1"/>
  <c r="E160" i="1"/>
  <c r="E180" i="1"/>
  <c r="E196" i="1"/>
  <c r="E212" i="1"/>
  <c r="E228" i="1"/>
  <c r="E244" i="1"/>
  <c r="E260" i="1"/>
  <c r="E284" i="1"/>
  <c r="E304" i="1"/>
  <c r="E320" i="1"/>
  <c r="E336" i="1"/>
  <c r="E352" i="1"/>
  <c r="E368" i="1"/>
  <c r="E380" i="1"/>
  <c r="E396" i="1"/>
  <c r="E709" i="1"/>
  <c r="E981" i="1"/>
  <c r="E152" i="1"/>
  <c r="E164" i="1"/>
  <c r="E176" i="1"/>
  <c r="E192" i="1"/>
  <c r="E208" i="1"/>
  <c r="E220" i="1"/>
  <c r="E236" i="1"/>
  <c r="E252" i="1"/>
  <c r="E272" i="1"/>
  <c r="E288" i="1"/>
  <c r="E296" i="1"/>
  <c r="E312" i="1"/>
  <c r="E332" i="1"/>
  <c r="E348" i="1"/>
  <c r="E364" i="1"/>
  <c r="E384" i="1"/>
  <c r="E400" i="1"/>
  <c r="E645" i="1"/>
  <c r="E6" i="1"/>
  <c r="E10" i="1"/>
  <c r="E14" i="1"/>
  <c r="E18" i="1"/>
  <c r="E22" i="1"/>
  <c r="E26" i="1"/>
  <c r="E30" i="1"/>
  <c r="E34" i="1"/>
  <c r="E38" i="1"/>
  <c r="E42" i="1"/>
  <c r="E46" i="1"/>
  <c r="E50" i="1"/>
  <c r="E54" i="1"/>
  <c r="E58" i="1"/>
  <c r="E62" i="1"/>
  <c r="E66" i="1"/>
  <c r="E70" i="1"/>
  <c r="E146" i="1"/>
  <c r="E154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221" i="1"/>
  <c r="E225" i="1"/>
  <c r="E229" i="1"/>
  <c r="E233" i="1"/>
  <c r="E237" i="1"/>
  <c r="E241" i="1"/>
  <c r="E245" i="1"/>
  <c r="E249" i="1"/>
  <c r="E253" i="1"/>
  <c r="E257" i="1"/>
  <c r="E261" i="1"/>
  <c r="E265" i="1"/>
  <c r="E269" i="1"/>
  <c r="E273" i="1"/>
  <c r="E277" i="1"/>
  <c r="E281" i="1"/>
  <c r="E285" i="1"/>
  <c r="E289" i="1"/>
  <c r="E293" i="1"/>
  <c r="E297" i="1"/>
  <c r="E301" i="1"/>
  <c r="E305" i="1"/>
  <c r="E309" i="1"/>
  <c r="E313" i="1"/>
  <c r="E317" i="1"/>
  <c r="E321" i="1"/>
  <c r="E325" i="1"/>
  <c r="E329" i="1"/>
  <c r="E333" i="1"/>
  <c r="E337" i="1"/>
  <c r="E341" i="1"/>
  <c r="E345" i="1"/>
  <c r="E349" i="1"/>
  <c r="E353" i="1"/>
  <c r="E357" i="1"/>
  <c r="E361" i="1"/>
  <c r="E365" i="1"/>
  <c r="E369" i="1"/>
  <c r="E373" i="1"/>
  <c r="E377" i="1"/>
  <c r="E381" i="1"/>
  <c r="E385" i="1"/>
  <c r="E389" i="1"/>
  <c r="E393" i="1"/>
  <c r="E397" i="1"/>
  <c r="E354" i="1"/>
  <c r="E378" i="1"/>
  <c r="E323" i="1"/>
  <c r="E335" i="1"/>
  <c r="E347" i="1"/>
  <c r="E371" i="1"/>
  <c r="E375" i="1"/>
  <c r="E379" i="1"/>
  <c r="E383" i="1"/>
  <c r="E399" i="1"/>
  <c r="E411" i="1"/>
  <c r="E419" i="1"/>
  <c r="E543" i="1"/>
  <c r="E579" i="1"/>
  <c r="E911" i="1"/>
  <c r="E342" i="1"/>
  <c r="E202" i="1"/>
  <c r="E326" i="1"/>
  <c r="E390" i="1"/>
  <c r="E414" i="1"/>
  <c r="E434" i="1"/>
  <c r="E786" i="1"/>
  <c r="E818" i="1"/>
  <c r="E830" i="1"/>
  <c r="E850" i="1"/>
  <c r="E874" i="1"/>
  <c r="E890" i="1"/>
  <c r="E906" i="1"/>
  <c r="E922" i="1"/>
  <c r="E938" i="1"/>
  <c r="E950" i="1"/>
  <c r="E966" i="1"/>
  <c r="E970" i="1"/>
  <c r="E974" i="1"/>
  <c r="E978" i="1"/>
  <c r="E982" i="1"/>
  <c r="E5" i="1"/>
  <c r="E9" i="1"/>
  <c r="E13" i="1"/>
  <c r="E17" i="1"/>
  <c r="E21" i="1"/>
  <c r="E25" i="1"/>
  <c r="E29" i="1"/>
  <c r="E33" i="1"/>
  <c r="E37" i="1"/>
  <c r="E41" i="1"/>
  <c r="E539" i="1"/>
  <c r="E603" i="1"/>
  <c r="E635" i="1"/>
  <c r="E667" i="1"/>
  <c r="E699" i="1"/>
  <c r="E727" i="1"/>
  <c r="E823" i="1"/>
  <c r="E935" i="1"/>
  <c r="E967" i="1"/>
  <c r="E84" i="1"/>
  <c r="E418" i="1"/>
  <c r="E774" i="1"/>
  <c r="E790" i="1"/>
  <c r="E806" i="1"/>
  <c r="E822" i="1"/>
  <c r="E842" i="1"/>
  <c r="E862" i="1"/>
  <c r="E878" i="1"/>
  <c r="E898" i="1"/>
  <c r="E910" i="1"/>
  <c r="E930" i="1"/>
  <c r="E954" i="1"/>
  <c r="E410" i="1"/>
  <c r="E534" i="1"/>
  <c r="E598" i="1"/>
  <c r="E782" i="1"/>
  <c r="E798" i="1"/>
  <c r="E810" i="1"/>
  <c r="E838" i="1"/>
  <c r="E870" i="1"/>
  <c r="E918" i="1"/>
  <c r="E942" i="1"/>
  <c r="E986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134" i="1"/>
  <c r="E138" i="1"/>
  <c r="E142" i="1"/>
  <c r="E406" i="1"/>
  <c r="E422" i="1"/>
  <c r="E690" i="1"/>
  <c r="E778" i="1"/>
  <c r="E794" i="1"/>
  <c r="E814" i="1"/>
  <c r="E834" i="1"/>
  <c r="E866" i="1"/>
  <c r="E882" i="1"/>
  <c r="E902" i="1"/>
  <c r="E914" i="1"/>
  <c r="E934" i="1"/>
  <c r="E946" i="1"/>
  <c r="E958" i="1"/>
  <c r="E264" i="1"/>
  <c r="E150" i="1"/>
  <c r="E162" i="1"/>
  <c r="E174" i="1"/>
  <c r="E178" i="1"/>
  <c r="E186" i="1"/>
  <c r="E198" i="1"/>
  <c r="E210" i="1"/>
  <c r="E214" i="1"/>
  <c r="E222" i="1"/>
  <c r="E226" i="1"/>
  <c r="E234" i="1"/>
  <c r="E238" i="1"/>
  <c r="E246" i="1"/>
  <c r="E250" i="1"/>
  <c r="E262" i="1"/>
  <c r="E270" i="1"/>
  <c r="E274" i="1"/>
  <c r="E286" i="1"/>
  <c r="E298" i="1"/>
  <c r="E310" i="1"/>
  <c r="E322" i="1"/>
  <c r="E334" i="1"/>
  <c r="E350" i="1"/>
  <c r="E358" i="1"/>
  <c r="E362" i="1"/>
  <c r="E374" i="1"/>
  <c r="E386" i="1"/>
  <c r="E398" i="1"/>
  <c r="E401" i="1"/>
  <c r="E405" i="1"/>
  <c r="E409" i="1"/>
  <c r="E413" i="1"/>
  <c r="E417" i="1"/>
  <c r="E421" i="1"/>
  <c r="E425" i="1"/>
  <c r="E429" i="1"/>
  <c r="E433" i="1"/>
  <c r="E509" i="1"/>
  <c r="E513" i="1"/>
  <c r="E517" i="1"/>
  <c r="E521" i="1"/>
  <c r="E525" i="1"/>
  <c r="E529" i="1"/>
  <c r="E533" i="1"/>
  <c r="E537" i="1"/>
  <c r="E541" i="1"/>
  <c r="E545" i="1"/>
  <c r="E549" i="1"/>
  <c r="E553" i="1"/>
  <c r="E557" i="1"/>
  <c r="E561" i="1"/>
  <c r="E565" i="1"/>
  <c r="E569" i="1"/>
  <c r="E573" i="1"/>
  <c r="E577" i="1"/>
  <c r="E581" i="1"/>
  <c r="E613" i="1"/>
  <c r="E773" i="1"/>
  <c r="E785" i="1"/>
  <c r="E805" i="1"/>
  <c r="E817" i="1"/>
  <c r="E905" i="1"/>
  <c r="E917" i="1"/>
  <c r="E937" i="1"/>
  <c r="E949" i="1"/>
  <c r="E51" i="1"/>
  <c r="E55" i="1"/>
  <c r="E59" i="1"/>
  <c r="E63" i="1"/>
  <c r="E67" i="1"/>
  <c r="E71" i="1"/>
  <c r="E75" i="1"/>
  <c r="E585" i="1"/>
  <c r="E589" i="1"/>
  <c r="E593" i="1"/>
  <c r="E597" i="1"/>
  <c r="E601" i="1"/>
  <c r="E605" i="1"/>
  <c r="E609" i="1"/>
  <c r="E617" i="1"/>
  <c r="E621" i="1"/>
  <c r="E625" i="1"/>
  <c r="E629" i="1"/>
  <c r="E633" i="1"/>
  <c r="E637" i="1"/>
  <c r="E641" i="1"/>
  <c r="E649" i="1"/>
  <c r="E653" i="1"/>
  <c r="E657" i="1"/>
  <c r="E661" i="1"/>
  <c r="E665" i="1"/>
  <c r="E669" i="1"/>
  <c r="E673" i="1"/>
  <c r="E681" i="1"/>
  <c r="E685" i="1"/>
  <c r="E689" i="1"/>
  <c r="E693" i="1"/>
  <c r="E697" i="1"/>
  <c r="E701" i="1"/>
  <c r="E705" i="1"/>
  <c r="E713" i="1"/>
  <c r="E717" i="1"/>
  <c r="E721" i="1"/>
  <c r="E725" i="1"/>
  <c r="E729" i="1"/>
  <c r="E733" i="1"/>
  <c r="E737" i="1"/>
  <c r="E745" i="1"/>
  <c r="E749" i="1"/>
  <c r="E753" i="1"/>
  <c r="E757" i="1"/>
  <c r="E761" i="1"/>
  <c r="E765" i="1"/>
  <c r="E769" i="1"/>
  <c r="E777" i="1"/>
  <c r="E781" i="1"/>
  <c r="E789" i="1"/>
  <c r="E793" i="1"/>
  <c r="E797" i="1"/>
  <c r="E801" i="1"/>
  <c r="E809" i="1"/>
  <c r="E813" i="1"/>
  <c r="E821" i="1"/>
  <c r="E825" i="1"/>
  <c r="E829" i="1"/>
  <c r="E833" i="1"/>
  <c r="E837" i="1"/>
  <c r="E845" i="1"/>
  <c r="E849" i="1"/>
  <c r="E857" i="1"/>
  <c r="E861" i="1"/>
  <c r="E865" i="1"/>
  <c r="E869" i="1"/>
  <c r="E877" i="1"/>
  <c r="E881" i="1"/>
  <c r="E889" i="1"/>
  <c r="E893" i="1"/>
  <c r="E897" i="1"/>
  <c r="E901" i="1"/>
  <c r="E909" i="1"/>
  <c r="E913" i="1"/>
  <c r="E921" i="1"/>
  <c r="E925" i="1"/>
  <c r="E929" i="1"/>
  <c r="E933" i="1"/>
  <c r="E941" i="1"/>
  <c r="E945" i="1"/>
  <c r="E953" i="1"/>
  <c r="E957" i="1"/>
  <c r="E961" i="1"/>
  <c r="E965" i="1"/>
  <c r="E973" i="1"/>
  <c r="E977" i="1"/>
  <c r="E985" i="1"/>
  <c r="E989" i="1"/>
  <c r="E993" i="1"/>
  <c r="E997" i="1"/>
  <c r="E994" i="1"/>
  <c r="E4" i="1"/>
  <c r="E8" i="1"/>
  <c r="E12" i="1"/>
  <c r="E16" i="1"/>
  <c r="E20" i="1"/>
  <c r="E24" i="1"/>
  <c r="E28" i="1"/>
  <c r="E32" i="1"/>
  <c r="E40" i="1"/>
  <c r="E44" i="1"/>
  <c r="E48" i="1"/>
  <c r="E52" i="1"/>
  <c r="E56" i="1"/>
  <c r="E60" i="1"/>
  <c r="E64" i="1"/>
  <c r="E68" i="1"/>
  <c r="E72" i="1"/>
  <c r="E76" i="1"/>
  <c r="E80" i="1"/>
  <c r="E88" i="1"/>
  <c r="E92" i="1"/>
  <c r="E96" i="1"/>
  <c r="E100" i="1"/>
  <c r="E104" i="1"/>
  <c r="E108" i="1"/>
  <c r="E112" i="1"/>
  <c r="E116" i="1"/>
  <c r="E120" i="1"/>
  <c r="E124" i="1"/>
  <c r="E128" i="1"/>
  <c r="E136" i="1"/>
  <c r="E140" i="1"/>
  <c r="E144" i="1"/>
  <c r="E79" i="1"/>
  <c r="E83" i="1"/>
  <c r="E87" i="1"/>
  <c r="E91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45" i="1"/>
  <c r="E49" i="1"/>
  <c r="E53" i="1"/>
  <c r="E57" i="1"/>
  <c r="E61" i="1"/>
  <c r="E65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E121" i="1"/>
  <c r="E125" i="1"/>
  <c r="E129" i="1"/>
  <c r="E133" i="1"/>
  <c r="E137" i="1"/>
  <c r="E141" i="1"/>
  <c r="E145" i="1"/>
  <c r="E426" i="1"/>
  <c r="E430" i="1"/>
  <c r="E510" i="1"/>
  <c r="E514" i="1"/>
  <c r="E518" i="1"/>
  <c r="E522" i="1"/>
  <c r="E526" i="1"/>
  <c r="E530" i="1"/>
  <c r="E538" i="1"/>
  <c r="E542" i="1"/>
  <c r="E546" i="1"/>
  <c r="E550" i="1"/>
  <c r="E554" i="1"/>
  <c r="E558" i="1"/>
  <c r="E562" i="1"/>
  <c r="E566" i="1"/>
  <c r="E570" i="1"/>
  <c r="E574" i="1"/>
  <c r="E578" i="1"/>
  <c r="E582" i="1"/>
  <c r="E586" i="1"/>
  <c r="E590" i="1"/>
  <c r="E594" i="1"/>
  <c r="E602" i="1"/>
  <c r="E606" i="1"/>
  <c r="E610" i="1"/>
  <c r="E614" i="1"/>
  <c r="E618" i="1"/>
  <c r="E622" i="1"/>
  <c r="E630" i="1"/>
  <c r="E634" i="1"/>
  <c r="E638" i="1"/>
  <c r="E642" i="1"/>
  <c r="E646" i="1"/>
  <c r="E650" i="1"/>
  <c r="E654" i="1"/>
  <c r="E658" i="1"/>
  <c r="E662" i="1"/>
  <c r="E666" i="1"/>
  <c r="E670" i="1"/>
  <c r="E674" i="1"/>
  <c r="E678" i="1"/>
  <c r="E682" i="1"/>
  <c r="E686" i="1"/>
  <c r="E694" i="1"/>
  <c r="E702" i="1"/>
  <c r="E706" i="1"/>
  <c r="E710" i="1"/>
  <c r="E714" i="1"/>
  <c r="E718" i="1"/>
  <c r="E722" i="1"/>
  <c r="E726" i="1"/>
  <c r="E730" i="1"/>
  <c r="E734" i="1"/>
  <c r="E738" i="1"/>
  <c r="E742" i="1"/>
  <c r="E746" i="1"/>
  <c r="E750" i="1"/>
  <c r="E754" i="1"/>
  <c r="E758" i="1"/>
  <c r="E766" i="1"/>
  <c r="E770" i="1"/>
  <c r="Q17" i="6" a="1"/>
  <c r="Q17" i="6" s="1"/>
  <c r="M10" i="6" a="1"/>
  <c r="M10" i="6" s="1"/>
  <c r="K23" i="6" s="1"/>
  <c r="K10" i="6" a="1"/>
  <c r="K10" i="6" s="1"/>
  <c r="G10" i="6" a="1"/>
  <c r="G10" i="6" s="1"/>
  <c r="F10" i="6" a="1"/>
  <c r="F10" i="6" s="1"/>
  <c r="D10" i="6" a="1"/>
  <c r="D10" i="6" s="1"/>
  <c r="C10" i="6" a="1"/>
  <c r="C10" i="6" s="1"/>
  <c r="C9" i="6" a="1"/>
  <c r="C9" i="6" s="1"/>
  <c r="K15" i="6" s="1"/>
  <c r="G9" i="6" a="1"/>
  <c r="G9" i="6" s="1"/>
  <c r="I9" i="6" a="1"/>
  <c r="I9" i="6" s="1"/>
  <c r="M9" i="6" a="1"/>
  <c r="M9" i="6" s="1"/>
  <c r="K25" i="6" s="1"/>
  <c r="Q19" i="6" a="1"/>
  <c r="Q19" i="6" s="1"/>
  <c r="Q18" i="6" a="1"/>
  <c r="Q18" i="6" s="1"/>
  <c r="C7" i="6" s="1"/>
  <c r="J9" i="6" a="1"/>
  <c r="J9" i="6" s="1"/>
  <c r="E29" i="4"/>
  <c r="E30" i="4"/>
  <c r="M30" i="4" a="1"/>
  <c r="M30" i="4" s="1"/>
  <c r="M29" i="4" a="1"/>
  <c r="M29" i="4" s="1"/>
  <c r="E436" i="1"/>
  <c r="E4" i="6"/>
  <c r="B28" i="4"/>
  <c r="E28" i="4"/>
  <c r="F28" i="4"/>
  <c r="G28" i="4"/>
  <c r="H28" i="4"/>
  <c r="I28" i="4"/>
  <c r="J28" i="4"/>
  <c r="K28" i="4"/>
  <c r="N28" i="4" a="1"/>
  <c r="N28" i="4" s="1"/>
  <c r="M28" i="4" a="1"/>
  <c r="M28" i="4" s="1"/>
  <c r="A28" i="4"/>
  <c r="L28" i="4"/>
  <c r="A1" i="7"/>
  <c r="K4" i="6"/>
  <c r="E499" i="1" l="1"/>
  <c r="E498" i="1"/>
  <c r="E497" i="1"/>
  <c r="E496" i="1"/>
  <c r="E495" i="1"/>
  <c r="E494" i="1"/>
  <c r="E493" i="1"/>
  <c r="E492" i="1"/>
  <c r="E491" i="1"/>
  <c r="E490" i="1"/>
  <c r="E500" i="1"/>
  <c r="G27" i="4"/>
  <c r="F27" i="4"/>
  <c r="K27" i="4"/>
  <c r="J27" i="4"/>
  <c r="B27" i="4"/>
  <c r="N27" i="4" a="1"/>
  <c r="N27" i="4" s="1"/>
  <c r="L27" i="4"/>
  <c r="A27" i="4"/>
  <c r="M27" i="4" a="1"/>
  <c r="M27" i="4" s="1"/>
  <c r="I27" i="4"/>
  <c r="H27" i="4"/>
  <c r="G26" i="4"/>
  <c r="H26" i="4"/>
  <c r="A26" i="4"/>
  <c r="L26" i="4"/>
  <c r="J26" i="4"/>
  <c r="I26" i="4"/>
  <c r="K26" i="4"/>
  <c r="N26" i="4" a="1"/>
  <c r="N26" i="4" s="1"/>
  <c r="M26" i="4" a="1"/>
  <c r="M26" i="4" s="1"/>
  <c r="B26" i="4"/>
  <c r="F26" i="4"/>
  <c r="E26" i="4"/>
  <c r="K2" i="6"/>
  <c r="H30" i="6" s="1" a="1"/>
  <c r="H30" i="6" s="1"/>
  <c r="J25" i="4"/>
  <c r="F25" i="4"/>
  <c r="M25" i="4" a="1"/>
  <c r="M25" i="4" s="1"/>
  <c r="L25" i="4"/>
  <c r="B24" i="4"/>
  <c r="F24" i="4"/>
  <c r="G24" i="4"/>
  <c r="K25" i="4"/>
  <c r="I25" i="4"/>
  <c r="H25" i="4"/>
  <c r="G25" i="4"/>
  <c r="A25" i="4"/>
  <c r="E25" i="4"/>
  <c r="L24" i="4"/>
  <c r="B25" i="4"/>
  <c r="N25" i="4" a="1"/>
  <c r="N25" i="4" s="1"/>
  <c r="J24" i="4"/>
  <c r="N24" i="4" a="1"/>
  <c r="N24" i="4" s="1"/>
  <c r="E24" i="4"/>
  <c r="M24" i="4" a="1"/>
  <c r="M24" i="4" s="1"/>
  <c r="A24" i="4"/>
  <c r="K24" i="4"/>
  <c r="I24" i="4"/>
  <c r="H24" i="4"/>
  <c r="J3" i="4"/>
  <c r="O4" i="4"/>
  <c r="G20" i="4"/>
  <c r="E16" i="4"/>
  <c r="I20" i="4"/>
  <c r="H14" i="4"/>
  <c r="M20" i="4" a="1"/>
  <c r="M20" i="4" s="1"/>
  <c r="I12" i="4"/>
  <c r="L22" i="4"/>
  <c r="G9" i="4"/>
  <c r="K18" i="4"/>
  <c r="K7" i="4"/>
  <c r="J15" i="4"/>
  <c r="L11" i="4"/>
  <c r="E11" i="4"/>
  <c r="G17" i="4"/>
  <c r="E13" i="4"/>
  <c r="I17" i="4"/>
  <c r="J19" i="4"/>
  <c r="E14" i="4"/>
  <c r="A13" i="4"/>
  <c r="F10" i="4"/>
  <c r="I16" i="4"/>
  <c r="K14" i="4"/>
  <c r="N13" i="4" a="1"/>
  <c r="N13" i="4" s="1"/>
  <c r="N10" i="4" a="1"/>
  <c r="N10" i="4" s="1"/>
  <c r="J13" i="4"/>
  <c r="J11" i="4"/>
  <c r="F7" i="4"/>
  <c r="B9" i="4"/>
  <c r="F18" i="4"/>
  <c r="N15" i="4" a="1"/>
  <c r="N15" i="4" s="1"/>
  <c r="E23" i="4"/>
  <c r="I10" i="4"/>
  <c r="J14" i="4"/>
  <c r="K21" i="4"/>
  <c r="I18" i="4"/>
  <c r="F15" i="4"/>
  <c r="G11" i="4"/>
  <c r="L17" i="4"/>
  <c r="A21" i="4"/>
  <c r="L9" i="4"/>
  <c r="I23" i="4"/>
  <c r="F12" i="4"/>
  <c r="M21" i="4" a="1"/>
  <c r="M21" i="4" s="1"/>
  <c r="B11" i="4"/>
  <c r="B21" i="4"/>
  <c r="E15" i="4"/>
  <c r="A11" i="4"/>
  <c r="E19" i="4"/>
  <c r="F8" i="4"/>
  <c r="L21" i="4"/>
  <c r="L10" i="4"/>
  <c r="B16" i="4"/>
  <c r="K12" i="4"/>
  <c r="J16" i="4"/>
  <c r="L19" i="4"/>
  <c r="A17" i="4"/>
  <c r="N8" i="4" a="1"/>
  <c r="N8" i="4" s="1"/>
  <c r="B14" i="4"/>
  <c r="I9" i="4"/>
  <c r="I11" i="4"/>
  <c r="N20" i="4" a="1"/>
  <c r="N20" i="4" s="1"/>
  <c r="A7" i="4"/>
  <c r="J12" i="4"/>
  <c r="J18" i="4"/>
  <c r="G21" i="4"/>
  <c r="H18" i="4"/>
  <c r="B15" i="4"/>
  <c r="M12" i="4" a="1"/>
  <c r="M12" i="4" s="1"/>
  <c r="K11" i="4"/>
  <c r="E22" i="4"/>
  <c r="C6" i="4"/>
  <c r="H8" i="4"/>
  <c r="M13" i="4" a="1"/>
  <c r="M13" i="4" s="1"/>
  <c r="L23" i="4"/>
  <c r="N18" i="4" a="1"/>
  <c r="N18" i="4" s="1"/>
  <c r="J9" i="4"/>
  <c r="L18" i="4"/>
  <c r="H12" i="4"/>
  <c r="H20" i="4"/>
  <c r="H16" i="4"/>
  <c r="N9" i="4" a="1"/>
  <c r="N9" i="4" s="1"/>
  <c r="B13" i="4"/>
  <c r="J21" i="4"/>
  <c r="H9" i="4"/>
  <c r="L13" i="4"/>
  <c r="L15" i="4"/>
  <c r="B10" i="4"/>
  <c r="I14" i="4"/>
  <c r="J23" i="4"/>
  <c r="J7" i="4"/>
  <c r="A23" i="4"/>
  <c r="B19" i="4"/>
  <c r="M10" i="4" a="1"/>
  <c r="M10" i="4" s="1"/>
  <c r="E21" i="4"/>
  <c r="M19" i="4" a="1"/>
  <c r="M19" i="4" s="1"/>
  <c r="G16" i="4"/>
  <c r="A15" i="4"/>
  <c r="M7" i="4" a="1"/>
  <c r="M7" i="4" s="1"/>
  <c r="N7" i="4" a="1"/>
  <c r="N7" i="4" s="1"/>
  <c r="B8" i="4"/>
  <c r="G10" i="4"/>
  <c r="A10" i="4"/>
  <c r="F22" i="4"/>
  <c r="N12" i="4" a="1"/>
  <c r="N12" i="4" s="1"/>
  <c r="J17" i="4"/>
  <c r="L14" i="4"/>
  <c r="H17" i="4"/>
  <c r="K13" i="4"/>
  <c r="H22" i="4"/>
  <c r="L7" i="4"/>
  <c r="E18" i="4"/>
  <c r="B12" i="4"/>
  <c r="A19" i="4"/>
  <c r="B17" i="4"/>
  <c r="N11" i="4" a="1"/>
  <c r="N11" i="4" s="1"/>
  <c r="G18" i="4"/>
  <c r="I8" i="4"/>
  <c r="N21" i="4" a="1"/>
  <c r="N21" i="4" s="1"/>
  <c r="L20" i="4"/>
  <c r="F11" i="4"/>
  <c r="M15" i="4" a="1"/>
  <c r="M15" i="4" s="1"/>
  <c r="M14" i="4" a="1"/>
  <c r="M14" i="4" s="1"/>
  <c r="K15" i="4"/>
  <c r="K22" i="4"/>
  <c r="A14" i="4"/>
  <c r="H23" i="4"/>
  <c r="N17" i="4" a="1"/>
  <c r="N17" i="4" s="1"/>
  <c r="F23" i="4"/>
  <c r="E7" i="4"/>
  <c r="I13" i="4"/>
  <c r="B23" i="4"/>
  <c r="H10" i="4"/>
  <c r="K16" i="4"/>
  <c r="G22" i="4"/>
  <c r="N22" i="4" a="1"/>
  <c r="N22" i="4" s="1"/>
  <c r="K19" i="4"/>
  <c r="F19" i="4"/>
  <c r="H11" i="4"/>
  <c r="E20" i="4"/>
  <c r="H13" i="4"/>
  <c r="G14" i="4"/>
  <c r="M23" i="4" a="1"/>
  <c r="M23" i="4" s="1"/>
  <c r="B18" i="4"/>
  <c r="F13" i="4"/>
  <c r="L16" i="4"/>
  <c r="K23" i="4"/>
  <c r="J20" i="4"/>
  <c r="I7" i="4"/>
  <c r="F16" i="4"/>
  <c r="G23" i="4"/>
  <c r="I19" i="4"/>
  <c r="I21" i="4"/>
  <c r="G8" i="4"/>
  <c r="E12" i="4"/>
  <c r="E8" i="4"/>
  <c r="F17" i="4"/>
  <c r="K17" i="4"/>
  <c r="M16" i="4" a="1"/>
  <c r="M16" i="4" s="1"/>
  <c r="G19" i="4"/>
  <c r="H21" i="4"/>
  <c r="M22" i="4" a="1"/>
  <c r="M22" i="4" s="1"/>
  <c r="A20" i="4"/>
  <c r="J10" i="4"/>
  <c r="F9" i="4"/>
  <c r="B20" i="4"/>
  <c r="J8" i="4"/>
  <c r="B7" i="4"/>
  <c r="A12" i="4"/>
  <c r="F21" i="4"/>
  <c r="F14" i="4"/>
  <c r="N16" i="4" a="1"/>
  <c r="N16" i="4" s="1"/>
  <c r="E9" i="4"/>
  <c r="K20" i="4"/>
  <c r="M11" i="4" a="1"/>
  <c r="M11" i="4" s="1"/>
  <c r="M8" i="4" a="1"/>
  <c r="M8" i="4" s="1"/>
  <c r="K8" i="4"/>
  <c r="F20" i="4"/>
  <c r="N23" i="4" a="1"/>
  <c r="N23" i="4" s="1"/>
  <c r="H7" i="4"/>
  <c r="L8" i="4"/>
  <c r="A22" i="4"/>
  <c r="M18" i="4" a="1"/>
  <c r="M18" i="4" s="1"/>
  <c r="M17" i="4" a="1"/>
  <c r="M17" i="4" s="1"/>
  <c r="A16" i="4"/>
  <c r="J22" i="4"/>
  <c r="N19" i="4" a="1"/>
  <c r="N19" i="4" s="1"/>
  <c r="G15" i="4"/>
  <c r="I22" i="4"/>
  <c r="E17" i="4"/>
  <c r="G12" i="4"/>
  <c r="H19" i="4"/>
  <c r="B22" i="4"/>
  <c r="A8" i="4"/>
  <c r="A9" i="4"/>
  <c r="N14" i="4" a="1"/>
  <c r="N14" i="4" s="1"/>
  <c r="A18" i="4"/>
  <c r="K10" i="4"/>
  <c r="H15" i="4"/>
  <c r="M9" i="4" a="1"/>
  <c r="M9" i="4" s="1"/>
  <c r="I15" i="4"/>
  <c r="L12" i="4"/>
  <c r="K9" i="4"/>
  <c r="G7" i="4"/>
  <c r="G13" i="4"/>
  <c r="E10" i="4"/>
  <c r="A6" i="8" a="1"/>
  <c r="A6" i="8" s="1"/>
  <c r="J7" i="6"/>
  <c r="L7" i="6" s="1"/>
  <c r="Q16" i="6"/>
  <c r="E17" i="6"/>
  <c r="D30" i="6" l="1" a="1"/>
  <c r="D30" i="6" s="1"/>
  <c r="L30" i="6" s="1"/>
  <c r="K26" i="6" s="1"/>
  <c r="N6" i="4" a="1"/>
  <c r="N6" i="4" s="1"/>
  <c r="F6" i="4"/>
  <c r="M6" i="4" a="1"/>
  <c r="M6" i="4" s="1"/>
  <c r="L2" i="4"/>
  <c r="L6" i="4"/>
  <c r="E6" i="4"/>
  <c r="H6" i="4"/>
  <c r="J6" i="4"/>
  <c r="K6" i="4"/>
  <c r="I6" i="4"/>
  <c r="A6" i="4"/>
  <c r="G6" i="4"/>
  <c r="B6" i="4"/>
  <c r="F3" i="8"/>
  <c r="G3" i="8"/>
  <c r="E3" i="8"/>
  <c r="H17" i="6"/>
  <c r="H19" i="6" s="1"/>
  <c r="E18" i="6"/>
  <c r="E20" i="6"/>
  <c r="E19" i="6"/>
  <c r="I3" i="4" l="1"/>
  <c r="G3" i="4"/>
  <c r="H3" i="4"/>
  <c r="K17" i="6"/>
  <c r="K20" i="6"/>
  <c r="K19" i="6"/>
  <c r="H18" i="6"/>
  <c r="K18" i="6" s="1"/>
  <c r="H20" i="6"/>
  <c r="K28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tc={F9AE31DB-DE0A-4643-B142-BCEC16042FCE}</author>
    <author>tc={D72A0608-C46A-40AC-A42A-5E18E5C929EA}</author>
    <author>tc={CA06BD53-55BA-4655-BD0C-D15922EE6C83}</author>
    <author>tc={775282D1-9BAD-43FE-9181-F6826DCD3E6A}</author>
    <author>tc={84E8FFE5-ECD0-47ED-AF7E-93B8A2B93BF5}</author>
    <author>tc={F471A6A5-C9F9-4678-9909-6A8CA4D438E1}</author>
    <author>tc={6366D8E7-014D-4472-84B8-3E788B778AA9}</author>
    <author>tc={CBB3E35F-CFAC-4AAC-82A8-3912F8292474}</author>
    <author>tc={0BAB1E62-053D-4BFC-8536-589FC11897DC}</author>
    <author>tc={72AE1F5E-D306-4F7F-AB25-CB324B10FE2D}</author>
    <author>tc={C0A388D0-87A6-4393-B8B4-18F6E661E7AC}</author>
    <author>tc={12C76352-0C14-465C-94C2-A082AA3E97BE}</author>
    <author>tc={B824D831-7CE9-4503-9C23-8AF082A4F5F5}</author>
    <author>tc={82211D7D-C987-4B60-BC47-53AF473922EC}</author>
    <author>tc={4C616E1A-9F77-4741-99D2-09DB95880B52}</author>
  </authors>
  <commentList>
    <comment ref="J48" authorId="0" shapeId="0" xr:uid="{F9AE31DB-DE0A-4643-B142-BCEC16042FCE}">
      <text>
        <t>[Threaded comment]
Your version of Excel allows you to read this threaded comment; however, any edits to it will get removed if the file is opened in a newer version of Excel. Learn more: https://go.microsoft.com/fwlink/?linkid=870924
Comment:
    3/3 카드키 분실 30,000원 포함</t>
      </text>
    </comment>
    <comment ref="D184" authorId="1" shapeId="0" xr:uid="{D72A0608-C46A-40AC-A42A-5E18E5C929EA}">
      <text>
        <t>[Threaded comment]
Your version of Excel allows you to read this threaded comment; however, any edits to it will get removed if the file is opened in a newer version of Excel. Learn more: https://go.microsoft.com/fwlink/?linkid=870924
Comment:
    3/25 만기퇴실예정</t>
      </text>
    </comment>
    <comment ref="D213" authorId="2" shapeId="0" xr:uid="{CA06BD53-55BA-4655-BD0C-D15922EE6C83}">
      <text>
        <t>[Threaded comment]
Your version of Excel allows you to read this threaded comment; however, any edits to it will get removed if the file is opened in a newer version of Excel. Learn more: https://go.microsoft.com/fwlink/?linkid=870924
Comment:
    공실 안내하지 말것, 정담은에서 계약예정</t>
      </text>
    </comment>
    <comment ref="G259" authorId="3" shapeId="0" xr:uid="{775282D1-9BAD-43FE-9181-F6826DCD3E6A}">
      <text>
        <t>[Threaded comment]
Your version of Excel allows you to read this threaded comment; however, any edits to it will get removed if the file is opened in a newer version of Excel. Learn more: https://go.microsoft.com/fwlink/?linkid=870924
Comment:
    2/11 월세임</t>
      </text>
    </comment>
    <comment ref="D290" authorId="4" shapeId="0" xr:uid="{84E8FFE5-ECD0-47ED-AF7E-93B8A2B93BF5}">
      <text>
        <t>[Threaded comment]
Your version of Excel allows you to read this threaded comment; however, any edits to it will get removed if the file is opened in a newer version of Excel. Learn more: https://go.microsoft.com/fwlink/?linkid=870924
Comment:
    4월부터 관리비5%인상</t>
      </text>
    </comment>
    <comment ref="D293" authorId="5" shapeId="0" xr:uid="{F471A6A5-C9F9-4678-9909-6A8CA4D438E1}">
      <text>
        <t>[Threaded comment]
Your version of Excel allows you to read this threaded comment; however, any edits to it will get removed if the file is opened in a newer version of Excel. Learn more: https://go.microsoft.com/fwlink/?linkid=870924
Comment:
    4월부터 관리비5%인상</t>
      </text>
    </comment>
    <comment ref="D300" authorId="6" shapeId="0" xr:uid="{6366D8E7-014D-4472-84B8-3E788B778AA9}">
      <text>
        <t>[Threaded comment]
Your version of Excel allows you to read this threaded comment; however, any edits to it will get removed if the file is opened in a newer version of Excel. Learn more: https://go.microsoft.com/fwlink/?linkid=870924
Comment:
    4/13부터 관리비 30만원</t>
      </text>
    </comment>
    <comment ref="S300" authorId="7" shapeId="0" xr:uid="{CBB3E35F-CFAC-4AAC-82A8-3912F8292474}">
      <text>
        <t>[Threaded comment]
Your version of Excel allows you to read this threaded comment; however, any edits to it will get removed if the file is opened in a newer version of Excel. Learn more: https://go.microsoft.com/fwlink/?linkid=870924
Comment:
    4/13부터 관리비 30만원</t>
      </text>
    </comment>
    <comment ref="G413" authorId="8" shapeId="0" xr:uid="{0BAB1E62-053D-4BFC-8536-589FC11897DC}">
      <text>
        <t>[Threaded comment]
Your version of Excel allows you to read this threaded comment; however, any edits to it will get removed if the file is opened in a newer version of Excel. Learn more: https://go.microsoft.com/fwlink/?linkid=870924
Comment:
    3/5 최신화 =4,323,700
1/10 1,758,800원 (12월분 12/10-1/9)
2/10 2,564,900원(1월 분 1/10-2/9)</t>
      </text>
    </comment>
    <comment ref="D420" authorId="9" shapeId="0" xr:uid="{72AE1F5E-D306-4F7F-AB25-CB324B10FE2D}">
      <text>
        <t>[Threaded comment]
Your version of Excel allows you to read this threaded comment; however, any edits to it will get removed if the file is opened in a newer version of Excel. Learn more: https://go.microsoft.com/fwlink/?linkid=870924
Comment:
    4월부터 관리비5%인상</t>
      </text>
    </comment>
    <comment ref="Q428" authorId="10" shapeId="0" xr:uid="{C0A388D0-87A6-4393-B8B4-18F6E661E7AC}">
      <text>
        <t>[Threaded comment]
Your version of Excel allows you to read this threaded comment; however, any edits to it will get removed if the file is opened in a newer version of Excel. Learn more: https://go.microsoft.com/fwlink/?linkid=870924
Comment:
    9월 사용료(10월 청구료)부터 50+5 만원 추가</t>
      </text>
    </comment>
    <comment ref="D452" authorId="11" shapeId="0" xr:uid="{12C76352-0C14-465C-94C2-A082AA3E97BE}">
      <text>
        <t>[Threaded comment]
Your version of Excel allows you to read this threaded comment; however, any edits to it will get removed if the file is opened in a newer version of Excel. Learn more: https://go.microsoft.com/fwlink/?linkid=870924
Comment:
    4/3 퇴실 예약</t>
      </text>
    </comment>
    <comment ref="G464" authorId="12" shapeId="0" xr:uid="{B824D831-7CE9-4503-9C23-8AF082A4F5F5}">
      <text>
        <t>[Threaded comment]
Your version of Excel allows you to read this threaded comment; however, any edits to it will get removed if the file is opened in a newer version of Excel. Learn more: https://go.microsoft.com/fwlink/?linkid=870924
Comment:
    1월 분 미납액 8,916,000원</t>
      </text>
    </comment>
    <comment ref="G496" authorId="13" shapeId="0" xr:uid="{82211D7D-C987-4B60-BC47-53AF473922EC}">
      <text>
        <t>[Threaded comment]
Your version of Excel allows you to read this threaded comment; however, any edits to it will get removed if the file is opened in a newer version of Excel. Learn more: https://go.microsoft.com/fwlink/?linkid=870924
Comment:
    2월분</t>
      </text>
    </comment>
    <comment ref="I496" authorId="14" shapeId="0" xr:uid="{4C616E1A-9F77-4741-99D2-09DB95880B52}">
      <text>
        <t>[Threaded comment]
Your version of Excel allows you to read this threaded comment; however, any edits to it will get removed if the file is opened in a newer version of Excel. Learn more: https://go.microsoft.com/fwlink/?linkid=870924
Comment:
    3월분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<sst xmlns="http://schemas.openxmlformats.org/spreadsheetml/2006/main" count="11026" uniqueCount="3517">
  <si>
    <t>건물명</t>
    <phoneticPr fontId="2" type="noConversion"/>
  </si>
  <si>
    <t>호실</t>
    <phoneticPr fontId="2" type="noConversion"/>
  </si>
  <si>
    <t>입주자</t>
    <phoneticPr fontId="2" type="noConversion"/>
  </si>
  <si>
    <t>코드</t>
    <phoneticPr fontId="2" type="noConversion"/>
  </si>
  <si>
    <t>납부기한</t>
    <phoneticPr fontId="2" type="noConversion"/>
  </si>
  <si>
    <t>전월 청구</t>
    <phoneticPr fontId="2" type="noConversion"/>
  </si>
  <si>
    <t>당월청구</t>
    <phoneticPr fontId="2" type="noConversion"/>
  </si>
  <si>
    <t>연체료</t>
  </si>
  <si>
    <t>입주일</t>
    <phoneticPr fontId="2" type="noConversion"/>
  </si>
  <si>
    <t>만기일</t>
    <phoneticPr fontId="2" type="noConversion"/>
  </si>
  <si>
    <t>주민번호(사업자번호)</t>
    <phoneticPr fontId="2" type="noConversion"/>
  </si>
  <si>
    <t>연락처</t>
    <phoneticPr fontId="2" type="noConversion"/>
  </si>
  <si>
    <t>예치금</t>
    <phoneticPr fontId="2" type="noConversion"/>
  </si>
  <si>
    <t>임대료</t>
    <phoneticPr fontId="2" type="noConversion"/>
  </si>
  <si>
    <t>관리비</t>
    <phoneticPr fontId="2" type="noConversion"/>
  </si>
  <si>
    <t>수도</t>
    <phoneticPr fontId="2" type="noConversion"/>
  </si>
  <si>
    <t>케이블</t>
    <phoneticPr fontId="2" type="noConversion"/>
  </si>
  <si>
    <t>기타 보증금</t>
    <phoneticPr fontId="2" type="noConversion"/>
  </si>
  <si>
    <t>차량 번호</t>
    <phoneticPr fontId="2" type="noConversion"/>
  </si>
  <si>
    <t>청소비</t>
    <phoneticPr fontId="2" type="noConversion"/>
  </si>
  <si>
    <t>중개수수료</t>
    <phoneticPr fontId="2" type="noConversion"/>
  </si>
  <si>
    <t>부동산</t>
    <phoneticPr fontId="2" type="noConversion"/>
  </si>
  <si>
    <t>전입신고</t>
    <phoneticPr fontId="2" type="noConversion"/>
  </si>
  <si>
    <t>애완동물</t>
    <phoneticPr fontId="2" type="noConversion"/>
  </si>
  <si>
    <t>기타</t>
    <phoneticPr fontId="2" type="noConversion"/>
  </si>
  <si>
    <t>세입자 연결</t>
    <phoneticPr fontId="2" type="noConversion"/>
  </si>
  <si>
    <t>호실 유형</t>
    <phoneticPr fontId="2" type="noConversion"/>
  </si>
  <si>
    <t>재계약일</t>
    <phoneticPr fontId="2" type="noConversion"/>
  </si>
  <si>
    <t>납부일</t>
    <phoneticPr fontId="2" type="noConversion"/>
  </si>
  <si>
    <t>건물주</t>
    <phoneticPr fontId="2" type="noConversion"/>
  </si>
  <si>
    <t>하우스맨</t>
    <phoneticPr fontId="2" type="noConversion"/>
  </si>
  <si>
    <t>금액</t>
    <phoneticPr fontId="2" type="noConversion"/>
  </si>
  <si>
    <t>선/후불</t>
    <phoneticPr fontId="2" type="noConversion"/>
  </si>
  <si>
    <t>유형</t>
    <phoneticPr fontId="2" type="noConversion"/>
  </si>
  <si>
    <t>기본</t>
    <phoneticPr fontId="2" type="noConversion"/>
  </si>
  <si>
    <t>추가(이벤트)</t>
    <phoneticPr fontId="2" type="noConversion"/>
  </si>
  <si>
    <t>(날짜 기입)</t>
    <phoneticPr fontId="2" type="noConversion"/>
  </si>
  <si>
    <t>윤슬기</t>
  </si>
  <si>
    <t>990908-2105818</t>
  </si>
  <si>
    <t>010-2378-5747</t>
  </si>
  <si>
    <t>선불</t>
  </si>
  <si>
    <t>리안부동산</t>
  </si>
  <si>
    <t>010-2640-9065</t>
  </si>
  <si>
    <t>김용수</t>
  </si>
  <si>
    <t>791101-1052311</t>
  </si>
  <si>
    <t>010-3202-1081</t>
  </si>
  <si>
    <t>첫달(4/1~4/30) 임대료 무료 / 청소 조건으로 관리비 면제</t>
  </si>
  <si>
    <t>상가/사무실</t>
  </si>
  <si>
    <t>박정미</t>
  </si>
  <si>
    <t>641101-2454626</t>
  </si>
  <si>
    <t>010-8720-2709</t>
  </si>
  <si>
    <t>도성부동산</t>
  </si>
  <si>
    <t>010-5184-6988</t>
  </si>
  <si>
    <t>20/5/3부터 월세130만원으로 인하./셋탑박스하우스맨 보관</t>
  </si>
  <si>
    <t>차민철</t>
  </si>
  <si>
    <t>940905-1069430</t>
  </si>
  <si>
    <t>010-7799-5297</t>
  </si>
  <si>
    <t>꿀부동산</t>
  </si>
  <si>
    <t>010-4247-6499</t>
  </si>
  <si>
    <t>&gt;6/23 개키움&lt;대표님</t>
  </si>
  <si>
    <t>박유하</t>
  </si>
  <si>
    <t>990118-2035310</t>
  </si>
  <si>
    <t>010-2990-2972</t>
  </si>
  <si>
    <t>정담은부동산</t>
  </si>
  <si>
    <t>010-9995-7171</t>
  </si>
  <si>
    <t>고양이 키움</t>
  </si>
  <si>
    <t>신종호</t>
  </si>
  <si>
    <t>950528-1019712</t>
  </si>
  <si>
    <t>010-4049-0528</t>
  </si>
  <si>
    <t>참부동산</t>
  </si>
  <si>
    <t>010-6684-0444</t>
  </si>
  <si>
    <t>주여울</t>
  </si>
  <si>
    <t>940617-2904514</t>
  </si>
  <si>
    <t>010-7771-6712</t>
  </si>
  <si>
    <t>프렌즈부동산</t>
  </si>
  <si>
    <t>010-9903-8923</t>
  </si>
  <si>
    <t>정은혜</t>
  </si>
  <si>
    <t>880208-2910324</t>
  </si>
  <si>
    <t>010-2756-4239</t>
  </si>
  <si>
    <t>더피플부동산</t>
  </si>
  <si>
    <t>010-3144-9736</t>
  </si>
  <si>
    <t>지상층 나오면 연락</t>
  </si>
  <si>
    <t>황현호</t>
  </si>
  <si>
    <t>921011-1057611</t>
  </si>
  <si>
    <t>010-9996-9671</t>
  </si>
  <si>
    <t>정담부동산</t>
  </si>
  <si>
    <t>010-3637-3578</t>
  </si>
  <si>
    <t>이지현</t>
  </si>
  <si>
    <t>841123-2058711</t>
  </si>
  <si>
    <t>010-5050-9375</t>
  </si>
  <si>
    <t>010-2941-9295</t>
  </si>
  <si>
    <t>12/4 월세5만,수도5천인상</t>
  </si>
  <si>
    <t>이지람</t>
  </si>
  <si>
    <t>930807-1200225</t>
  </si>
  <si>
    <t>010-6680-7123</t>
  </si>
  <si>
    <t>리스펙부동산</t>
  </si>
  <si>
    <t>010-5959-8200</t>
  </si>
  <si>
    <t>김성호</t>
  </si>
  <si>
    <t>900123-1748144</t>
  </si>
  <si>
    <t>010-2049-6191</t>
  </si>
  <si>
    <t>010-3980-1211</t>
  </si>
  <si>
    <t>김소희</t>
  </si>
  <si>
    <t>001217-4151612</t>
  </si>
  <si>
    <t>010-7631-2483</t>
  </si>
  <si>
    <t>010-9042-8412</t>
  </si>
  <si>
    <t>박성윤</t>
  </si>
  <si>
    <t>000512-3018714</t>
  </si>
  <si>
    <t>010-4998-6676</t>
  </si>
  <si>
    <t>퍼스트부동산</t>
  </si>
  <si>
    <t>010-5702-2303</t>
  </si>
  <si>
    <t>홍윤미</t>
  </si>
  <si>
    <t>810715-2402711</t>
  </si>
  <si>
    <t>010-4187-3400</t>
  </si>
  <si>
    <t>반하다부동산</t>
  </si>
  <si>
    <t>010-4087-8706</t>
  </si>
  <si>
    <t>김세아</t>
  </si>
  <si>
    <t>070622-4274210</t>
  </si>
  <si>
    <t>010-5635-8622</t>
  </si>
  <si>
    <t>박현진</t>
  </si>
  <si>
    <t>890227-2851512</t>
  </si>
  <si>
    <t>010-9233-7410</t>
  </si>
  <si>
    <t>SD부동산</t>
  </si>
  <si>
    <t>010-2261-3125</t>
  </si>
  <si>
    <t>박유림</t>
  </si>
  <si>
    <t>980408-2861912</t>
  </si>
  <si>
    <t>010-2755-0364</t>
  </si>
  <si>
    <t>010-6467-7663</t>
  </si>
  <si>
    <t>김혜서</t>
  </si>
  <si>
    <t>020409-4096419</t>
  </si>
  <si>
    <t>010-4014-8167</t>
  </si>
  <si>
    <t>010-2831-6479</t>
  </si>
  <si>
    <t>송예준</t>
  </si>
  <si>
    <t>960601-1079816</t>
  </si>
  <si>
    <t>010-2458-9765</t>
  </si>
  <si>
    <t xml:space="preserve"> 010-9489-3929</t>
  </si>
  <si>
    <t>고연희</t>
  </si>
  <si>
    <t>751124-2057743</t>
  </si>
  <si>
    <t>010-7570-5846</t>
  </si>
  <si>
    <t>한유진</t>
  </si>
  <si>
    <t>001206-4937211</t>
  </si>
  <si>
    <t>010-8652-6254</t>
  </si>
  <si>
    <t>강남더힐부동산</t>
  </si>
  <si>
    <t>010-8459-3711</t>
  </si>
  <si>
    <t>신현식</t>
  </si>
  <si>
    <t>960321-1030010</t>
  </si>
  <si>
    <t>010-8847-3777</t>
  </si>
  <si>
    <t>30부9342</t>
  </si>
  <si>
    <t>010-6717-7107</t>
  </si>
  <si>
    <t>김지은</t>
  </si>
  <si>
    <t>950317-2182415</t>
  </si>
  <si>
    <t>010-2861-0889</t>
  </si>
  <si>
    <t>투유부동산</t>
  </si>
  <si>
    <t>010-7345-7907</t>
  </si>
  <si>
    <t>1/7 퇴실 취소 ( 퇴실 일자 확인하여 일주일 전에 회사로 전화 달라 안내 함)</t>
  </si>
  <si>
    <t>김도경</t>
  </si>
  <si>
    <t>931023-2247117</t>
  </si>
  <si>
    <t>010-6825-5997</t>
  </si>
  <si>
    <t>후불</t>
  </si>
  <si>
    <t>타임부동산</t>
  </si>
  <si>
    <t>010-8678-1666</t>
  </si>
  <si>
    <t>(고양이2마리,벽지손상심한상태)12/2 수도 5천,관리비2만인상 (이전번호 : 010-2576-6586)</t>
  </si>
  <si>
    <t>김태오</t>
  </si>
  <si>
    <t>920103-1870314</t>
  </si>
  <si>
    <t>010-3425-1062</t>
  </si>
  <si>
    <t>dh부동산</t>
  </si>
  <si>
    <t>010-5719-2838</t>
  </si>
  <si>
    <t>박유빈</t>
  </si>
  <si>
    <t>941213-1731115</t>
  </si>
  <si>
    <t>010-7684-8191</t>
  </si>
  <si>
    <t>010-4768-6559</t>
  </si>
  <si>
    <t>박채원</t>
  </si>
  <si>
    <t>040512-4164613</t>
  </si>
  <si>
    <t>010-4713-3261</t>
  </si>
  <si>
    <t>이준우</t>
  </si>
  <si>
    <t>020801-3170223</t>
  </si>
  <si>
    <t>010-3234-5260</t>
  </si>
  <si>
    <t>강남센터부동산</t>
  </si>
  <si>
    <t>기존 연락처 : 010-7521-5260</t>
  </si>
  <si>
    <t>권영우</t>
  </si>
  <si>
    <t>861220-1068919</t>
  </si>
  <si>
    <t>010-7936-0506</t>
  </si>
  <si>
    <t>13버2621</t>
  </si>
  <si>
    <t>하이앤드부동산</t>
  </si>
  <si>
    <t>010-8243-2387</t>
  </si>
  <si>
    <t>개 키움 1.6</t>
  </si>
  <si>
    <t>정현민</t>
  </si>
  <si>
    <t>000607-3241016</t>
  </si>
  <si>
    <t>010-8001-5981</t>
  </si>
  <si>
    <t>367버1207</t>
  </si>
  <si>
    <t>010-4022-7333</t>
  </si>
  <si>
    <t>권지현</t>
  </si>
  <si>
    <t>680402-2350410</t>
  </si>
  <si>
    <t>010-5879-9657</t>
  </si>
  <si>
    <t>골든부동산</t>
  </si>
  <si>
    <t>010-4783-3367</t>
  </si>
  <si>
    <t>퇴실</t>
  </si>
  <si>
    <t>누수가 확인 하려면 입주 후 상황봐야 알 것 같다고 하십</t>
  </si>
  <si>
    <t>박건희</t>
  </si>
  <si>
    <t>981109-1070829</t>
  </si>
  <si>
    <t>010-2575-0544</t>
  </si>
  <si>
    <t>연부동산</t>
  </si>
  <si>
    <t>010-2612-9607</t>
  </si>
  <si>
    <t>미노출</t>
  </si>
  <si>
    <t>도배완료</t>
  </si>
  <si>
    <t>소현수</t>
  </si>
  <si>
    <t>980219-1055016</t>
  </si>
  <si>
    <t>010-7643-5148</t>
  </si>
  <si>
    <t>010-8589-2903</t>
  </si>
  <si>
    <t>2/26누수[천장도배] / 010-9136-2103(부모님) /</t>
  </si>
  <si>
    <t>건물주</t>
  </si>
  <si>
    <t>박여정</t>
  </si>
  <si>
    <t>910829-2852712</t>
  </si>
  <si>
    <t>010-3923-1317</t>
  </si>
  <si>
    <t>세븐부동산</t>
  </si>
  <si>
    <t>010-3889-2065</t>
  </si>
  <si>
    <t>9/15날짜로 재계약서 작성/퇴실 시 전입신고 빼야함.</t>
  </si>
  <si>
    <t>박성현</t>
  </si>
  <si>
    <t>991204-2012411</t>
  </si>
  <si>
    <t>010-7435-9120</t>
  </si>
  <si>
    <t>한마음부동산</t>
  </si>
  <si>
    <t>010-8976-5526</t>
  </si>
  <si>
    <t>차준혁</t>
  </si>
  <si>
    <t>001130-3951014</t>
  </si>
  <si>
    <t>010-4906-7278</t>
  </si>
  <si>
    <t>010-5042-1588</t>
  </si>
  <si>
    <t>부모님 010-7672-7288</t>
  </si>
  <si>
    <t>이형석</t>
  </si>
  <si>
    <t>650102-1029318</t>
  </si>
  <si>
    <t>010-2826-5028</t>
  </si>
  <si>
    <t>킹부동산</t>
  </si>
  <si>
    <t>[주차함] /7/11/7입주 - 10/4 308-&gt;303호 이동(보증금 20만 인상)</t>
  </si>
  <si>
    <t>최서연</t>
  </si>
  <si>
    <t>910101-2066014</t>
  </si>
  <si>
    <t>010-2158-8871</t>
  </si>
  <si>
    <t>[주차함] (관리비 1인 추가5만) 동거인 010-8280-2101/카드키 2개/ 몰래 전입신고함-3월초 전출 확인해야 함/최서연님 기존번호 010-8889-8951</t>
  </si>
  <si>
    <t>유성민</t>
  </si>
  <si>
    <t>990822-1474529</t>
  </si>
  <si>
    <t>010-8069-0879</t>
  </si>
  <si>
    <t>봄날부동산</t>
  </si>
  <si>
    <t>010-5311-7306</t>
  </si>
  <si>
    <t>2/11 200,000원 보증금 추가 3/3 카드키분실 3만원(다음달 월세에 포함시키기로)</t>
  </si>
  <si>
    <t>신상수</t>
  </si>
  <si>
    <t>920710-1240726</t>
  </si>
  <si>
    <t>010-2192-7611</t>
  </si>
  <si>
    <t>장군부동산</t>
  </si>
  <si>
    <t>010-8726-1123</t>
  </si>
  <si>
    <t>나수민</t>
  </si>
  <si>
    <t>990426-2590315</t>
  </si>
  <si>
    <t>010-8625-1932</t>
  </si>
  <si>
    <t>김하영</t>
  </si>
  <si>
    <t>020311-4692314</t>
  </si>
  <si>
    <t>010-5664-9490</t>
  </si>
  <si>
    <t>체크부동산</t>
  </si>
  <si>
    <t>010-2816-9455</t>
  </si>
  <si>
    <t>강가현</t>
  </si>
  <si>
    <t>950206-2058611</t>
  </si>
  <si>
    <t>010-9425-8015</t>
  </si>
  <si>
    <t>124주5234</t>
  </si>
  <si>
    <t>투데이부동산</t>
  </si>
  <si>
    <t>010-7980-7484</t>
  </si>
  <si>
    <t>송우리</t>
  </si>
  <si>
    <t>890208-1068316</t>
  </si>
  <si>
    <t>010-5915-6046</t>
  </si>
  <si>
    <t>오정민</t>
  </si>
  <si>
    <t>010130-3222411</t>
  </si>
  <si>
    <t>010-7932-2292</t>
  </si>
  <si>
    <t>새집다오부동산</t>
  </si>
  <si>
    <t>010-9923-8893</t>
  </si>
  <si>
    <t xml:space="preserve">3/16 열흘 주차, 142다3393 흰색 스포티지 주차비 7만원 </t>
  </si>
  <si>
    <t>김장훈</t>
  </si>
  <si>
    <t>861226-1059311</t>
  </si>
  <si>
    <t>010-6448-1632</t>
  </si>
  <si>
    <t>박영규</t>
  </si>
  <si>
    <t>901225-1820211</t>
  </si>
  <si>
    <t>010-5687-4904</t>
  </si>
  <si>
    <t>010-6320-8321</t>
  </si>
  <si>
    <t>010-7573-2870 / 도배 상태 좋음</t>
  </si>
  <si>
    <t>황대원</t>
  </si>
  <si>
    <t>900803-1917221</t>
  </si>
  <si>
    <t>010-9680-8238</t>
  </si>
  <si>
    <t xml:space="preserve">싱크대 있는 호실 </t>
  </si>
  <si>
    <t>조영준</t>
  </si>
  <si>
    <t>990523-1274218</t>
  </si>
  <si>
    <t>010-5797-4515</t>
  </si>
  <si>
    <t>17주6555</t>
  </si>
  <si>
    <t xml:space="preserve">[주차함] 주차비 5만원 / 10일 월급일로 예치금 추가(9/9 15만원 입금 확인) </t>
  </si>
  <si>
    <t>황재명</t>
  </si>
  <si>
    <t>991205-1901615</t>
  </si>
  <si>
    <t>010-2769-3743</t>
  </si>
  <si>
    <t>김한솔</t>
  </si>
  <si>
    <t>920802-1065216</t>
  </si>
  <si>
    <t>010-9795-4956</t>
  </si>
  <si>
    <t>송판석</t>
  </si>
  <si>
    <t>720201-1638024</t>
  </si>
  <si>
    <t>010-3936-4879</t>
  </si>
  <si>
    <t>85로6328</t>
  </si>
  <si>
    <t>삼일부동산</t>
  </si>
  <si>
    <t>010-2621-6661</t>
  </si>
  <si>
    <t>송태학/주차비 5만/전기,가스 청구서를 보내달라고 함(노력은 해보겠다 청구서 안오면 보내 줄 것 )</t>
  </si>
  <si>
    <t>김혜수</t>
  </si>
  <si>
    <t>011112-4703215</t>
  </si>
  <si>
    <t>010-5820-2402</t>
  </si>
  <si>
    <t>60주5587</t>
  </si>
  <si>
    <t>부모님: 010-2351-2523 / 1/12 주차비 추가 건물주님 요청 / 2/19 주차 안함 통보</t>
  </si>
  <si>
    <t>오혜린</t>
  </si>
  <si>
    <t>980516-2058711</t>
  </si>
  <si>
    <t>010-5077-0050</t>
  </si>
  <si>
    <t>에어컨 누수 체크 필요/ 카드키 분실 (10/2)</t>
  </si>
  <si>
    <t>김상부</t>
  </si>
  <si>
    <t>690406-1667819</t>
  </si>
  <si>
    <t>010-5728-1198</t>
  </si>
  <si>
    <t>선불/부가세별도</t>
  </si>
  <si>
    <t>주차 안함</t>
  </si>
  <si>
    <t>하우스맨</t>
  </si>
  <si>
    <t>더시프트</t>
  </si>
  <si>
    <t>148-81-03593</t>
  </si>
  <si>
    <t>010-3281-0313</t>
  </si>
  <si>
    <t>하이브메이트부동산</t>
  </si>
  <si>
    <t>010-2246-4784</t>
  </si>
  <si>
    <t>㈜흥아인터내셔널</t>
  </si>
  <si>
    <t>110111-5252145</t>
  </si>
  <si>
    <t>010-9164-8921</t>
  </si>
  <si>
    <t>010-3980-0858</t>
  </si>
  <si>
    <t>010-3573-9393</t>
  </si>
  <si>
    <t>고한욱</t>
  </si>
  <si>
    <t>931004-1235228</t>
  </si>
  <si>
    <t>010-7312-9919</t>
  </si>
  <si>
    <t>m부동산</t>
  </si>
  <si>
    <t>010-2255-5036</t>
  </si>
  <si>
    <t>권소정</t>
  </si>
  <si>
    <t>010410-4908816</t>
  </si>
  <si>
    <t>010-4581-5967</t>
  </si>
  <si>
    <t>이안부동산</t>
  </si>
  <si>
    <t>010-3925-7133</t>
  </si>
  <si>
    <t>1/21 개키움(대표님) / 퇴실 정산시 테이블 유리 파손 - 12만원 청구</t>
  </si>
  <si>
    <t>선하린</t>
  </si>
  <si>
    <t>041003-4207510</t>
  </si>
  <si>
    <t>010-7513-5193</t>
  </si>
  <si>
    <t>만기 퇴실 안내 완료, 호실 나오면 연락 달라함</t>
  </si>
  <si>
    <t>임주영</t>
  </si>
  <si>
    <t>890228-2496641</t>
  </si>
  <si>
    <t>010-2704-3743</t>
  </si>
  <si>
    <t>강남푸른부동산</t>
  </si>
  <si>
    <t>010-6716-0207</t>
  </si>
  <si>
    <t xml:space="preserve">010-2226-6106 </t>
  </si>
  <si>
    <t>김현정</t>
  </si>
  <si>
    <t>931105-2535316</t>
  </si>
  <si>
    <t>010-3012-0418</t>
  </si>
  <si>
    <t>4/1 퇴실</t>
  </si>
  <si>
    <t>손인애</t>
  </si>
  <si>
    <t>871210-2785410</t>
  </si>
  <si>
    <t>010-9014-0144</t>
  </si>
  <si>
    <t>69어0827</t>
  </si>
  <si>
    <t>엘부동산</t>
  </si>
  <si>
    <t>010-5655-6464</t>
  </si>
  <si>
    <t xml:space="preserve"> 5/8 고양이 1마리 키움 (나과장)</t>
  </si>
  <si>
    <t>문미연</t>
  </si>
  <si>
    <t>880311-2229613</t>
  </si>
  <si>
    <t>010-4321-7272</t>
  </si>
  <si>
    <t>010-9300-0034</t>
  </si>
  <si>
    <t>이서연</t>
  </si>
  <si>
    <t>030715-4167930</t>
  </si>
  <si>
    <t>010-3252-2599</t>
  </si>
  <si>
    <t>3/4 침대교체비용23만원 입금 (퇴실 후 처리)</t>
  </si>
  <si>
    <t>지승훈</t>
  </si>
  <si>
    <t>851130-1124419</t>
  </si>
  <si>
    <t>010-8299-1708</t>
  </si>
  <si>
    <t>010-8959-0582</t>
  </si>
  <si>
    <t>정윤혜</t>
  </si>
  <si>
    <t>020421-4233219</t>
  </si>
  <si>
    <t>010-4538-2772</t>
  </si>
  <si>
    <t>010-6613-6415</t>
  </si>
  <si>
    <t>김현우</t>
  </si>
  <si>
    <t>840907-1057116</t>
  </si>
  <si>
    <t>010-4147-4842</t>
  </si>
  <si>
    <t>48모4001</t>
  </si>
  <si>
    <t>우리동네부동산</t>
  </si>
  <si>
    <t>010-2074-6515</t>
  </si>
  <si>
    <t>12/15 월세만 11만원 인상 / 퇴실후 베란다 실리콘 보수 (검은색), 싱크대 및 에이콘 찍힌 부분 보수 필수</t>
  </si>
  <si>
    <t>서은기</t>
  </si>
  <si>
    <t>940316-2162626</t>
  </si>
  <si>
    <t>010-2663-3144</t>
  </si>
  <si>
    <t>280서6689</t>
  </si>
  <si>
    <t>신라부동산</t>
  </si>
  <si>
    <t>010-3863-2392</t>
  </si>
  <si>
    <t>전자레인지 빼줌(1/24)</t>
  </si>
  <si>
    <t>유태정</t>
  </si>
  <si>
    <t>920226-1037014</t>
  </si>
  <si>
    <t>010-3153-8492</t>
  </si>
  <si>
    <t>14두2349</t>
  </si>
  <si>
    <t>7/1입주 8/23 603-&gt;602호이동 (웨인스콧칠, 바닥안함)</t>
  </si>
  <si>
    <t>김지아</t>
  </si>
  <si>
    <t>971127-2904429</t>
  </si>
  <si>
    <t>010-6243-3553</t>
  </si>
  <si>
    <t>010-6354-0314</t>
  </si>
  <si>
    <t>김호영</t>
  </si>
  <si>
    <t>890831-1246923</t>
  </si>
  <si>
    <t>010-4069-3280</t>
  </si>
  <si>
    <t>메이드부동산</t>
  </si>
  <si>
    <t>010-2560-2469</t>
  </si>
  <si>
    <t>박용호</t>
  </si>
  <si>
    <t>810723-1403511</t>
  </si>
  <si>
    <t>010-4833-7873</t>
  </si>
  <si>
    <t>가온종합부동산</t>
  </si>
  <si>
    <t>010-8343-2338</t>
  </si>
  <si>
    <t>NGUYEN THI TUONG VY</t>
  </si>
  <si>
    <t>890130-6780049</t>
  </si>
  <si>
    <t>010-2996-4389</t>
  </si>
  <si>
    <t>010-8484-6837</t>
  </si>
  <si>
    <t>욕실 문 직접 교체 (색상만 호실에 맞게 진행 요청)</t>
  </si>
  <si>
    <t>윤정호</t>
  </si>
  <si>
    <t>950607-1188012</t>
  </si>
  <si>
    <t>010-8211-5861</t>
  </si>
  <si>
    <t>010-5667-4000</t>
  </si>
  <si>
    <t>도배 완료</t>
  </si>
  <si>
    <t>이용범</t>
  </si>
  <si>
    <t>751225-1452714</t>
  </si>
  <si>
    <t>010-5543-4235</t>
  </si>
  <si>
    <t>010-9836-6822</t>
  </si>
  <si>
    <t>안지원</t>
  </si>
  <si>
    <t>870227-2187417</t>
  </si>
  <si>
    <t>010-4103-9941</t>
  </si>
  <si>
    <t>62다6469</t>
  </si>
  <si>
    <t>010-8192-8787</t>
  </si>
  <si>
    <t>전입신고</t>
  </si>
  <si>
    <t>박광성</t>
  </si>
  <si>
    <t>940826-1870317</t>
  </si>
  <si>
    <t>010-3807-1470</t>
  </si>
  <si>
    <t>곽민준 / 6/23 개키움 나과장 / 전입신고 함</t>
  </si>
  <si>
    <t>맹정연</t>
  </si>
  <si>
    <t>770119-2406216</t>
  </si>
  <si>
    <t>010-5196-3380</t>
  </si>
  <si>
    <t>010-8632-0299</t>
  </si>
  <si>
    <t>신동윤</t>
  </si>
  <si>
    <t>791009-1017735</t>
  </si>
  <si>
    <t>010-8813-2929</t>
  </si>
  <si>
    <t>11조5786</t>
  </si>
  <si>
    <t>010-7516-0345</t>
  </si>
  <si>
    <t>정다정</t>
  </si>
  <si>
    <t>890311-2059312</t>
  </si>
  <si>
    <t>010-5561-5091</t>
  </si>
  <si>
    <t>010-4454-3999</t>
  </si>
  <si>
    <t>김태형</t>
  </si>
  <si>
    <t>790907-1151224</t>
  </si>
  <si>
    <t>010-9032-2201</t>
  </si>
  <si>
    <t>강남그린부동산</t>
  </si>
  <si>
    <t>010-3398-4999/010-4015-4999</t>
  </si>
  <si>
    <t>권순용</t>
  </si>
  <si>
    <t>000722-3474514</t>
  </si>
  <si>
    <t>010-2766-8358</t>
  </si>
  <si>
    <t>가보부동산</t>
  </si>
  <si>
    <t>010-2408-5228</t>
  </si>
  <si>
    <t>전입신고(10/15): 전출 확인 후 퇴실정산 안내</t>
  </si>
  <si>
    <t>윤소망</t>
  </si>
  <si>
    <t>800215-2647928</t>
  </si>
  <si>
    <t>010-3090-0214</t>
  </si>
  <si>
    <t>하이부동산</t>
  </si>
  <si>
    <t>010-8377-6249</t>
  </si>
  <si>
    <t>김혜순</t>
  </si>
  <si>
    <t>400316-2840911</t>
  </si>
  <si>
    <t>010-5299-5889</t>
  </si>
  <si>
    <t>다인부동산</t>
  </si>
  <si>
    <t>010-2076-8205</t>
  </si>
  <si>
    <t>최혜라</t>
  </si>
  <si>
    <t>730511-2462519</t>
  </si>
  <si>
    <t>010-2707-9965</t>
  </si>
  <si>
    <t>열린부동산</t>
  </si>
  <si>
    <t>010-8221-6842</t>
  </si>
  <si>
    <t>곡명덕</t>
  </si>
  <si>
    <t>630807-5100599</t>
  </si>
  <si>
    <t>010-3223-2688</t>
  </si>
  <si>
    <t>주현제</t>
  </si>
  <si>
    <t>890401-1066317</t>
  </si>
  <si>
    <t>010-9386-0669</t>
  </si>
  <si>
    <t>해인부동산</t>
  </si>
  <si>
    <t>010-2271-7606</t>
  </si>
  <si>
    <t>[매월 20일] 예치금10만(18년도),+10만(26.01.13) /퇴실 시 청소금액 추가되는 부분 안내 매우 더러움</t>
  </si>
  <si>
    <t>김신영</t>
  </si>
  <si>
    <t>880321-1156317</t>
  </si>
  <si>
    <t>010-4436-3008</t>
  </si>
  <si>
    <t>예림부동산</t>
  </si>
  <si>
    <t>02-878-1211</t>
  </si>
  <si>
    <t>전세</t>
  </si>
  <si>
    <t>김지훈</t>
  </si>
  <si>
    <t>940328-1183928</t>
  </si>
  <si>
    <t>010-2035-0150</t>
  </si>
  <si>
    <t>가족 010-5584-2040</t>
  </si>
  <si>
    <t>정수일</t>
  </si>
  <si>
    <t>971103-1520513</t>
  </si>
  <si>
    <t>010-6319-9801</t>
  </si>
  <si>
    <t>로얄부동산</t>
  </si>
  <si>
    <t>010-6567-9198</t>
  </si>
  <si>
    <t>고유진</t>
  </si>
  <si>
    <t>800203-2067511</t>
  </si>
  <si>
    <t>010-2197-4743</t>
  </si>
  <si>
    <t>010-2372-6537</t>
  </si>
  <si>
    <t>이진희</t>
  </si>
  <si>
    <t>980207-2001818</t>
  </si>
  <si>
    <t>010-3389-3801</t>
  </si>
  <si>
    <t>한결부동산</t>
  </si>
  <si>
    <t>02-878-8799</t>
  </si>
  <si>
    <t>남선호</t>
  </si>
  <si>
    <t>870720-1774919</t>
  </si>
  <si>
    <t>010-9382-9168</t>
  </si>
  <si>
    <t>010-5898-1023</t>
  </si>
  <si>
    <t>양연수</t>
  </si>
  <si>
    <t>010526-4466327</t>
  </si>
  <si>
    <t>010-4527-4937</t>
  </si>
  <si>
    <t>따뜻한부동산</t>
  </si>
  <si>
    <t>010-2521-3393</t>
  </si>
  <si>
    <t>양연수 싱크대 수전 교체 (5/15)</t>
  </si>
  <si>
    <t>이다혜</t>
  </si>
  <si>
    <t>920514-2913520</t>
  </si>
  <si>
    <t>010-4929-2086</t>
  </si>
  <si>
    <t>단비부동산</t>
  </si>
  <si>
    <t xml:space="preserve">010-7788-4392 </t>
  </si>
  <si>
    <t>신수진</t>
  </si>
  <si>
    <t>990713-2065917</t>
  </si>
  <si>
    <t>010-3390-5578</t>
  </si>
  <si>
    <t>010-5499-7188</t>
  </si>
  <si>
    <t>김동오</t>
  </si>
  <si>
    <t>931005-1786122</t>
  </si>
  <si>
    <t>010-8814-9524</t>
  </si>
  <si>
    <t>프로부동산</t>
  </si>
  <si>
    <t>010-7136-2403</t>
  </si>
  <si>
    <t>6/30 예치금 500 인상</t>
  </si>
  <si>
    <t>고경민</t>
  </si>
  <si>
    <t>061027-3194632</t>
  </si>
  <si>
    <t>010-5351-7480</t>
  </si>
  <si>
    <t>010-3213-4416</t>
  </si>
  <si>
    <t>여아선</t>
  </si>
  <si>
    <t>940430-6780026</t>
  </si>
  <si>
    <t>010-9608-0430</t>
  </si>
  <si>
    <t>010-8625-0449</t>
  </si>
  <si>
    <t>입주 전 트랩설치 요청</t>
  </si>
  <si>
    <t>구교진</t>
  </si>
  <si>
    <t>960629-1227011</t>
  </si>
  <si>
    <t>010-2326-0437</t>
  </si>
  <si>
    <t xml:space="preserve">전세입자 010-2808-7607 </t>
  </si>
  <si>
    <t>임지훈</t>
  </si>
  <si>
    <t>031029-3148615</t>
  </si>
  <si>
    <t>010-7177-1882</t>
  </si>
  <si>
    <t>010-7185-0932</t>
  </si>
  <si>
    <t>예치금 추가 30만(월세일 변경 17→31 / 11월 30일 입금)</t>
  </si>
  <si>
    <t>김수동</t>
  </si>
  <si>
    <t>660912-1025015</t>
  </si>
  <si>
    <t>010-5384-6964</t>
  </si>
  <si>
    <t>0270</t>
  </si>
  <si>
    <t>010-3325-6852</t>
  </si>
  <si>
    <t>박경주</t>
  </si>
  <si>
    <t>760424-1621714</t>
  </si>
  <si>
    <t>010-2133-8779</t>
  </si>
  <si>
    <t>3481</t>
  </si>
  <si>
    <t>채움부동산</t>
  </si>
  <si>
    <t>010-7799-7735</t>
  </si>
  <si>
    <t>기존번호010-4204-4471</t>
  </si>
  <si>
    <t>이상혁</t>
  </si>
  <si>
    <t>970216-1224917</t>
  </si>
  <si>
    <t>010-9472-5541</t>
  </si>
  <si>
    <t>010-2755-3109</t>
  </si>
  <si>
    <t xml:space="preserve">에어컨교체 1대 완료 </t>
  </si>
  <si>
    <t>보수 및 도배 예정</t>
  </si>
  <si>
    <t>bmw - 실내 오른쪽 창문 곰팡이, 2/25관리를 해도 창문과 베란다쪽으로 곰팡이가 더 생겼다고함</t>
  </si>
  <si>
    <t>오승철</t>
  </si>
  <si>
    <t>030615-3248411</t>
  </si>
  <si>
    <t>010-9094-1384</t>
  </si>
  <si>
    <t>010-7737-9888</t>
  </si>
  <si>
    <t>김은호</t>
  </si>
  <si>
    <t>851128-1850614</t>
  </si>
  <si>
    <t>010-2562-9044</t>
  </si>
  <si>
    <t>010-2418-7564</t>
  </si>
  <si>
    <t>박성욱</t>
  </si>
  <si>
    <t>980612-1682711</t>
  </si>
  <si>
    <t>010-5849-6230</t>
  </si>
  <si>
    <t>개 키움 (9/22 프렌즈부동산)</t>
  </si>
  <si>
    <t>송승훈</t>
  </si>
  <si>
    <t>010404-3245715</t>
  </si>
  <si>
    <t>010-6334-1134</t>
  </si>
  <si>
    <t>반포다온부동산</t>
  </si>
  <si>
    <t>010-4695-9465</t>
  </si>
  <si>
    <t>동거인 : 박민성 010-8221-7917</t>
  </si>
  <si>
    <t>이종찬</t>
  </si>
  <si>
    <t>800629-1041511</t>
  </si>
  <si>
    <t>010-4088-9359</t>
  </si>
  <si>
    <t>010-4652-6462</t>
  </si>
  <si>
    <t>에어컨 1대 교체 완료</t>
  </si>
  <si>
    <t>송기훈</t>
  </si>
  <si>
    <t>901229-1188113</t>
  </si>
  <si>
    <t>010-4280-7446</t>
  </si>
  <si>
    <t>부동산마트</t>
  </si>
  <si>
    <t>010-6336-5513</t>
  </si>
  <si>
    <t>김영득</t>
  </si>
  <si>
    <t>810111-1070520</t>
  </si>
  <si>
    <t>010-6236-1224</t>
  </si>
  <si>
    <t>풍림부동산</t>
  </si>
  <si>
    <t>&lt;큰개두마리&gt;12/10 503호에서 이동/6월 월세일 월세5만,관리비2만,수도5천인상예정</t>
  </si>
  <si>
    <t>이수연</t>
  </si>
  <si>
    <t>911204-2069318</t>
  </si>
  <si>
    <t>010-6537-5354</t>
  </si>
  <si>
    <t>집토스부동산</t>
  </si>
  <si>
    <t>010-3938-8430</t>
  </si>
  <si>
    <t>(이전번호010-4916-4636) / TV 빼줌 (26.1.16 하우스맨 보관 / )</t>
  </si>
  <si>
    <t>김달현</t>
  </si>
  <si>
    <t>801215-1070422</t>
  </si>
  <si>
    <t>010-8963-3221</t>
  </si>
  <si>
    <t>그린부동산</t>
  </si>
  <si>
    <t>010-6310-6603</t>
  </si>
  <si>
    <t>고재남</t>
  </si>
  <si>
    <t>921130-1096010</t>
  </si>
  <si>
    <t>010-6498-6095</t>
  </si>
  <si>
    <t>홈스토리부동산</t>
  </si>
  <si>
    <t>010-3969-4492</t>
  </si>
  <si>
    <t>박도은</t>
  </si>
  <si>
    <t>980313-2261218</t>
  </si>
  <si>
    <t>010-6791-8389</t>
  </si>
  <si>
    <t>현대부동산</t>
  </si>
  <si>
    <t>010-6664-9337</t>
  </si>
  <si>
    <t>금재환</t>
  </si>
  <si>
    <t>950919-2491219</t>
  </si>
  <si>
    <t>010-7447-8544</t>
  </si>
  <si>
    <t>sd부동산</t>
  </si>
  <si>
    <t>010-2483-4424</t>
  </si>
  <si>
    <t xml:space="preserve">전입신고 함 / 12/29 명의변경 </t>
  </si>
  <si>
    <t>이우기</t>
  </si>
  <si>
    <t>781014-1057716</t>
  </si>
  <si>
    <t>010-2177-7711</t>
  </si>
  <si>
    <t>010-5661-9562</t>
  </si>
  <si>
    <t>장미화</t>
  </si>
  <si>
    <t>820305-2850828</t>
  </si>
  <si>
    <t>010-4554-8274</t>
  </si>
  <si>
    <t>개별</t>
  </si>
  <si>
    <t>한백부동산</t>
  </si>
  <si>
    <t>조성래</t>
  </si>
  <si>
    <t>721010-1382113</t>
  </si>
  <si>
    <t>010-7405-1588</t>
  </si>
  <si>
    <t>010-8855-1126</t>
  </si>
  <si>
    <t>조병익</t>
  </si>
  <si>
    <t>990421-1108910</t>
  </si>
  <si>
    <t>010-8408-3476</t>
  </si>
  <si>
    <t>17누 5436</t>
  </si>
  <si>
    <t>건물주: 305호에서 개짖는 소리가 난다는 것 같다는 제보를 들었다함</t>
  </si>
  <si>
    <t>유성규</t>
  </si>
  <si>
    <t>830818-1482416</t>
  </si>
  <si>
    <t>010-4118-2194</t>
  </si>
  <si>
    <t>010-7307-8873</t>
  </si>
  <si>
    <t>8/18 예치금 추가(+40만) /302호로 옮기고 싶다고 함. as 끝난 후 연락 할 것</t>
  </si>
  <si>
    <t>백수연</t>
  </si>
  <si>
    <t>801017-2065734</t>
  </si>
  <si>
    <t>010-5785-7837</t>
  </si>
  <si>
    <t>010-5251-0984</t>
  </si>
  <si>
    <t>NIPAKORN PUTTAL</t>
  </si>
  <si>
    <t>AC687094</t>
  </si>
  <si>
    <t>010-7401-3865</t>
  </si>
  <si>
    <t xml:space="preserve">(계약시:010-7902-3245) </t>
  </si>
  <si>
    <t>최민서</t>
  </si>
  <si>
    <t>890523-2170019</t>
  </si>
  <si>
    <t>010-4706-7627</t>
  </si>
  <si>
    <t>891110-1809955</t>
  </si>
  <si>
    <t>010-9727-7097</t>
  </si>
  <si>
    <t>직접 계약</t>
  </si>
  <si>
    <t>송예준 / TV(새제품) 창고에 있음, 세입자 TV 사용 중 / 010-6642-1844 / 404호 였을때 계약자 번호</t>
  </si>
  <si>
    <t>강옥길</t>
  </si>
  <si>
    <t>800112-2148519</t>
  </si>
  <si>
    <t>010-8963-4610</t>
  </si>
  <si>
    <t>커피한잔부동산</t>
  </si>
  <si>
    <t>010-4783-5728</t>
  </si>
  <si>
    <t>조성민</t>
  </si>
  <si>
    <t>910214-1162314</t>
  </si>
  <si>
    <t>010-4134-3816</t>
  </si>
  <si>
    <t>1박2일부동산</t>
  </si>
  <si>
    <t>010-7340-2468</t>
  </si>
  <si>
    <t>85000원 세입자 퇴실 시 청구 ( 컨트롤러 파손으로 인한 교체)</t>
  </si>
  <si>
    <t>전경태</t>
  </si>
  <si>
    <t>760203-1692011</t>
  </si>
  <si>
    <t>010-8829-0555</t>
  </si>
  <si>
    <t>010-9947-7794</t>
  </si>
  <si>
    <t>이경문</t>
  </si>
  <si>
    <t>940523-1686115</t>
  </si>
  <si>
    <t>010-7677-8474</t>
  </si>
  <si>
    <t>010-2105-4936</t>
  </si>
  <si>
    <t>정소정</t>
  </si>
  <si>
    <t>920226-2183325</t>
  </si>
  <si>
    <t>010-6819-7990</t>
  </si>
  <si>
    <t>프라움부동산</t>
  </si>
  <si>
    <t>010-3311-4203</t>
  </si>
  <si>
    <t>개키움(12/5 302호민원, 건물주님 확인), 담배... 새벽4시 소음/ 퇴실정산 특수청소비 청구예정</t>
  </si>
  <si>
    <t>CHUN ANDREW KYOUNG-SOO</t>
  </si>
  <si>
    <t>880528-5140174</t>
  </si>
  <si>
    <t>010-6633-5637</t>
  </si>
  <si>
    <t>3/3 301호 민원, 퇴실 조치 요청받음</t>
  </si>
  <si>
    <t>건물주님 직접 계약 010-7679-8430</t>
  </si>
  <si>
    <t>최지성</t>
  </si>
  <si>
    <t>971228-1243615</t>
  </si>
  <si>
    <t>010-9719-1973</t>
  </si>
  <si>
    <t>이상아</t>
  </si>
  <si>
    <t>930802-2051614</t>
  </si>
  <si>
    <t>010-2895-6988</t>
  </si>
  <si>
    <t>010-5003-7075</t>
  </si>
  <si>
    <t>김성수</t>
  </si>
  <si>
    <t>941225-1100413</t>
  </si>
  <si>
    <t>010-9846-9869</t>
  </si>
  <si>
    <t>오앤부동산</t>
  </si>
  <si>
    <t>010-9937-1280</t>
  </si>
  <si>
    <t>이윤재</t>
  </si>
  <si>
    <t>891222-1227217</t>
  </si>
  <si>
    <t>010-5039-4191</t>
  </si>
  <si>
    <t>010-5601-8348</t>
  </si>
  <si>
    <t>김채윤</t>
  </si>
  <si>
    <t>880119-2629721</t>
  </si>
  <si>
    <t>010-4436-6708</t>
  </si>
  <si>
    <t>직접계약</t>
  </si>
  <si>
    <t>이해민</t>
  </si>
  <si>
    <t>050425-4382413</t>
  </si>
  <si>
    <t>010-3425-3013</t>
  </si>
  <si>
    <t>이종아</t>
  </si>
  <si>
    <t>950418-1319110</t>
  </si>
  <si>
    <t>010-5791-8654</t>
  </si>
  <si>
    <t>2/5 예치금 60만원 추가입금,9/9 20만원 추가 입금(건물주님 계좌입금) / 1/12 301호-&gt;304호 호실 이동</t>
  </si>
  <si>
    <t>이준범</t>
  </si>
  <si>
    <t>020925-3912633</t>
  </si>
  <si>
    <t>010-3471-6796</t>
  </si>
  <si>
    <t>김광식</t>
  </si>
  <si>
    <t>900222-1417518</t>
  </si>
  <si>
    <t>010-3590-5261</t>
  </si>
  <si>
    <t>03두0770</t>
  </si>
  <si>
    <t>입주 후 쇼파 상태 안좋아 폐기해줌 (다음 계약 시 쇼파 넣을지 확인)</t>
  </si>
  <si>
    <t>심예림</t>
  </si>
  <si>
    <t>040910-4692916</t>
  </si>
  <si>
    <t>010-4494-9935</t>
  </si>
  <si>
    <t>010-5949-5381</t>
  </si>
  <si>
    <t>주차키보증금10 / 김지연 / 이행강제금 때문에 반드시 유일한님 계좌로 받아야함</t>
  </si>
  <si>
    <t>서현교</t>
  </si>
  <si>
    <t>940518-1034913</t>
  </si>
  <si>
    <t>010-2181-5084</t>
  </si>
  <si>
    <t>이행 강제금 떄문에 반드시 유일한님 계좌로 받아야함 / 만기 퇴실 확인 , 연장 시 재계약서 작성이 필요함 / 재계약서 요청 아직 회신 못받음</t>
  </si>
  <si>
    <t>박수하</t>
  </si>
  <si>
    <t>940721-1218611</t>
  </si>
  <si>
    <t>010-5680-3657</t>
  </si>
  <si>
    <t>jb부동산</t>
  </si>
  <si>
    <t>010-7370-7901</t>
  </si>
  <si>
    <t>주차키보증금10 / 전 세입자 반려 키워서 구멍들이 있음</t>
  </si>
  <si>
    <t>강민형</t>
  </si>
  <si>
    <t>910210-2555451</t>
  </si>
  <si>
    <t>010-9779-0325</t>
  </si>
  <si>
    <t>010-8295-0729</t>
  </si>
  <si>
    <t>주차키보증금10(9/17)</t>
  </si>
  <si>
    <t>YAO LINLIN</t>
  </si>
  <si>
    <t>860328-6101197</t>
  </si>
  <si>
    <t>010-6686-6083</t>
  </si>
  <si>
    <t>010-5115-9249</t>
  </si>
  <si>
    <t>금민재</t>
  </si>
  <si>
    <t>760102-1774924</t>
  </si>
  <si>
    <t>010-5931-4342</t>
  </si>
  <si>
    <t>010-2016-1310</t>
  </si>
  <si>
    <t>만기일 도래시 만기 퇴실 요청할 것 (건물주님 다시 사용 예정)</t>
  </si>
  <si>
    <t>김봉관</t>
  </si>
  <si>
    <t>901022-1024512</t>
  </si>
  <si>
    <t>010-9992-9223</t>
  </si>
  <si>
    <t>010-2474-4663</t>
  </si>
  <si>
    <t xml:space="preserve">&gt;고양이 키움(5/20 최과장님)&lt; 침대는 사이즈 업해서 사서 쓰다가 두고 나가기로 했다함. / 퇴실 후 식탁,의자 </t>
  </si>
  <si>
    <t>반석원</t>
  </si>
  <si>
    <t>021115-3279618</t>
  </si>
  <si>
    <t>010-4377-6993</t>
  </si>
  <si>
    <t>010-5794-2106</t>
  </si>
  <si>
    <t>010-6507-6993(실거주자)</t>
  </si>
  <si>
    <t>김어진</t>
  </si>
  <si>
    <t>760508-2047514</t>
  </si>
  <si>
    <t>010-6359-3660</t>
  </si>
  <si>
    <t>금나라부동산</t>
  </si>
  <si>
    <t>010-4578-0022</t>
  </si>
  <si>
    <t>박노원</t>
  </si>
  <si>
    <t>870208-1019420</t>
  </si>
  <si>
    <t>010-7389-0255</t>
  </si>
  <si>
    <t>글로벌부동산</t>
  </si>
  <si>
    <t>010-2670-8019</t>
  </si>
  <si>
    <t>10일 월세 입금 하기로 함(3/10 50만원 추가입금)</t>
  </si>
  <si>
    <t>김미영</t>
  </si>
  <si>
    <t>710711-2120736</t>
  </si>
  <si>
    <t>010-5544-8831</t>
  </si>
  <si>
    <t>김균엽</t>
  </si>
  <si>
    <t>800606-1124518</t>
  </si>
  <si>
    <t>010-8525-8066</t>
  </si>
  <si>
    <t>희망부동산</t>
  </si>
  <si>
    <t>010-8131-5949</t>
  </si>
  <si>
    <t>장정훈</t>
  </si>
  <si>
    <t>571015-1148626</t>
  </si>
  <si>
    <t>010-5686-5560</t>
  </si>
  <si>
    <t>성실부동산</t>
  </si>
  <si>
    <t>010-4709-3305</t>
  </si>
  <si>
    <t>12/1 월세5 관리비2 수도5천 인상, (퇴실시 도어락 기사 출장비 2만원 청구) /5/1 월세 5만 인상 / 입주시 계약서 주차불가항목 없음</t>
  </si>
  <si>
    <t>김은재</t>
  </si>
  <si>
    <t>950214-1874415</t>
  </si>
  <si>
    <t>010-8061-5880</t>
  </si>
  <si>
    <t>석재빈</t>
  </si>
  <si>
    <t>760114-1058312</t>
  </si>
  <si>
    <t>010-9102-5630</t>
  </si>
  <si>
    <t>가이아부동산</t>
  </si>
  <si>
    <t>김여명</t>
  </si>
  <si>
    <t>홍종환</t>
  </si>
  <si>
    <t>760616-1047130</t>
  </si>
  <si>
    <t>010-4748-9296</t>
  </si>
  <si>
    <t>에이스부동산</t>
  </si>
  <si>
    <t>010-5546-4568</t>
  </si>
  <si>
    <t>12/19 월세 5만 관리비2 수도 5천인상/ 4/19 월세 5만 인상</t>
  </si>
  <si>
    <t>임성철</t>
  </si>
  <si>
    <t>680801-1822414</t>
  </si>
  <si>
    <t>010-8433-1500</t>
  </si>
  <si>
    <t>dq부동산</t>
  </si>
  <si>
    <t>010-3868-3976</t>
  </si>
  <si>
    <t>이찬주</t>
  </si>
  <si>
    <t>940416-1692729</t>
  </si>
  <si>
    <t>010-5472-2245</t>
  </si>
  <si>
    <t>변미현</t>
  </si>
  <si>
    <t>780424-2462110</t>
  </si>
  <si>
    <t>010-9172-3809</t>
  </si>
  <si>
    <t>010-2678-2620</t>
  </si>
  <si>
    <t>어머니010-3126-3809</t>
  </si>
  <si>
    <t>박서인</t>
  </si>
  <si>
    <t>670805-2331213</t>
  </si>
  <si>
    <t>010-3246-6433</t>
  </si>
  <si>
    <t>김기용</t>
  </si>
  <si>
    <t>950423-1183312</t>
  </si>
  <si>
    <t>010-4949-1173</t>
  </si>
  <si>
    <t>1</t>
  </si>
  <si>
    <t>수호부동산</t>
  </si>
  <si>
    <t>[에어컨교체,도배땜빵]주차키보증금 10만./11/5 10만원 금액인상/23/3/15 예치금 70만원 입금</t>
  </si>
  <si>
    <t>이진성</t>
  </si>
  <si>
    <t>820115-1081415</t>
  </si>
  <si>
    <t>010-3256-4301</t>
  </si>
  <si>
    <t>도원부동산</t>
  </si>
  <si>
    <t>010-3168-0624</t>
  </si>
  <si>
    <t>주차키보증금 10만. 11/3 10만원 금액인상 / 010-4822-1701</t>
  </si>
  <si>
    <t>목혁수</t>
  </si>
  <si>
    <t>790224-1047415</t>
  </si>
  <si>
    <t>010-9005-2005</t>
  </si>
  <si>
    <t>나무부동산</t>
  </si>
  <si>
    <t>010-3661-8827</t>
  </si>
  <si>
    <t>[에어컨교체,도배땜빵],11/7 20만원 인상 / 주차키보증금 10만/ 퇴실시 매트리스 구입(사용불가로 버림)</t>
  </si>
  <si>
    <t>이동호</t>
  </si>
  <si>
    <t>001103-3691921</t>
  </si>
  <si>
    <t>010-8218-4165</t>
  </si>
  <si>
    <t>4536</t>
  </si>
  <si>
    <t>010-4766-4064</t>
  </si>
  <si>
    <t>2/26 담배냄새 주의 요망 전화함  3/4주차키보증금 10만원</t>
  </si>
  <si>
    <t>전주희</t>
  </si>
  <si>
    <t>000125-4012311</t>
  </si>
  <si>
    <t>010-5944-7046</t>
  </si>
  <si>
    <t>192무1534</t>
  </si>
  <si>
    <t>오늘의공간부동산</t>
  </si>
  <si>
    <t>010-5941-0096</t>
  </si>
  <si>
    <t>담배냄새 심함 (전세입자)</t>
  </si>
  <si>
    <t>이성현</t>
  </si>
  <si>
    <t>780817-2148611</t>
  </si>
  <si>
    <t>010-3042-7807</t>
  </si>
  <si>
    <t>010-7705-2242</t>
  </si>
  <si>
    <t>주차키보증금 10만</t>
  </si>
  <si>
    <t>장성호</t>
  </si>
  <si>
    <t>690306-1053111</t>
  </si>
  <si>
    <t>010-5257-8509</t>
  </si>
  <si>
    <t>구해줘부동산</t>
  </si>
  <si>
    <t>[에어컨교체,도배땜빵],22/11/18 20만인상 / 010-8293-1778 /주차리모컨 지급</t>
  </si>
  <si>
    <t>정아미</t>
  </si>
  <si>
    <t>710711-2047411</t>
  </si>
  <si>
    <t>010-5353-3644</t>
  </si>
  <si>
    <t>다른 호실 나오면 얘기해줄 것 / 퇴실후 욕실문 교체&lt;현관문에 붙어있음&gt;/셋탑박스 사무실옷장천장에 있음 / 방 에어컨 고장 퇴실후 수리/담배냄새 항의 전화왔음</t>
  </si>
  <si>
    <t>박종호</t>
  </si>
  <si>
    <t>800417-1018611</t>
  </si>
  <si>
    <t>010-5560-8245</t>
  </si>
  <si>
    <t>이형원</t>
  </si>
  <si>
    <t>910425-1055614</t>
  </si>
  <si>
    <t>010-9969-9385</t>
  </si>
  <si>
    <t>후불(계산서메일) dolly4217@naver.com / 25/3월분부터 재계약서금액 적용</t>
  </si>
  <si>
    <t>활어정류장(이준성)</t>
  </si>
  <si>
    <t>827-61-00594</t>
  </si>
  <si>
    <t>010-4822-1701</t>
  </si>
  <si>
    <t>반도부동산</t>
  </si>
  <si>
    <t>010-2242-6413</t>
  </si>
  <si>
    <t>후불(계산서메일) / 첫 달 2주 렌트프리 / 010-7623-9594(계약자) / 계약자 주민번호 830118-1173929</t>
  </si>
  <si>
    <t>테이퍼드커피</t>
  </si>
  <si>
    <t>811009-2409112</t>
  </si>
  <si>
    <t>010-6352-5425</t>
  </si>
  <si>
    <t>02-501-7774</t>
  </si>
  <si>
    <t>후불(월세문자 010-9666-0017 / taperedcoffee@naver.com) 김주희 / 5월말 재계약서 금액 적용</t>
  </si>
  <si>
    <t>정상철</t>
  </si>
  <si>
    <t>810102-1066140</t>
  </si>
  <si>
    <t>010-3754-4639</t>
  </si>
  <si>
    <t>반도114</t>
  </si>
  <si>
    <t>하늘교육</t>
  </si>
  <si>
    <t>640130-2055817</t>
  </si>
  <si>
    <t>010-7295-9403</t>
  </si>
  <si>
    <t>짜</t>
  </si>
  <si>
    <t>이채리</t>
  </si>
  <si>
    <t>940823-2079619</t>
  </si>
  <si>
    <t>010-6362-0305</t>
  </si>
  <si>
    <t>02-2291-9999</t>
  </si>
  <si>
    <t>후불(계산서메일) ikea66@naver.com</t>
  </si>
  <si>
    <t>한베재단</t>
  </si>
  <si>
    <t>709-82-00175</t>
  </si>
  <si>
    <t>010-9349-4863</t>
  </si>
  <si>
    <t xml:space="preserve">후불(계산서메일) kovietpeace@gmail.com, (후불)이정란 담당자 010-9349-4863 / </t>
  </si>
  <si>
    <t>하수현</t>
  </si>
  <si>
    <t>810812-2046913</t>
  </si>
  <si>
    <t>010-5241-7852</t>
  </si>
  <si>
    <t>삼성부동산</t>
  </si>
  <si>
    <t>010-8672-1357</t>
  </si>
  <si>
    <t xml:space="preserve">12/11 월세5% 인상/ 애완동물 </t>
  </si>
  <si>
    <t>이현서</t>
  </si>
  <si>
    <t>000729-3108612</t>
  </si>
  <si>
    <t>010-3397-3505</t>
  </si>
  <si>
    <t>010-5548-4480</t>
  </si>
  <si>
    <t>이영재</t>
  </si>
  <si>
    <t>921225-1031515</t>
  </si>
  <si>
    <t>010-5388-5326</t>
  </si>
  <si>
    <t>개별</t>
    <phoneticPr fontId="2" type="noConversion"/>
  </si>
  <si>
    <t>팀리얼티부동산</t>
  </si>
  <si>
    <t>010-6417-1670</t>
  </si>
  <si>
    <t>한혜리</t>
  </si>
  <si>
    <t>930216-2018026</t>
  </si>
  <si>
    <t>010-5792-7444</t>
  </si>
  <si>
    <t>알파부동산</t>
  </si>
  <si>
    <t>010-8578-5863</t>
  </si>
  <si>
    <t>기존 바닥 소파이동한 자국, 찍힘 있었음</t>
  </si>
  <si>
    <t>김예진</t>
  </si>
  <si>
    <t>060924-4055918</t>
  </si>
  <si>
    <t>010-9112-7010</t>
  </si>
  <si>
    <t>김은지</t>
  </si>
  <si>
    <t>930301-2029511</t>
  </si>
  <si>
    <t>010-3922-9484</t>
  </si>
  <si>
    <t>2899</t>
  </si>
  <si>
    <t>푸른부동산</t>
  </si>
  <si>
    <t>010-7711-4709</t>
  </si>
  <si>
    <t>허 010-4333-6266 / 3244-010-6750-9293</t>
  </si>
  <si>
    <t>조민준</t>
  </si>
  <si>
    <t>900214-1069129</t>
  </si>
  <si>
    <t>010-3513-3323</t>
  </si>
  <si>
    <t xml:space="preserve">리안부동산 </t>
  </si>
  <si>
    <t>010-7530-8484</t>
  </si>
  <si>
    <t>토브미 제일 큰방 010-5501-1892</t>
  </si>
  <si>
    <t>장지수</t>
  </si>
  <si>
    <t>980507-2236510</t>
  </si>
  <si>
    <t>010-3707-6589</t>
  </si>
  <si>
    <t xml:space="preserve">전기 개별 / 수도,가스는 5층과 연결되어있어서 확인 후 청구 / 입주 할 때 전자레인지 넣어줌 </t>
  </si>
  <si>
    <t>이현</t>
  </si>
  <si>
    <t>040804-4096417</t>
  </si>
  <si>
    <t>010-5389-0804</t>
  </si>
  <si>
    <t xml:space="preserve">11/25 명의변경 (14일~25일까지 금액 56만원+공과금 입금확인) </t>
  </si>
  <si>
    <t>박소현</t>
  </si>
  <si>
    <t>980821-2674519</t>
  </si>
  <si>
    <t>010-7773-8742</t>
  </si>
  <si>
    <t>이아현</t>
  </si>
  <si>
    <t>020126-4085212</t>
  </si>
  <si>
    <t>010-8408-6068</t>
  </si>
  <si>
    <t>이승민</t>
  </si>
  <si>
    <t xml:space="preserve"> 010-9995-7171</t>
  </si>
  <si>
    <t>3/13이승민50</t>
  </si>
  <si>
    <t>노은영</t>
  </si>
  <si>
    <t>900109-2566411</t>
  </si>
  <si>
    <t>010-2272-9094</t>
  </si>
  <si>
    <t>010-8767-0000</t>
  </si>
  <si>
    <t>유하리</t>
  </si>
  <si>
    <t>050212-4217617</t>
  </si>
  <si>
    <t>010-9923-7619</t>
  </si>
  <si>
    <t>6/10 예치금 60만원 → 월세일 10일</t>
  </si>
  <si>
    <t>문예솔</t>
  </si>
  <si>
    <t>911011-2921316</t>
  </si>
  <si>
    <t>010-8866-1436</t>
  </si>
  <si>
    <t>개키움</t>
  </si>
  <si>
    <t>윤해솔</t>
  </si>
  <si>
    <t>070622-4057318</t>
  </si>
  <si>
    <t>010-5617-8109</t>
  </si>
  <si>
    <t xml:space="preserve"> 010-2498-2658</t>
  </si>
  <si>
    <t>동거인(곽필주)010-8210-8882</t>
  </si>
  <si>
    <t>장희세</t>
  </si>
  <si>
    <t>050115-3236416</t>
  </si>
  <si>
    <t>010-2866-3383</t>
  </si>
  <si>
    <t>동거인010-8671-3142</t>
  </si>
  <si>
    <t>심재민</t>
  </si>
  <si>
    <t>010615-3247329</t>
  </si>
  <si>
    <t>010-8348-3145</t>
  </si>
  <si>
    <t>케이부동산</t>
  </si>
  <si>
    <t>010-6232-2598</t>
  </si>
  <si>
    <t>SARAH GREWE</t>
  </si>
  <si>
    <t>970901-6780249</t>
  </si>
  <si>
    <t>010-7607-8535</t>
  </si>
  <si>
    <t>문열매</t>
  </si>
  <si>
    <t>900221-2012812</t>
  </si>
  <si>
    <t>010-8926-0221</t>
  </si>
  <si>
    <t>주차함 / 개키움 / 주차비 5만 / 개키움 3/5 이재혁 추가 확인</t>
  </si>
  <si>
    <t>임현재</t>
  </si>
  <si>
    <t>670313-1334917</t>
  </si>
  <si>
    <t>010-6703-6970</t>
  </si>
  <si>
    <t>10주 1446</t>
  </si>
  <si>
    <t>9/8 주차 등록 요청 / 주차비 5만</t>
  </si>
  <si>
    <t>990302-2194511</t>
  </si>
  <si>
    <t>010-8238-2171</t>
  </si>
  <si>
    <t>010-5035-3009</t>
  </si>
  <si>
    <t>이은정</t>
  </si>
  <si>
    <t>930126-2538613</t>
  </si>
  <si>
    <t>010-5803-4335</t>
  </si>
  <si>
    <t>김소영</t>
  </si>
  <si>
    <t>041214-4057410</t>
  </si>
  <si>
    <t>010-2949-0280</t>
  </si>
  <si>
    <t>누수 내부 공사 완료 / 옥상 공사 예정 / 사건사고가 너무 많아서 만기 퇴실 요청</t>
  </si>
  <si>
    <t>이예림</t>
  </si>
  <si>
    <t>010117-4080218</t>
  </si>
  <si>
    <t>010-8274-0972</t>
  </si>
  <si>
    <t>(이전번호 : 010-8062-0082)12/21 월세 5만. 수도 5천 인상 / 8/14 주차이용안함 확인</t>
  </si>
  <si>
    <t>최유정</t>
  </si>
  <si>
    <t>920207-2109029</t>
  </si>
  <si>
    <t>010-5491-5901</t>
  </si>
  <si>
    <t>45서 8669</t>
  </si>
  <si>
    <t>주차함(4/15 등록) / 주차비 5만</t>
  </si>
  <si>
    <t>최덕신</t>
  </si>
  <si>
    <t>931004-1041517</t>
  </si>
  <si>
    <t>010-7496-1838</t>
  </si>
  <si>
    <t>(실세입자:010-7646-1838) 다음 계약시 115로 진행/23.09.22예치금 60만원 추가/25.11.20예치금 20만원 추가(하우스맨 계좌)</t>
  </si>
  <si>
    <t>김서하</t>
  </si>
  <si>
    <t>790716-2056611</t>
  </si>
  <si>
    <t>010-2256-3932</t>
  </si>
  <si>
    <t>010-2909-2810</t>
  </si>
  <si>
    <t>청소 상태 안좋음으로 5만원 청소비 제외해줌 ( 18-&gt;13만원)/ 2/25 40 예치금 추가(하우스맨)</t>
  </si>
  <si>
    <t>윤주영</t>
  </si>
  <si>
    <t>911016-2106416</t>
  </si>
  <si>
    <t>010-5883-1121</t>
  </si>
  <si>
    <t>010-4184-7725</t>
  </si>
  <si>
    <t>박준환</t>
  </si>
  <si>
    <t>960903-1692912</t>
  </si>
  <si>
    <t>010-8188-4795</t>
  </si>
  <si>
    <t>강남엘부동산</t>
  </si>
  <si>
    <t>기존연락처010-2664-5422</t>
  </si>
  <si>
    <t>이삭</t>
  </si>
  <si>
    <t>910701-1653015</t>
  </si>
  <si>
    <t>010-8868-2251</t>
  </si>
  <si>
    <t>좋은인연부동산</t>
  </si>
  <si>
    <t>010-3323-6845</t>
  </si>
  <si>
    <t>상채은</t>
  </si>
  <si>
    <t>880701-2457219</t>
  </si>
  <si>
    <t>010-6848-1160</t>
  </si>
  <si>
    <t>010-4079-0534</t>
  </si>
  <si>
    <t>김재윤</t>
  </si>
  <si>
    <t>971203-1170416</t>
  </si>
  <si>
    <t>010-8476-6226</t>
  </si>
  <si>
    <t>문앞에 갔을 떄 조금 쿰쿰한 냄새가 남 .</t>
  </si>
  <si>
    <t>조유경</t>
  </si>
  <si>
    <t>701016-2236718</t>
  </si>
  <si>
    <t>010-6874-7686</t>
  </si>
  <si>
    <t xml:space="preserve">계약자(모) 010-2984-1538 / 302, 303호 냄새가 조금 있음 </t>
  </si>
  <si>
    <t>박도희</t>
  </si>
  <si>
    <t>001019-4411515</t>
  </si>
  <si>
    <t>010-3142-5599</t>
  </si>
  <si>
    <t>24두 9697</t>
  </si>
  <si>
    <t>k부동산</t>
  </si>
  <si>
    <t>010-2513-2379</t>
  </si>
  <si>
    <t>주차리모컨 5만</t>
  </si>
  <si>
    <t>정무영</t>
  </si>
  <si>
    <t>781005-1228316</t>
  </si>
  <si>
    <t>010-5252-1978</t>
  </si>
  <si>
    <t>바른부동산</t>
  </si>
  <si>
    <t>010-2125-5105</t>
  </si>
  <si>
    <t>서혜경</t>
  </si>
  <si>
    <t>790415-2850521</t>
  </si>
  <si>
    <t>010-2410-5554</t>
  </si>
  <si>
    <t>쇼파 빼달라고 하여 빼서 405호에 넣음</t>
  </si>
  <si>
    <t>한은경</t>
  </si>
  <si>
    <t>850113-2552115</t>
  </si>
  <si>
    <t>010-9895-6220</t>
  </si>
  <si>
    <t>주차리모컨 50,000 / 5/22 개키움 (대표님)</t>
  </si>
  <si>
    <t>유지연</t>
  </si>
  <si>
    <t>880201-2621724</t>
  </si>
  <si>
    <t>010-4205-5026</t>
  </si>
  <si>
    <t>010-4282-1603</t>
  </si>
  <si>
    <t>고양이 키움(카톡 확인)</t>
  </si>
  <si>
    <t>신동민</t>
  </si>
  <si>
    <t>000809-3236423</t>
  </si>
  <si>
    <t>010-5936-6095</t>
  </si>
  <si>
    <t>기존연락처010-3040-8618</t>
  </si>
  <si>
    <t>3/19 올릴 것</t>
  </si>
  <si>
    <t>곽선행</t>
  </si>
  <si>
    <t>850422-2917316</t>
  </si>
  <si>
    <t>010-2155-6320</t>
  </si>
  <si>
    <t>010-6397-1237</t>
  </si>
  <si>
    <t>정은선</t>
  </si>
  <si>
    <t>900702-2690912</t>
  </si>
  <si>
    <t>010-8686-2803</t>
  </si>
  <si>
    <t>주차 절대 안한다고 함</t>
  </si>
  <si>
    <t>최윤서</t>
  </si>
  <si>
    <t>041228-4194635</t>
  </si>
  <si>
    <t>010-3035-8553</t>
  </si>
  <si>
    <t>주기환</t>
  </si>
  <si>
    <t>851202-1469316</t>
  </si>
  <si>
    <t>010-6644-0152</t>
  </si>
  <si>
    <t>서채영</t>
  </si>
  <si>
    <t>06223-4053724</t>
  </si>
  <si>
    <t>010-8380-0662</t>
  </si>
  <si>
    <t>자매부동산</t>
  </si>
  <si>
    <t>010-3402-6785</t>
  </si>
  <si>
    <t>카페트 입주전에 빼놓음</t>
  </si>
  <si>
    <t>나누리</t>
  </si>
  <si>
    <t>951025-2560911</t>
  </si>
  <si>
    <t>010-9595-5259</t>
  </si>
  <si>
    <t>정지호</t>
  </si>
  <si>
    <t>930921-1357515</t>
  </si>
  <si>
    <t>010-8445-6712</t>
  </si>
  <si>
    <t>주차키</t>
  </si>
  <si>
    <t>396더8030</t>
  </si>
  <si>
    <t>주차보증금5만원입금(2/24)</t>
  </si>
  <si>
    <t>김돈영</t>
  </si>
  <si>
    <t>760227-2066918</t>
  </si>
  <si>
    <t>010-7795-7015</t>
  </si>
  <si>
    <t>서강부동산</t>
  </si>
  <si>
    <t>010-6801-9344</t>
  </si>
  <si>
    <t>[주차리모컨 5만] / 3개월 선납 / 개키움(6/10 최과장님)</t>
  </si>
  <si>
    <t>25/9/4 타일공사 완료</t>
  </si>
  <si>
    <t>김도현</t>
  </si>
  <si>
    <t>971228-1180315</t>
  </si>
  <si>
    <t>010-2885-8838</t>
  </si>
  <si>
    <t>357러 5267</t>
  </si>
  <si>
    <t>321저 1131</t>
  </si>
  <si>
    <t>010-2571-7997</t>
  </si>
  <si>
    <t>10/20 주차리모컨 5만</t>
  </si>
  <si>
    <t>임호진</t>
  </si>
  <si>
    <t>811209-1167424</t>
  </si>
  <si>
    <t>010-9999-7942</t>
  </si>
  <si>
    <t>010-3895-6859</t>
  </si>
  <si>
    <t>타일 보수 안됨 (계약시 안내) /주차함(벤츠)계약서에 있는 차량 번호 바뀌었다고 함.</t>
  </si>
  <si>
    <t>870619-2076414</t>
  </si>
  <si>
    <t>010-7381-0292</t>
  </si>
  <si>
    <t>마스터부동산</t>
  </si>
  <si>
    <t>010-9984-7229</t>
  </si>
  <si>
    <t>010-7381-0292 ( 명의변경 - 부수지금예정 ) / 최서연</t>
  </si>
  <si>
    <t>신지민</t>
  </si>
  <si>
    <t>830526-2051613</t>
  </si>
  <si>
    <t>010-8833-8831</t>
  </si>
  <si>
    <t>010-8886-8181</t>
  </si>
  <si>
    <t>임정현</t>
  </si>
  <si>
    <t>980704-2076017</t>
  </si>
  <si>
    <t>010-3523-1882</t>
  </si>
  <si>
    <t xml:space="preserve">퇴실 시 비슷한 쇼파 구입해놓고 나가기로 함 </t>
  </si>
  <si>
    <t>이보람</t>
  </si>
  <si>
    <t>890228-2351710</t>
  </si>
  <si>
    <t>010-7394-1505</t>
  </si>
  <si>
    <t>15구 0803</t>
  </si>
  <si>
    <t>올바른부동산</t>
  </si>
  <si>
    <t>개 3마리,고양이1 / 주차보증금5만</t>
  </si>
  <si>
    <t>남성준</t>
  </si>
  <si>
    <t>770903-1120912</t>
  </si>
  <si>
    <t>010-2702-0116</t>
  </si>
  <si>
    <t>예약대기</t>
  </si>
  <si>
    <t>도담부동산</t>
  </si>
  <si>
    <t xml:space="preserve">주차 대기 예약 </t>
  </si>
  <si>
    <t>이가은</t>
  </si>
  <si>
    <t>030628-4484311</t>
  </si>
  <si>
    <t>010-3068-2139</t>
  </si>
  <si>
    <t>김기봉</t>
  </si>
  <si>
    <t>780711-1074316</t>
  </si>
  <si>
    <t>010-7237-1634</t>
  </si>
  <si>
    <t>문소정</t>
  </si>
  <si>
    <t>990617-2011810</t>
  </si>
  <si>
    <t>010-4168-7244</t>
  </si>
  <si>
    <t>동거인010-5522-7158</t>
  </si>
  <si>
    <t>유은선</t>
  </si>
  <si>
    <t>840301-2457411</t>
  </si>
  <si>
    <t>010-4112-1231</t>
  </si>
  <si>
    <t>010-4406-2923</t>
  </si>
  <si>
    <t>김홍민</t>
  </si>
  <si>
    <t>940604-1552611</t>
  </si>
  <si>
    <t>010-4082-5339</t>
  </si>
  <si>
    <t>우정부동산</t>
  </si>
  <si>
    <t>010-6698-3662</t>
  </si>
  <si>
    <t>금산한우(정세호)</t>
  </si>
  <si>
    <t>740804-1024511</t>
  </si>
  <si>
    <t>010-6218-5936</t>
  </si>
  <si>
    <t>후불/ 수도 짝수달 청구 /  일반용 15K / 수도 기물번호1010 / 27년도 재계약 진행 - 5% 인상</t>
  </si>
  <si>
    <t>김윤솔</t>
  </si>
  <si>
    <t>970108-2082630</t>
  </si>
  <si>
    <t>010-2405-6091</t>
  </si>
  <si>
    <t>일반용 4K /  수도 짝수달 청구 / 잔금 100 다른계좌(대표님 확인)/출근시 쓰레기 정리로 관리비 제외함</t>
  </si>
  <si>
    <t>네일제이(이진주)</t>
  </si>
  <si>
    <t>627-03-00581</t>
  </si>
  <si>
    <t>010-7421-7193</t>
  </si>
  <si>
    <t>일반용 10K .25.11월 임대료 5만원인상</t>
  </si>
  <si>
    <t>김세근</t>
  </si>
  <si>
    <t>700806-2019616</t>
  </si>
  <si>
    <t>010-3946-0805</t>
  </si>
  <si>
    <t>010-3768-7907</t>
  </si>
  <si>
    <t xml:space="preserve">이전 번호 : 010-7421-7193 / 일반용 5K  </t>
  </si>
  <si>
    <t>김해솔</t>
  </si>
  <si>
    <t>060730-4037819</t>
  </si>
  <si>
    <t>010-7558-2845</t>
  </si>
  <si>
    <t>조희수</t>
  </si>
  <si>
    <t>001013-3082614</t>
  </si>
  <si>
    <t>010-7400-3220</t>
  </si>
  <si>
    <t>조상연</t>
  </si>
  <si>
    <t>981216-1082719</t>
  </si>
  <si>
    <t>010-9416-2387</t>
  </si>
  <si>
    <t>없음</t>
  </si>
  <si>
    <t>세입자 연결(중개수수료 이전 세입자 지급) / 청소비 전 세입자 공제 완료 / 월세일 1→10로 변경 예치금 +20(10/10 입금)</t>
  </si>
  <si>
    <t>NGUYEN VAN NAM</t>
  </si>
  <si>
    <t>E03375931</t>
  </si>
  <si>
    <t>010-5605-2311</t>
  </si>
  <si>
    <t>현준호</t>
  </si>
  <si>
    <t>980612-1580618</t>
  </si>
  <si>
    <t>010-7579-4734</t>
  </si>
  <si>
    <t xml:space="preserve">쓰레기 수거업체 씀 저녁 10시 이후 문앞 수거 </t>
  </si>
  <si>
    <t>이루리스튜디오(손경석)</t>
  </si>
  <si>
    <t>910823-1188729</t>
  </si>
  <si>
    <t>010-9503-4049</t>
  </si>
  <si>
    <t>후불</t>
    <phoneticPr fontId="2" type="noConversion"/>
  </si>
  <si>
    <t>반가흑돈(김창용)</t>
  </si>
  <si>
    <t>831215-1894611</t>
  </si>
  <si>
    <t>010-9769-8092</t>
  </si>
  <si>
    <t>꼬모도(김지은)</t>
  </si>
  <si>
    <t>911013-2051418</t>
  </si>
  <si>
    <t>010-3065-5384</t>
  </si>
  <si>
    <t>로지트코리아 유한회사</t>
  </si>
  <si>
    <t>649-86-00449</t>
  </si>
  <si>
    <t>010-7710-8279</t>
  </si>
  <si>
    <t>3,4층 계산서 발행시 합산 금액 발행 / 010-7710-8279 (장성욱이사(회계팀))/담당자 010-6221-2625</t>
  </si>
  <si>
    <t>3,4층 계산서 발행시 합산 금액 발행 / 9/1 계약서 갱신 / 010-6755-2665</t>
  </si>
  <si>
    <t>이소필라테스(이재이)</t>
  </si>
  <si>
    <t>910725-2140910</t>
  </si>
  <si>
    <t>010-2126-5505</t>
  </si>
  <si>
    <t>계약전력 7km / 임대료,관리비 부가세 별도, 7/10~8/31 렌트프리(관리비는 입금 함)</t>
  </si>
  <si>
    <t>또바기(서용원)</t>
  </si>
  <si>
    <t>647-23-02091</t>
  </si>
  <si>
    <t>010-8806-6545</t>
  </si>
  <si>
    <t>재연장 임차인 변경 (선불 2/1부터, 임대료 (1일 적용)) / 주차리모컨 보증금 5만 / 010-8806-6545 / 인터넷 빌링  해지 - 전 명의자)</t>
  </si>
  <si>
    <t>제이앤에스</t>
  </si>
  <si>
    <t>414-77-00332</t>
  </si>
  <si>
    <t>010-2993-7317</t>
  </si>
  <si>
    <t>2024년 5월 렌트프리/공용전기 수도청구 / 이메일 wmfekdk123@naver.com / 010-9091-3581(전기 안전관리자 후불) /재계약서 작성 시 임대료 5%</t>
  </si>
  <si>
    <t>보틀즈(이재호)</t>
  </si>
  <si>
    <t>920427-1023118</t>
  </si>
  <si>
    <t>010-3759-0427</t>
  </si>
  <si>
    <t>공용수도 청구 / pure_ho@naver.com  / 12월 부 보증금 증액, 월세 5%인상 / 4층 창고로 이용(월 30만)</t>
  </si>
  <si>
    <t>㈜마크커뮤니케이션</t>
  </si>
  <si>
    <t>652-86-01876</t>
  </si>
  <si>
    <t>010-3469-0055</t>
  </si>
  <si>
    <t>25.09.01 ~ 25.09.30 / 26.01.01 ~ 26.01.31 / 26.05.01 ~ 26.05.31 렌트프리 / 미납없으면 해당기간 렌트프리(관리비는 청구)</t>
  </si>
  <si>
    <t>1층, 창고로 일부 이용</t>
  </si>
  <si>
    <t>이고은</t>
  </si>
  <si>
    <t>881002-1157618</t>
  </si>
  <si>
    <t>010-6661-4654</t>
  </si>
  <si>
    <t>저녁, 공휴일에 3층 주차자리에 주차 함(4/30)</t>
  </si>
  <si>
    <t>황종현</t>
  </si>
  <si>
    <t>860710-1405628</t>
  </si>
  <si>
    <t>010-4441-6109</t>
  </si>
  <si>
    <t>KNS에듀</t>
  </si>
  <si>
    <t>010-8727-9802</t>
  </si>
  <si>
    <t>010-9723-4779</t>
  </si>
  <si>
    <t>심화랑(수학학원)</t>
  </si>
  <si>
    <t>010-8752-1104</t>
  </si>
  <si>
    <t xml:space="preserve">[담당자:부원장]010-8896-4851 </t>
  </si>
  <si>
    <t>KNS북스</t>
  </si>
  <si>
    <t>701121-1162614</t>
  </si>
  <si>
    <t>010-9010-0431</t>
  </si>
  <si>
    <t xml:space="preserve"> psh@knsedu.co.kr</t>
  </si>
  <si>
    <t>린넨브리즈</t>
  </si>
  <si>
    <t>010-2737-9993</t>
  </si>
  <si>
    <t>이규민</t>
  </si>
  <si>
    <t>신도네트</t>
  </si>
  <si>
    <t>010-9264-0755</t>
  </si>
  <si>
    <t>세기정보</t>
  </si>
  <si>
    <t>010-4212-1206</t>
  </si>
  <si>
    <t>김희현</t>
  </si>
  <si>
    <t>010-5479-7616</t>
  </si>
  <si>
    <t>김이슬</t>
  </si>
  <si>
    <t>010-3889-7178</t>
  </si>
  <si>
    <t>이명희</t>
  </si>
  <si>
    <t>700528-2048021</t>
  </si>
  <si>
    <t>010-9166-6435</t>
  </si>
  <si>
    <t>태양부동산</t>
  </si>
  <si>
    <t xml:space="preserve"> 010-3738-6341</t>
  </si>
  <si>
    <t>임형빈</t>
  </si>
  <si>
    <t>010-4313-1086</t>
  </si>
  <si>
    <t>26/4/12 퇴실 예정 → 26/1/28 연장 의사 밝힘</t>
  </si>
  <si>
    <t>박기윤</t>
  </si>
  <si>
    <t>010-4818-8148</t>
  </si>
  <si>
    <t>김화영</t>
  </si>
  <si>
    <t>010-9100-9931</t>
  </si>
  <si>
    <t>엄미란</t>
  </si>
  <si>
    <t>자녀거주</t>
  </si>
  <si>
    <t>010-4929-1164</t>
  </si>
  <si>
    <t>7월부터 7만원 9만원</t>
  </si>
  <si>
    <t>이연옥</t>
  </si>
  <si>
    <t>연락처 없음</t>
  </si>
  <si>
    <t>010-9122-4426</t>
  </si>
  <si>
    <t>355가6536</t>
  </si>
  <si>
    <t>김수현</t>
  </si>
  <si>
    <t>010-3118-7717</t>
  </si>
  <si>
    <t>53라9952</t>
  </si>
  <si>
    <t>[소유주: 강남부동산] , [실제세입자:010-4528-3858]</t>
  </si>
  <si>
    <t>두철희</t>
  </si>
  <si>
    <t>세대주(서정미)</t>
  </si>
  <si>
    <t>010-3096-4094</t>
  </si>
  <si>
    <t>362구9424</t>
  </si>
  <si>
    <t>5/15 퇴실 후 소유주 정보로 교체</t>
  </si>
  <si>
    <t>이창우</t>
  </si>
  <si>
    <t>010-4208-5568</t>
  </si>
  <si>
    <t>62구7254</t>
  </si>
  <si>
    <t>주차3만원</t>
  </si>
  <si>
    <t>조숙희</t>
  </si>
  <si>
    <t>010-9036-6054</t>
  </si>
  <si>
    <t>56거5250</t>
  </si>
  <si>
    <t>김선아</t>
  </si>
  <si>
    <t>010-5409-1701</t>
  </si>
  <si>
    <t>43구5703</t>
  </si>
  <si>
    <t>성시은</t>
  </si>
  <si>
    <t>010-6399-6878</t>
  </si>
  <si>
    <t>266노6727</t>
  </si>
  <si>
    <t>김도연</t>
  </si>
  <si>
    <t>청구이전</t>
  </si>
  <si>
    <t>010-2202-6932</t>
  </si>
  <si>
    <t>18주0680</t>
  </si>
  <si>
    <t>김태윤</t>
  </si>
  <si>
    <t>010-7227-9440</t>
  </si>
  <si>
    <t>53어7759</t>
  </si>
  <si>
    <t>양진희</t>
  </si>
  <si>
    <t>010-5339-2759</t>
  </si>
  <si>
    <t>259마4920</t>
  </si>
  <si>
    <t>정민우</t>
  </si>
  <si>
    <t>010-7139-3202</t>
  </si>
  <si>
    <t>126머3277</t>
  </si>
  <si>
    <t>강남부동산</t>
  </si>
  <si>
    <t>010-7279-5067</t>
  </si>
  <si>
    <t>1/30 매매 했는데, 세가 안나가고 있어서 관리비는 세가 나가면 한번에 입금하겠다고 함(나호용차장)</t>
  </si>
  <si>
    <t>김수민</t>
  </si>
  <si>
    <t>010-9114-1447</t>
  </si>
  <si>
    <t>230하6828</t>
  </si>
  <si>
    <t>반쪽짜리옴</t>
  </si>
  <si>
    <t>최은미</t>
  </si>
  <si>
    <t>010-9287-5207</t>
  </si>
  <si>
    <t>강력 확인중</t>
  </si>
  <si>
    <t>270서5891</t>
  </si>
  <si>
    <t>12/31 2개 빠진거 맞음</t>
  </si>
  <si>
    <t>7/2 9만원 입금</t>
  </si>
  <si>
    <t>함주안</t>
  </si>
  <si>
    <t>010-3480-5114</t>
  </si>
  <si>
    <t>362머1519</t>
  </si>
  <si>
    <t>최경환</t>
  </si>
  <si>
    <t>010-3142-7830</t>
  </si>
  <si>
    <t>23버5979</t>
  </si>
  <si>
    <t>[소유주]</t>
  </si>
  <si>
    <t>권아영</t>
  </si>
  <si>
    <t>010-2019-9096</t>
  </si>
  <si>
    <t>68조2480</t>
  </si>
  <si>
    <t>010-5019-9096(모/진은형)</t>
  </si>
  <si>
    <t>김광훈</t>
  </si>
  <si>
    <t>010-9348-2685</t>
  </si>
  <si>
    <t>70고9408</t>
  </si>
  <si>
    <t>이행건</t>
  </si>
  <si>
    <t>7/7까지 완납약속</t>
  </si>
  <si>
    <t>010-9074-5797</t>
  </si>
  <si>
    <t>53다2762</t>
  </si>
  <si>
    <t>민혜진</t>
  </si>
  <si>
    <t>010-9544-3044</t>
  </si>
  <si>
    <t>56노 2727</t>
  </si>
  <si>
    <t>집주인 010-3738-7877</t>
  </si>
  <si>
    <t>이지선</t>
  </si>
  <si>
    <t>남궁율</t>
  </si>
  <si>
    <t>010-3757-7335</t>
  </si>
  <si>
    <t>133호 5391</t>
  </si>
  <si>
    <t>윤필란</t>
  </si>
  <si>
    <t>확인</t>
  </si>
  <si>
    <t>010-9566-3267</t>
  </si>
  <si>
    <t>47거1535</t>
  </si>
  <si>
    <t>차여남</t>
  </si>
  <si>
    <t>010-5040-8979</t>
  </si>
  <si>
    <t>11구4999</t>
  </si>
  <si>
    <t>[미친년2]</t>
  </si>
  <si>
    <t>김덕환</t>
  </si>
  <si>
    <t>010-5416-2260</t>
  </si>
  <si>
    <t>12마3909</t>
  </si>
  <si>
    <t>주차키 2개 / 7/1 리모컨 보증금 3만</t>
  </si>
  <si>
    <t>이희선</t>
  </si>
  <si>
    <t>010-8746-0136</t>
  </si>
  <si>
    <t>186조 7660</t>
  </si>
  <si>
    <t>010-8646-6136 / 장재현</t>
  </si>
  <si>
    <t>김남미</t>
  </si>
  <si>
    <t>김남이</t>
  </si>
  <si>
    <t>010-8997-0176</t>
  </si>
  <si>
    <t xml:space="preserve">299가8167 </t>
  </si>
  <si>
    <t>우호숙</t>
  </si>
  <si>
    <t>010-9896-7781</t>
  </si>
  <si>
    <t>124더9781</t>
  </si>
  <si>
    <t>김유정(대표님)</t>
  </si>
  <si>
    <t>010-5024-6090</t>
  </si>
  <si>
    <t>124두1452</t>
  </si>
  <si>
    <t>장남수</t>
  </si>
  <si>
    <t>장래원</t>
  </si>
  <si>
    <t>010-8787-6277</t>
  </si>
  <si>
    <t>1월,4월/4 장례관으로 입금</t>
  </si>
  <si>
    <t>69거4404</t>
  </si>
  <si>
    <t>23년 10월4일 입주</t>
  </si>
  <si>
    <t>문서아</t>
  </si>
  <si>
    <t>010-5621-1029</t>
  </si>
  <si>
    <t>김은율(말일)</t>
  </si>
  <si>
    <t>말일</t>
  </si>
  <si>
    <t>010-7209-5001</t>
  </si>
  <si>
    <t>황선영</t>
  </si>
  <si>
    <t>010-4795-4522</t>
  </si>
  <si>
    <t>66다8893</t>
  </si>
  <si>
    <t>박광자</t>
  </si>
  <si>
    <t>010-6255-4807</t>
  </si>
  <si>
    <t>62나8289</t>
  </si>
  <si>
    <t>김용금</t>
  </si>
  <si>
    <t>010-8728-7796</t>
  </si>
  <si>
    <t>17너4327</t>
  </si>
  <si>
    <t>김미나</t>
  </si>
  <si>
    <t>010-4222-2195</t>
  </si>
  <si>
    <t>06오7636</t>
  </si>
  <si>
    <t>정수환</t>
  </si>
  <si>
    <t>010-5702-0706</t>
  </si>
  <si>
    <t>67수2980</t>
  </si>
  <si>
    <t>김기중</t>
  </si>
  <si>
    <t>010-5505-6989</t>
  </si>
  <si>
    <t>24어0408</t>
  </si>
  <si>
    <t>한숙자(화재보험)</t>
  </si>
  <si>
    <t>010-3025-8945</t>
  </si>
  <si>
    <t>57도 5087</t>
  </si>
  <si>
    <t>양현미(총무님)</t>
  </si>
  <si>
    <t>010-2129-9063</t>
  </si>
  <si>
    <t>235소5094</t>
  </si>
  <si>
    <t>장석현</t>
  </si>
  <si>
    <t>010-3047-0903</t>
  </si>
  <si>
    <t>22부0668</t>
  </si>
  <si>
    <t>최한주</t>
  </si>
  <si>
    <t>010-2669-1029</t>
  </si>
  <si>
    <t>29로4866</t>
  </si>
  <si>
    <t>김현옥</t>
  </si>
  <si>
    <t>23년6월 입주로 미납없음(7만원 조정)</t>
  </si>
  <si>
    <t>010-3297-3913</t>
  </si>
  <si>
    <t>33다6962</t>
  </si>
  <si>
    <t>양혜연</t>
  </si>
  <si>
    <t>서정훈</t>
  </si>
  <si>
    <t>010-7369-3029</t>
  </si>
  <si>
    <t>256더8077</t>
  </si>
  <si>
    <t>2024/7/20 입주예정 /주차보증금3만원</t>
  </si>
  <si>
    <t>전담스팟(김재연)</t>
  </si>
  <si>
    <t>960518-1075213</t>
  </si>
  <si>
    <t>010-8332-0930</t>
  </si>
  <si>
    <t>힐링부동산</t>
  </si>
  <si>
    <t>010-7696-3619</t>
  </si>
  <si>
    <t xml:space="preserve">첫달 렌트프리(3/5-4/4) </t>
  </si>
  <si>
    <t>네일스튜디오(서현경)</t>
  </si>
  <si>
    <t>950810-2065710</t>
  </si>
  <si>
    <t>010-6856-8863</t>
  </si>
  <si>
    <t>한방부동산</t>
  </si>
  <si>
    <t>010-5600-3681</t>
  </si>
  <si>
    <t>24/12/3-1/2 한달렌트프리 / nailstudiowol@hometax.go.kr / 홀수달 수도요금 청구(네이버 메일)</t>
  </si>
  <si>
    <t>문혜경</t>
  </si>
  <si>
    <t>980805-2020625</t>
  </si>
  <si>
    <t>010-5654-2273</t>
  </si>
  <si>
    <t>02-889-7778</t>
  </si>
  <si>
    <t>960315-2070517</t>
  </si>
  <si>
    <t>010-7272-4635</t>
  </si>
  <si>
    <t>부가세 6만원 별도 이메일 tmgusdl0315@naver.com / 2호라인 원룸</t>
  </si>
  <si>
    <t>CHANIOUCHKINA EVGUENIA</t>
  </si>
  <si>
    <t>910111-6100011</t>
  </si>
  <si>
    <t>010-8206-9466</t>
  </si>
  <si>
    <t>정민주</t>
  </si>
  <si>
    <t>020408-4409629</t>
  </si>
  <si>
    <t>010-5628-5209</t>
  </si>
  <si>
    <t>2/7 입주하면 수도요금 인수인계 금액(37,710원) 있다고 안내 후 입금 계좌 받을 것</t>
  </si>
  <si>
    <t>안보혜</t>
  </si>
  <si>
    <t>020228-4860410</t>
  </si>
  <si>
    <t>010-6312-6296</t>
  </si>
  <si>
    <t>동작 카2161</t>
  </si>
  <si>
    <t>010-2144-6296( 부모)</t>
  </si>
  <si>
    <t>MOSTAFAVI ISFAHANI SAYED MOHAMMAD</t>
  </si>
  <si>
    <t>860516-5220020</t>
  </si>
  <si>
    <t>010-9254-0819</t>
  </si>
  <si>
    <t>입주: 2025-12-13 / 월세 매월 17일 / 비상연락처: 010-2351-6660</t>
  </si>
  <si>
    <t>정서현</t>
  </si>
  <si>
    <t>011108-4496917</t>
  </si>
  <si>
    <t>010-8419-1088</t>
  </si>
  <si>
    <t>심채연</t>
  </si>
  <si>
    <t>011130-4157312</t>
  </si>
  <si>
    <t>010-3936-9129</t>
  </si>
  <si>
    <t>010-2980-7797(부) 박동원 / 주차 6만원</t>
  </si>
  <si>
    <t>990715-1850612</t>
  </si>
  <si>
    <t>010-8329-8098</t>
  </si>
  <si>
    <t>정진성</t>
  </si>
  <si>
    <t>990309-1423215</t>
  </si>
  <si>
    <t>010-5631-4850</t>
  </si>
  <si>
    <t>퇴실 시 벽지(거실, 안 방) 청구 X</t>
  </si>
  <si>
    <t>이현규</t>
  </si>
  <si>
    <t>921109-1091012</t>
  </si>
  <si>
    <t>010-4126-6719</t>
  </si>
  <si>
    <t>24/8/5 화장실 전등스위치 밑 타일 깨짐(전전세입자에게 35만원 공제하고 수리못함)</t>
  </si>
  <si>
    <t>최윤기</t>
  </si>
  <si>
    <t>920303-1332729</t>
  </si>
  <si>
    <t>010-5048-1468</t>
  </si>
  <si>
    <t>황보현지</t>
  </si>
  <si>
    <t>931104-2561019</t>
  </si>
  <si>
    <t>010-3267-1104</t>
  </si>
  <si>
    <t>김철규(친구분)</t>
  </si>
  <si>
    <t>840214-1455317</t>
  </si>
  <si>
    <t>010-4656-7948</t>
  </si>
  <si>
    <t>포함</t>
  </si>
  <si>
    <t>서초 자7634</t>
  </si>
  <si>
    <t>월세 후불, 9/18 50만원으로 변경 / 7/18 - 6월분부터 월세 50-&gt;60, 관리비 0-&gt; 0 적용</t>
  </si>
  <si>
    <t>박준희</t>
  </si>
  <si>
    <t>970206-1032816</t>
  </si>
  <si>
    <t>010-5628-7629</t>
  </si>
  <si>
    <t>양정헌</t>
  </si>
  <si>
    <t>991222-1581632</t>
  </si>
  <si>
    <t>010-7514-7849</t>
  </si>
  <si>
    <t>010-6614-7779</t>
  </si>
  <si>
    <t>강민서</t>
  </si>
  <si>
    <t>800213-2251223</t>
  </si>
  <si>
    <t>010-8968-5480</t>
  </si>
  <si>
    <t>홍종욱</t>
  </si>
  <si>
    <t>840228-1231546</t>
  </si>
  <si>
    <t>010-5195-6789</t>
  </si>
  <si>
    <t>정우진</t>
  </si>
  <si>
    <t>960128-1824137</t>
  </si>
  <si>
    <t>010-9191-0976</t>
  </si>
  <si>
    <t>이미경</t>
  </si>
  <si>
    <t>740403-2030314</t>
  </si>
  <si>
    <t>010-4825-7202</t>
  </si>
  <si>
    <t>48나 8559</t>
  </si>
  <si>
    <t>이문경 / 주차키 보증금 3만</t>
  </si>
  <si>
    <t>안혜인</t>
  </si>
  <si>
    <t>940410-2095416</t>
  </si>
  <si>
    <t>010-7447-4894</t>
  </si>
  <si>
    <t>고형석</t>
  </si>
  <si>
    <t>951216-1561712</t>
  </si>
  <si>
    <t>010-6297-8410</t>
  </si>
  <si>
    <t>이지훈</t>
  </si>
  <si>
    <t>790704-1046624</t>
  </si>
  <si>
    <t>010-4615-1200</t>
  </si>
  <si>
    <t>이호석</t>
  </si>
  <si>
    <t>900227-1768317</t>
  </si>
  <si>
    <t>010-5068-8680</t>
  </si>
  <si>
    <t>매월 5일 월세 입금</t>
  </si>
  <si>
    <t>유소현</t>
  </si>
  <si>
    <t>980320-2865420</t>
  </si>
  <si>
    <t>010-6364-7931</t>
  </si>
  <si>
    <t>1인 추가3만</t>
  </si>
  <si>
    <t>장민경</t>
  </si>
  <si>
    <t>950103-2933939</t>
  </si>
  <si>
    <t>010-2699-6573</t>
  </si>
  <si>
    <t>4261</t>
  </si>
  <si>
    <t>10/14-주차비 7만 → 2/5 취소했다가 2/10부터 다시(취소 기간 없이 진행)</t>
  </si>
  <si>
    <t>배성웅</t>
  </si>
  <si>
    <t>970315-1901112</t>
  </si>
  <si>
    <t>010-2472-0894</t>
  </si>
  <si>
    <t>세입자 연결 (3/9) → 계약완료 4/11 입주 예정</t>
  </si>
  <si>
    <t>김난초</t>
  </si>
  <si>
    <t>860209-2067410</t>
  </si>
  <si>
    <t>010-2730-1777</t>
  </si>
  <si>
    <t>유재찬</t>
  </si>
  <si>
    <t>931220-1526511</t>
  </si>
  <si>
    <t>010-4231-0002</t>
  </si>
  <si>
    <t>김서현</t>
  </si>
  <si>
    <t>990908-2103119</t>
  </si>
  <si>
    <t>010-3863-9070</t>
  </si>
  <si>
    <t>주차 시 9만원으로 계약서 작성됨 / 2인 거주(+3만)</t>
  </si>
  <si>
    <t>우다영</t>
  </si>
  <si>
    <t>970823-2041511</t>
  </si>
  <si>
    <t>010-3700-2175</t>
  </si>
  <si>
    <t>256우 6107</t>
  </si>
  <si>
    <t>주차비 7만원, 월세일을 25일에 내기로 합의 했음 /. 투룸 호실 나오묜 알려줄 것</t>
  </si>
  <si>
    <t>유덕재</t>
  </si>
  <si>
    <t>930422-1054418</t>
  </si>
  <si>
    <t>010-9103-0330</t>
  </si>
  <si>
    <t>주차비 7만원</t>
  </si>
  <si>
    <t>김성현</t>
  </si>
  <si>
    <t>990624-1120418</t>
  </si>
  <si>
    <t>010-2297-3543</t>
  </si>
  <si>
    <t>김성현 5,000 / 010-2868-3543(모)</t>
  </si>
  <si>
    <t>강은설</t>
  </si>
  <si>
    <t>910727-2552917</t>
  </si>
  <si>
    <t>010-4365-8185</t>
  </si>
  <si>
    <t>든든부동산</t>
  </si>
  <si>
    <t>010-2592-5128</t>
  </si>
  <si>
    <t>입주 시 직접청소</t>
  </si>
  <si>
    <t>신세영</t>
  </si>
  <si>
    <t>921113-2032614</t>
  </si>
  <si>
    <t>010-3077-6828</t>
  </si>
  <si>
    <t>1인추가 +3만원 / 박동원</t>
  </si>
  <si>
    <t>이희석</t>
  </si>
  <si>
    <t>890925-1683516</t>
  </si>
  <si>
    <t>010-2054-3272</t>
  </si>
  <si>
    <t>154무 2335</t>
  </si>
  <si>
    <t>주차비 9만원(2/14부터 시작)</t>
  </si>
  <si>
    <t>홍송원</t>
  </si>
  <si>
    <t>940628-2910212</t>
  </si>
  <si>
    <t>010-5284-2727</t>
  </si>
  <si>
    <t>박채아</t>
  </si>
  <si>
    <t>970721-2162626</t>
  </si>
  <si>
    <t>010-8487-7021</t>
  </si>
  <si>
    <t>40나 1903</t>
  </si>
  <si>
    <t xml:space="preserve">25/3/31 주차1대 </t>
  </si>
  <si>
    <t>장수현</t>
  </si>
  <si>
    <t>960524-2165017</t>
  </si>
  <si>
    <t>010-3554-9157</t>
  </si>
  <si>
    <t>180노1849</t>
  </si>
  <si>
    <t>341서 9043</t>
  </si>
  <si>
    <t>10/23 주차 2대 (22일 23일 차량번호 전달해주기로 함)</t>
  </si>
  <si>
    <t>공민제</t>
  </si>
  <si>
    <t>010621-3005515</t>
  </si>
  <si>
    <t>010-2017-8131</t>
  </si>
  <si>
    <t>나우부동산</t>
  </si>
  <si>
    <t>02-852-3338</t>
  </si>
  <si>
    <t>010-7941-5820</t>
  </si>
  <si>
    <t>김제이</t>
  </si>
  <si>
    <t>950822-2069219</t>
  </si>
  <si>
    <t>010-4848-4484</t>
  </si>
  <si>
    <t>21일 입금함</t>
  </si>
  <si>
    <t>표석범</t>
  </si>
  <si>
    <t>010-3193-0717</t>
  </si>
  <si>
    <t>김란</t>
  </si>
  <si>
    <t>851205-2551817</t>
  </si>
  <si>
    <t>010-8564-8562</t>
  </si>
  <si>
    <t>010-7250-8994</t>
  </si>
  <si>
    <t>김다빈</t>
  </si>
  <si>
    <t>030826-4464617</t>
  </si>
  <si>
    <t>010-5286-4222</t>
  </si>
  <si>
    <t>박채린</t>
  </si>
  <si>
    <t>970814-2933716</t>
  </si>
  <si>
    <t>010-5939-2081</t>
  </si>
  <si>
    <t>유다운</t>
  </si>
  <si>
    <t>880218-1221313</t>
  </si>
  <si>
    <t>010-3868-8598</t>
  </si>
  <si>
    <t>부동산:010-2020-1329</t>
  </si>
  <si>
    <t>최기연</t>
  </si>
  <si>
    <t>880729-1170326</t>
  </si>
  <si>
    <t>010-4153-9302</t>
  </si>
  <si>
    <t xml:space="preserve">침대 비용 35만원 부수에서 차감 하고 부동산에서 10만원 보내주기로함 </t>
  </si>
  <si>
    <t>안지영</t>
  </si>
  <si>
    <t>981128-2840811</t>
  </si>
  <si>
    <t>010-9999-3573</t>
  </si>
  <si>
    <t>(계약서번호:010-7399-7383)</t>
  </si>
  <si>
    <t>041226-4303011</t>
  </si>
  <si>
    <t>010-8168-7585</t>
  </si>
  <si>
    <t>주차가능시 주차요청.</t>
  </si>
  <si>
    <t>박세현</t>
  </si>
  <si>
    <t>911209-1067010</t>
  </si>
  <si>
    <t>010-7942-0226</t>
  </si>
  <si>
    <t>229호 3519</t>
  </si>
  <si>
    <t>김권</t>
  </si>
  <si>
    <t>900823-1852427</t>
  </si>
  <si>
    <t>010-8500-6001</t>
  </si>
  <si>
    <t>010-5700-8430</t>
  </si>
  <si>
    <t>차호준</t>
  </si>
  <si>
    <t>961112-1338616</t>
  </si>
  <si>
    <t>010-5123-6116</t>
  </si>
  <si>
    <t>우리들부동산</t>
  </si>
  <si>
    <t>010-8626-8554</t>
  </si>
  <si>
    <t>정예은</t>
  </si>
  <si>
    <t>000218-4703219</t>
  </si>
  <si>
    <t>010-8821-3897</t>
  </si>
  <si>
    <t>010-2724-1625</t>
  </si>
  <si>
    <t>침대 2개(1개 502 → 501) / 1/7 502호 민원 - 개키음(503호 호실 개와 시간 상관없이 짖음 아침에 많이 짖음)</t>
  </si>
  <si>
    <t>최예은</t>
  </si>
  <si>
    <t>031129-4069711</t>
  </si>
  <si>
    <t>010-5261-5988</t>
  </si>
  <si>
    <t>010-8007-1655</t>
  </si>
  <si>
    <t>010-5853-1814 / 501호는 개 안키음.</t>
  </si>
  <si>
    <t>030130-4063617</t>
  </si>
  <si>
    <t>010-2469-5314</t>
  </si>
  <si>
    <t>[주차함]보증금 5만/개키움 4/28 대표님/ 5/7 40만원 누수보상 / 4658 지인차량 / 4873 옛날차
1/7 502민원 503호 호실 개와 시간 상관없이 짖음 아침에 많이 짖음)</t>
  </si>
  <si>
    <t>박수연</t>
  </si>
  <si>
    <t>000921-4318918</t>
  </si>
  <si>
    <t>010-8193-0829</t>
  </si>
  <si>
    <t>이충훈</t>
  </si>
  <si>
    <t>851229-1551210</t>
  </si>
  <si>
    <t>010-9296-9604</t>
  </si>
  <si>
    <t>104더8877</t>
  </si>
  <si>
    <t>010-7598-2973</t>
  </si>
  <si>
    <t xml:space="preserve">주차불가/ 퇴실 때 전기가스 정산해야함!!!!!!!!!!! 기존번호010-2017-7332 </t>
  </si>
  <si>
    <t>전주영</t>
  </si>
  <si>
    <t>송예주50</t>
  </si>
  <si>
    <t>사거리떡볶이(이선애)</t>
  </si>
  <si>
    <t>780525-2065412</t>
  </si>
  <si>
    <t>010-9846-8036</t>
  </si>
  <si>
    <t>공용전기 1층만 연결됨 - 24일 전기검침요청</t>
  </si>
  <si>
    <t>1억5천/850 (권리금 X)</t>
  </si>
  <si>
    <t>조니워커(김눈)</t>
  </si>
  <si>
    <t>880902-2173910</t>
  </si>
  <si>
    <t>010-9141-4828</t>
  </si>
  <si>
    <t>후불 / 5/3 김유빈 공동명의자해지 / 안상남</t>
  </si>
  <si>
    <t>루멘테라피(이승민)</t>
  </si>
  <si>
    <t>810510-1051112</t>
  </si>
  <si>
    <t>010-3770-2391</t>
  </si>
  <si>
    <t>후불 / 명의 010-3744-0560 , 공동명의 010-2001-4404 / 공사로 인해 월세일 21일 납부</t>
  </si>
  <si>
    <t>도화옥상Beer(장찬균)</t>
  </si>
  <si>
    <t>920906-1046719</t>
  </si>
  <si>
    <t>010-5053-1356</t>
  </si>
  <si>
    <t>후불 / 월세일 10일</t>
  </si>
  <si>
    <t>그램엔터테이먼트(김용)</t>
  </si>
  <si>
    <t>110111-8543187</t>
  </si>
  <si>
    <t>010-6681-2397</t>
  </si>
  <si>
    <t>주차료</t>
  </si>
  <si>
    <t>25/8/15-9/14 렌트프리 / 주차비 15만원</t>
  </si>
  <si>
    <t>사고링크손해사정(주)</t>
  </si>
  <si>
    <t>120111-1262039</t>
  </si>
  <si>
    <t>010-6310-3326</t>
  </si>
  <si>
    <t>boss@sagolink.com</t>
  </si>
  <si>
    <t>삼성동미용실(이상하)</t>
  </si>
  <si>
    <t>821220-2551613</t>
  </si>
  <si>
    <t>010-9886-2455</t>
  </si>
  <si>
    <t xml:space="preserve">수도 정화조 포함 /25.1.8 관리비 부가세 청구 </t>
  </si>
  <si>
    <t>두자매부동산(최선영)</t>
  </si>
  <si>
    <t>570319-2051320</t>
  </si>
  <si>
    <t>010-2424-2400</t>
  </si>
  <si>
    <t>다올커텐(이항석)</t>
  </si>
  <si>
    <t>860613-1023612</t>
  </si>
  <si>
    <t>010-8754-0124</t>
  </si>
  <si>
    <t>포함</t>
    <phoneticPr fontId="2" type="noConversion"/>
  </si>
  <si>
    <t>5%인상된 금액</t>
  </si>
  <si>
    <t>투어포퍼먼스(진홍민)</t>
  </si>
  <si>
    <t>800709-1155521</t>
  </si>
  <si>
    <t>010-5358-2865</t>
  </si>
  <si>
    <t>[다른번호] 010-5358-2865</t>
  </si>
  <si>
    <t>아토믹과학교습소(최영욱)</t>
  </si>
  <si>
    <t>851119-1074518</t>
  </si>
  <si>
    <t>010-7579-7190</t>
  </si>
  <si>
    <t>부가세 X</t>
  </si>
  <si>
    <t>관리비 부가세 X</t>
  </si>
  <si>
    <t>매스하이수학교습소(최지영)</t>
  </si>
  <si>
    <t>830212-2066126</t>
  </si>
  <si>
    <t>010-8678-0158</t>
  </si>
  <si>
    <t>010-3101-2688</t>
  </si>
  <si>
    <t>미공플랜학원(이주미)</t>
  </si>
  <si>
    <t>690815-2017214</t>
  </si>
  <si>
    <t>010-8305-3012</t>
  </si>
  <si>
    <t>부가세 포함</t>
  </si>
  <si>
    <t xml:space="preserve">부가세 X </t>
  </si>
  <si>
    <t>비옥(최은지)</t>
  </si>
  <si>
    <t>851121-2025416</t>
  </si>
  <si>
    <t>010-2888-2019</t>
  </si>
  <si>
    <t>오름학습센터(박성원)</t>
  </si>
  <si>
    <t>731215-2019724</t>
  </si>
  <si>
    <t>010-2339-1215</t>
  </si>
  <si>
    <t xml:space="preserve">전기,가스,수도 별도 / </t>
  </si>
  <si>
    <t>주식회사 폴리체</t>
  </si>
  <si>
    <t>010-5557-8869</t>
  </si>
  <si>
    <t>주차비</t>
  </si>
  <si>
    <t>(무료주차:1대),pollice2014@naver.com / 2025.11 부터 관리비 160,600(부가세 포함) 추가</t>
  </si>
  <si>
    <t>㈜큐서비스/㈜인터카스코리아</t>
  </si>
  <si>
    <t>010-6541-6058</t>
  </si>
  <si>
    <t>(무료주차:2대),intercars@hanmail.net / 11월부터 주차 3대 / 2025.12 임대료 인상</t>
  </si>
  <si>
    <t>101레시피</t>
  </si>
  <si>
    <t>010-5572-2864</t>
  </si>
  <si>
    <t>(무료주차:3대),101recipe@naver.com / 2025.12 임대료 인상</t>
  </si>
  <si>
    <t>오렌지무역</t>
  </si>
  <si>
    <t>010-6335-0375</t>
  </si>
  <si>
    <t>(무료주차:1대),orange0714@orange-trading.com</t>
  </si>
  <si>
    <t>치아미치과</t>
  </si>
  <si>
    <t>010-9263-0439</t>
  </si>
  <si>
    <t>(무료주차:1대),resinbond@hanmail.net</t>
  </si>
  <si>
    <t>㈜동우솔루션</t>
  </si>
  <si>
    <t>26/05/01부터 인상</t>
  </si>
  <si>
    <t>010-5252-2321</t>
  </si>
  <si>
    <t>(무료주차:0대),dongwoosol@gmail.com 010-5248-0237 / 27년 재계약시 금액인상관련해서 협의요청(임차인 → 건물주)</t>
  </si>
  <si>
    <t>에스에스토탈</t>
  </si>
  <si>
    <t>010-5626-0314</t>
  </si>
  <si>
    <t>리치핀부동산</t>
  </si>
  <si>
    <t>010-3807-0880</t>
  </si>
  <si>
    <t>(무료주차:1대)/ 중개보수료 0.7 / 계약자: 010-9233-8148</t>
  </si>
  <si>
    <t>㈜빅디컴퍼니</t>
  </si>
  <si>
    <t>010-5308-8736</t>
  </si>
  <si>
    <t>(무료주차:1대),zzangsk8254@naver.com</t>
  </si>
  <si>
    <t>SK(하선준)</t>
  </si>
  <si>
    <t>26.10월에 재계약 협의</t>
  </si>
  <si>
    <t>1566-5270</t>
  </si>
  <si>
    <t>건물 소재 이용료</t>
  </si>
  <si>
    <t>LGT(김미경)</t>
  </si>
  <si>
    <t>010-8080-0269</t>
  </si>
  <si>
    <t>KT(서부NW운용본부)</t>
  </si>
  <si>
    <t>1577-6168</t>
  </si>
  <si>
    <t>탑테니스(안봉근)</t>
  </si>
  <si>
    <t>910202-1235012</t>
  </si>
  <si>
    <t>010-9085-7242</t>
  </si>
  <si>
    <t>별도</t>
  </si>
  <si>
    <t>IBK어린이집</t>
  </si>
  <si>
    <t>202-81-00978</t>
  </si>
  <si>
    <t>010-3305-1203</t>
  </si>
  <si>
    <t>입금 관련 문의: IBK 직원행복부 02-729-6301(양미미 차장) / 부가세 포함 금액임</t>
  </si>
  <si>
    <t>주식회사 더리더(정이조영어)</t>
  </si>
  <si>
    <t>138-86-04310</t>
  </si>
  <si>
    <t>010-8935-1162</t>
  </si>
  <si>
    <t xml:space="preserve">010-2582-0328(계약자 / 이전 원장) / </t>
  </si>
  <si>
    <t>엠엠티피트니스</t>
  </si>
  <si>
    <t>1월 550만(부포) 청구</t>
  </si>
  <si>
    <t>010-4608-8081</t>
  </si>
  <si>
    <t>1/1~1/31 임대료 550만원 청구 / 조성수</t>
  </si>
  <si>
    <t>루비의원 마포점</t>
  </si>
  <si>
    <t>860211-2076715</t>
  </si>
  <si>
    <t>010-4501-1945</t>
  </si>
  <si>
    <t>주차 2대 / 관리비 임대료에 포함 / 260201~260331 렌트프리, 1,2,3월 관리비 50만 / 계산서받음 / 업체 담당자(참고용 별도 연락 할 필요 없음) 010-8545-2469</t>
  </si>
  <si>
    <t>㈜그레이드헬스체인</t>
  </si>
  <si>
    <t>205-81-42749</t>
  </si>
  <si>
    <t>010-6396-5322</t>
  </si>
  <si>
    <t>소방점검 결과 현재 회의실로 쓰는 부분 파티션 제거가 필요함</t>
  </si>
  <si>
    <t>계약</t>
  </si>
  <si>
    <t>곽예지50</t>
  </si>
  <si>
    <t>157보4644</t>
  </si>
  <si>
    <t>37나 6968</t>
  </si>
  <si>
    <t>3/6 273모9523여자친구차량으로 확인됨, 주차 1대만 가능하다고 안내함</t>
  </si>
  <si>
    <t>김명진</t>
  </si>
  <si>
    <t>030818-4852219</t>
  </si>
  <si>
    <t>010-8683-2772</t>
  </si>
  <si>
    <t>12월 주차예정</t>
  </si>
  <si>
    <t>박관석</t>
  </si>
  <si>
    <t>780923-1004717</t>
  </si>
  <si>
    <t>010-3790-4506</t>
  </si>
  <si>
    <t>주차 1대 무료, 부가세 별도, 이사 시 원상복구, 바닥시공 임대인이 함 / 외부 공간 이용에 관한 특약 넣고 싶음 / 입주 당시 첫달 임대료 안냄</t>
  </si>
  <si>
    <t>솥뚜껑(오점례)</t>
  </si>
  <si>
    <t>600325-2543941</t>
  </si>
  <si>
    <t>010-4188-1156</t>
  </si>
  <si>
    <t>부가세 별도, 옵션물품 확인 필요 / 전체호실 청구서 보낼 시 수도요금은 따로 금액 입금 요청할 것</t>
  </si>
  <si>
    <t>육회바른연어(강지수)</t>
  </si>
  <si>
    <t>900628-2067016</t>
  </si>
  <si>
    <t>010-9623-0528</t>
  </si>
  <si>
    <t>부가세 별도</t>
  </si>
  <si>
    <t>하정(구본관)</t>
  </si>
  <si>
    <t>870223-1473520</t>
  </si>
  <si>
    <t>010-5100-3623</t>
  </si>
  <si>
    <t>세모(신승희) / 관악상사</t>
  </si>
  <si>
    <t>570315-2560026</t>
  </si>
  <si>
    <t>010-4219-5438</t>
  </si>
  <si>
    <t>부가세 별도 / 청구서 관리비만 요청 / 관악상사 /20~21 자동이체 되어있음</t>
  </si>
  <si>
    <t>보라매 수 치과(최경민)</t>
  </si>
  <si>
    <t>750413-1018128</t>
  </si>
  <si>
    <t>010-4232-3704</t>
  </si>
  <si>
    <t>임대료 부가세 확인해야함. (관리비만 부가세 별도로 적혀있음) / 02-849</t>
  </si>
  <si>
    <t>현이 피아노(박현우)</t>
  </si>
  <si>
    <t>930821-1082011</t>
  </si>
  <si>
    <t>010-5141-9102</t>
  </si>
  <si>
    <t>2/12까지 관리비 완납하기로 함.</t>
  </si>
  <si>
    <t>릿업핏(한지훈)</t>
  </si>
  <si>
    <t>920922-1057329</t>
  </si>
  <si>
    <t>010-9162-0797</t>
  </si>
  <si>
    <t>공실</t>
  </si>
  <si>
    <t>인생사진</t>
  </si>
  <si>
    <t>216-87-02230</t>
  </si>
  <si>
    <t>010-8342-5335</t>
  </si>
  <si>
    <t>계약서상 대표자 및 연락처 (나경달 010-9210-9838)</t>
  </si>
  <si>
    <t>메가커피</t>
  </si>
  <si>
    <t>850711-1082412</t>
  </si>
  <si>
    <t>010-4011-2881</t>
  </si>
  <si>
    <t>구포국수</t>
  </si>
  <si>
    <t>710503-1006517</t>
  </si>
  <si>
    <t>보증금 1억이였다가 5천만원 증액</t>
  </si>
  <si>
    <t>머니박스</t>
  </si>
  <si>
    <t>736-81-01053</t>
  </si>
  <si>
    <t>010-2664-8274</t>
  </si>
  <si>
    <t>010-3660-3027 청구서 번호</t>
  </si>
  <si>
    <t>세븐일레븐(정현희)</t>
  </si>
  <si>
    <t>850123-2009911</t>
  </si>
  <si>
    <t>010-4809-9201</t>
  </si>
  <si>
    <t xml:space="preserve"> </t>
  </si>
  <si>
    <t>계약자 010-3219-5423</t>
  </si>
  <si>
    <t>강남교자</t>
  </si>
  <si>
    <t>671002-2581113</t>
  </si>
  <si>
    <t>010-2442-2916</t>
  </si>
  <si>
    <t>명동쭈꾸미</t>
  </si>
  <si>
    <t>8886-85-00361</t>
  </si>
  <si>
    <t>010-3777-0858</t>
  </si>
  <si>
    <t>과거 상호간의 실수로 관리비가 19,305,000원 미납되어있고 퇴실 시 보증금에서 제하기로 함 / 엠케이에프엔비</t>
  </si>
  <si>
    <t>담소순대국</t>
  </si>
  <si>
    <t>760308-1018924</t>
  </si>
  <si>
    <t>010-4937-6543</t>
  </si>
  <si>
    <t>정영우</t>
  </si>
  <si>
    <t>새마을식당</t>
  </si>
  <si>
    <t>620621-1547619</t>
  </si>
  <si>
    <t>010-5295-9245</t>
  </si>
  <si>
    <t>현주네뚝배기(김인건)</t>
  </si>
  <si>
    <t>750425-1005221</t>
  </si>
  <si>
    <t>010-5201-5273</t>
  </si>
  <si>
    <t>010-5332-5273</t>
  </si>
  <si>
    <t>사이공본가</t>
  </si>
  <si>
    <t>586-76-00265</t>
  </si>
  <si>
    <t>010-2787-2180</t>
  </si>
  <si>
    <t>한양화로</t>
  </si>
  <si>
    <t>650522-2559817</t>
  </si>
  <si>
    <t>하이호스텔</t>
  </si>
  <si>
    <t>600307-2009824</t>
  </si>
  <si>
    <t>010-6364-7644</t>
  </si>
  <si>
    <t>김혜진</t>
  </si>
  <si>
    <t>791112-2006214</t>
  </si>
  <si>
    <t>010-7234-5506</t>
  </si>
  <si>
    <t>최민정</t>
  </si>
  <si>
    <t>830727-2046317</t>
  </si>
  <si>
    <t>010-9110-3233</t>
  </si>
  <si>
    <t>복종욱(연락하지말것)</t>
  </si>
  <si>
    <t>830501-1006310</t>
  </si>
  <si>
    <t>최정수</t>
  </si>
  <si>
    <t>710503-1467019</t>
  </si>
  <si>
    <t>010-5262-3049</t>
  </si>
  <si>
    <t>곱창집 2/2 입금예정</t>
  </si>
  <si>
    <t>김옥자</t>
  </si>
  <si>
    <t>610220-2328616</t>
  </si>
  <si>
    <t>010-7299-1565</t>
  </si>
  <si>
    <t>강경훈</t>
  </si>
  <si>
    <t>941215-1953213</t>
  </si>
  <si>
    <t>010-2043-5398</t>
  </si>
  <si>
    <t>동화부동산</t>
  </si>
  <si>
    <t>02-2254-3993</t>
  </si>
  <si>
    <t>주거용 호실</t>
  </si>
  <si>
    <t>사무실 쪽</t>
  </si>
  <si>
    <t>김유정(찬들컴퍼니)</t>
  </si>
  <si>
    <t>870330-2082413</t>
  </si>
  <si>
    <t>010-8816-9267</t>
  </si>
  <si>
    <t>선불(22일)</t>
  </si>
  <si>
    <t>별도 청구서</t>
  </si>
  <si>
    <t>박기원 사장님  010-8866-9267 / 퇴실할때 2월분 관리비 한번에</t>
  </si>
  <si>
    <t>전영준(투썸플레이스)</t>
  </si>
  <si>
    <t>840331-1470610</t>
  </si>
  <si>
    <t>010-5427-1617</t>
  </si>
  <si>
    <t>후불(말일)</t>
  </si>
  <si>
    <t>임대료는 계약일자로, 관리비는 15일 이후 미납 관리</t>
  </si>
  <si>
    <t>황성택(AK치과)</t>
  </si>
  <si>
    <t>750822-1540730</t>
  </si>
  <si>
    <t>010-8882-2276</t>
  </si>
  <si>
    <t>김운하(PC방)</t>
  </si>
  <si>
    <t>801009-1063313</t>
  </si>
  <si>
    <t>010-3021-4567</t>
  </si>
  <si>
    <t>이승현(디딤스터디)</t>
  </si>
  <si>
    <t>840822-1466611</t>
  </si>
  <si>
    <t>010-4593-7856</t>
  </si>
  <si>
    <t>별도 청구 없이 진행</t>
  </si>
  <si>
    <t>(주)뚝딱컴퍼니</t>
  </si>
  <si>
    <t>163-86-02832</t>
  </si>
  <si>
    <t>010-5323-7784</t>
  </si>
  <si>
    <t>선불(5일)</t>
  </si>
  <si>
    <t>박준엽(골프)</t>
  </si>
  <si>
    <t>970721-1056318</t>
  </si>
  <si>
    <t>010-9101-9417</t>
  </si>
  <si>
    <t>후불(9일)</t>
  </si>
  <si>
    <t>2025.04월, 10일 선불 → 9일 후불로 변경</t>
  </si>
  <si>
    <t>주식회사총판센터</t>
  </si>
  <si>
    <t>110111-6225167</t>
  </si>
  <si>
    <t>010-7415-5595</t>
  </si>
  <si>
    <t>010-7133-3363 회계담당자 (수금 관련 이 번호로 연락 할 것)</t>
  </si>
  <si>
    <t>8층이랑 계약 동일</t>
  </si>
  <si>
    <t>관리비만 별도 청구</t>
  </si>
  <si>
    <t>SKT</t>
  </si>
  <si>
    <t>104-81-37225</t>
  </si>
  <si>
    <t>070-7844-6183</t>
  </si>
  <si>
    <t>연275</t>
  </si>
  <si>
    <t>KT</t>
  </si>
  <si>
    <t>102-81-42945</t>
  </si>
  <si>
    <t>연220</t>
  </si>
  <si>
    <t>홍무석(물음표노래방)</t>
  </si>
  <si>
    <t>800210-1067415</t>
  </si>
  <si>
    <t>010-9139-4485</t>
  </si>
  <si>
    <t>선불 부가세 별도</t>
  </si>
  <si>
    <t>홍무석</t>
  </si>
  <si>
    <t>김종대(김선생조개집)</t>
  </si>
  <si>
    <t>741027-1655111</t>
  </si>
  <si>
    <t>010-8991-5110</t>
  </si>
  <si>
    <t>후불 부가세 별도 / 4월달에 연락주고 재계약 일정 잡을 것 (임대료 5% 및 관리비 40만원)</t>
  </si>
  <si>
    <t>강준영(제이와이스튜디오)</t>
  </si>
  <si>
    <t>950120-1933614</t>
  </si>
  <si>
    <t>010-4010-1336</t>
  </si>
  <si>
    <t>선불 부가세 별도/ 26.02월 관리비 20인상</t>
  </si>
  <si>
    <t>□ 공실현황</t>
    <phoneticPr fontId="2" type="noConversion"/>
  </si>
  <si>
    <t>호실비밀번호</t>
  </si>
  <si>
    <t>단기</t>
    <phoneticPr fontId="2" type="noConversion"/>
  </si>
  <si>
    <t>근생</t>
    <phoneticPr fontId="2" type="noConversion"/>
  </si>
  <si>
    <t>일반</t>
    <phoneticPr fontId="2" type="noConversion"/>
  </si>
  <si>
    <t>미노출</t>
    <phoneticPr fontId="2" type="noConversion"/>
  </si>
  <si>
    <t>공실</t>
    <phoneticPr fontId="2" type="noConversion"/>
  </si>
  <si>
    <t>다존하우스</t>
  </si>
  <si>
    <t>■ 기초 값</t>
    <phoneticPr fontId="2" type="noConversion"/>
  </si>
  <si>
    <t>옥당빌라</t>
  </si>
  <si>
    <t>호수</t>
    <phoneticPr fontId="2" type="noConversion"/>
  </si>
  <si>
    <t>현관비번</t>
    <phoneticPr fontId="2" type="noConversion"/>
  </si>
  <si>
    <t>월세</t>
    <phoneticPr fontId="2" type="noConversion"/>
  </si>
  <si>
    <t>NEGO</t>
    <phoneticPr fontId="2" type="noConversion"/>
  </si>
  <si>
    <t>퇴실비</t>
    <phoneticPr fontId="2" type="noConversion"/>
  </si>
  <si>
    <t>현관 비밀번호</t>
    <phoneticPr fontId="2" type="noConversion"/>
  </si>
  <si>
    <t>퇴실청소비</t>
    <phoneticPr fontId="2" type="noConversion"/>
  </si>
  <si>
    <t>룸 형태</t>
  </si>
  <si>
    <t>추가</t>
    <phoneticPr fontId="2" type="noConversion"/>
  </si>
  <si>
    <t>기간</t>
    <phoneticPr fontId="2" type="noConversion"/>
  </si>
  <si>
    <t>제이앤제이</t>
  </si>
  <si>
    <t>OPEN</t>
  </si>
  <si>
    <t/>
  </si>
  <si>
    <t>제이앤제이B01</t>
  </si>
  <si>
    <t>원룸</t>
  </si>
  <si>
    <t>스타빌</t>
  </si>
  <si>
    <t>키4150종</t>
  </si>
  <si>
    <t>제이앤제이101</t>
  </si>
  <si>
    <t>사무실</t>
  </si>
  <si>
    <t>아페이론</t>
  </si>
  <si>
    <t>경비키4150종</t>
  </si>
  <si>
    <t>제이앤제이201</t>
  </si>
  <si>
    <t>세미분리</t>
  </si>
  <si>
    <t>731024#</t>
  </si>
  <si>
    <t>제이앤제이301</t>
  </si>
  <si>
    <t>미래홈</t>
  </si>
  <si>
    <t>#4150#</t>
  </si>
  <si>
    <t>제이앤제이401</t>
  </si>
  <si>
    <t>복층투룸</t>
  </si>
  <si>
    <t>포유빌</t>
  </si>
  <si>
    <t>스타빌101</t>
  </si>
  <si>
    <t>W하우스</t>
  </si>
  <si>
    <t>스타빌102</t>
  </si>
  <si>
    <t>풍림빌딩</t>
  </si>
  <si>
    <t>스타빌103</t>
  </si>
  <si>
    <t>모던하우스</t>
  </si>
  <si>
    <t>#3754#</t>
  </si>
  <si>
    <t>스타빌105</t>
  </si>
  <si>
    <t>모던라이프</t>
  </si>
  <si>
    <t>종6819</t>
  </si>
  <si>
    <t>스타빌201</t>
  </si>
  <si>
    <t>리트코하우스</t>
  </si>
  <si>
    <t>종3435</t>
  </si>
  <si>
    <t>스타빌202</t>
  </si>
  <si>
    <t>와이원빈티지</t>
  </si>
  <si>
    <t>스타빌203</t>
  </si>
  <si>
    <t>굿모닝빌</t>
  </si>
  <si>
    <t>스타빌205</t>
  </si>
  <si>
    <t>모닝빌</t>
  </si>
  <si>
    <t>작은 문 OPEN</t>
  </si>
  <si>
    <t>스타빌301</t>
  </si>
  <si>
    <t>에덴빌</t>
  </si>
  <si>
    <t>#1202#</t>
  </si>
  <si>
    <t>스타빌302</t>
  </si>
  <si>
    <t>한스텔</t>
  </si>
  <si>
    <t>스타빌303</t>
  </si>
  <si>
    <t>지앤지2</t>
  </si>
  <si>
    <t>종-4150-종</t>
  </si>
  <si>
    <t>스타빌305</t>
  </si>
  <si>
    <t>토브미하우스</t>
  </si>
  <si>
    <t>스타빌401</t>
  </si>
  <si>
    <t>서우하우스</t>
  </si>
  <si>
    <t>스타빌402</t>
  </si>
  <si>
    <t>제이에스하우스</t>
  </si>
  <si>
    <t>스타빌403</t>
  </si>
  <si>
    <t>우진빌딩</t>
  </si>
  <si>
    <t>스타빌405</t>
  </si>
  <si>
    <t>우영빌딩</t>
  </si>
  <si>
    <t>아페이론101</t>
  </si>
  <si>
    <t>메종빌</t>
  </si>
  <si>
    <t>종1024</t>
  </si>
  <si>
    <t>아페이론102</t>
  </si>
  <si>
    <t>신림프리미어</t>
  </si>
  <si>
    <t>아페이론103</t>
  </si>
  <si>
    <t>어반그레이</t>
  </si>
  <si>
    <t>아페이론104</t>
  </si>
  <si>
    <t>문화빌딩</t>
  </si>
  <si>
    <t>아페이론105</t>
  </si>
  <si>
    <t>집현전빌딩</t>
  </si>
  <si>
    <t>아페이론201</t>
  </si>
  <si>
    <t>이례빌딩</t>
  </si>
  <si>
    <t>아페이론202</t>
  </si>
  <si>
    <t>KMC코리아</t>
  </si>
  <si>
    <t>아페이론203</t>
  </si>
  <si>
    <t>제이드하우스</t>
  </si>
  <si>
    <t>종 5323</t>
  </si>
  <si>
    <t>아페이론204</t>
  </si>
  <si>
    <t>유석빌딩</t>
  </si>
  <si>
    <t>1565*</t>
  </si>
  <si>
    <t>아페이론205</t>
  </si>
  <si>
    <t>다존하우스201</t>
  </si>
  <si>
    <t>다존하우스202</t>
  </si>
  <si>
    <t>다존하우스203</t>
  </si>
  <si>
    <t>다존하우스205</t>
  </si>
  <si>
    <t>다존하우스206</t>
  </si>
  <si>
    <t>다존하우스207</t>
  </si>
  <si>
    <t>다존하우스208</t>
  </si>
  <si>
    <t>다존하우스209</t>
  </si>
  <si>
    <t>다존하우스210</t>
  </si>
  <si>
    <t>원룸(큰방)</t>
  </si>
  <si>
    <t>다존하우스301</t>
  </si>
  <si>
    <t>다존하우스302</t>
  </si>
  <si>
    <t>다존하우스303</t>
  </si>
  <si>
    <t>다존하우스305</t>
  </si>
  <si>
    <t>다존하우스306</t>
  </si>
  <si>
    <t>다존하우스307</t>
  </si>
  <si>
    <t>다존하우스308</t>
  </si>
  <si>
    <t>다존하우스309</t>
  </si>
  <si>
    <t>다존하우스310</t>
  </si>
  <si>
    <t>다존하우스501</t>
  </si>
  <si>
    <t>다존하우스502</t>
  </si>
  <si>
    <t>다존하우스503</t>
  </si>
  <si>
    <t>다존하우스505</t>
  </si>
  <si>
    <t>다존하우스506</t>
  </si>
  <si>
    <t>다존하우스507</t>
  </si>
  <si>
    <t>다존하우스508</t>
  </si>
  <si>
    <t>다존하우스509</t>
  </si>
  <si>
    <t>원룸(싱크대)</t>
  </si>
  <si>
    <t>다존하우스510</t>
  </si>
  <si>
    <t>다존하우스601</t>
  </si>
  <si>
    <t>다존하우스602</t>
  </si>
  <si>
    <t>다존하우스603</t>
  </si>
  <si>
    <t>다존하우스605</t>
  </si>
  <si>
    <t>다존하우스606</t>
  </si>
  <si>
    <t>다존하우스607</t>
  </si>
  <si>
    <t>W하우스1층</t>
  </si>
  <si>
    <t>W하우스201</t>
  </si>
  <si>
    <t>W하우스202</t>
  </si>
  <si>
    <t>W하우스301</t>
  </si>
  <si>
    <t>W하우스302</t>
  </si>
  <si>
    <t>W하우스303</t>
  </si>
  <si>
    <t>W하우스304</t>
  </si>
  <si>
    <t>W하우스305</t>
  </si>
  <si>
    <t>W하우스401</t>
  </si>
  <si>
    <t>투룸</t>
  </si>
  <si>
    <t>W하우스402</t>
  </si>
  <si>
    <t>W하우스403</t>
  </si>
  <si>
    <t>W하우스501</t>
  </si>
  <si>
    <t>W하우스502</t>
  </si>
  <si>
    <t>W하우스503</t>
  </si>
  <si>
    <t>W하우스601</t>
  </si>
  <si>
    <t>W하우스602</t>
  </si>
  <si>
    <t>분리형</t>
  </si>
  <si>
    <t>W하우스603</t>
  </si>
  <si>
    <t>W하우스7층</t>
  </si>
  <si>
    <t>포유빌창고</t>
  </si>
  <si>
    <t>창고</t>
  </si>
  <si>
    <t>포유빌101</t>
  </si>
  <si>
    <t>포유빌201</t>
  </si>
  <si>
    <t>포유빌202</t>
  </si>
  <si>
    <t>포유빌301</t>
  </si>
  <si>
    <t>포유빌302</t>
  </si>
  <si>
    <t>포유빌401</t>
  </si>
  <si>
    <t>포유빌402</t>
  </si>
  <si>
    <t>포유빌403</t>
  </si>
  <si>
    <t>복층원룸</t>
  </si>
  <si>
    <t>포유빌501</t>
  </si>
  <si>
    <t>분리테라스</t>
  </si>
  <si>
    <t>미래홈101</t>
  </si>
  <si>
    <t>미래홈102</t>
  </si>
  <si>
    <t>미래홈103</t>
  </si>
  <si>
    <t>미래홈104</t>
  </si>
  <si>
    <t>미래홈105</t>
  </si>
  <si>
    <t>미래홈106</t>
  </si>
  <si>
    <t>미래홈107</t>
  </si>
  <si>
    <t>미래홈201</t>
  </si>
  <si>
    <t>미래홈202</t>
  </si>
  <si>
    <t>미래홈203</t>
  </si>
  <si>
    <t>미래홈204</t>
  </si>
  <si>
    <t>미래홈205</t>
  </si>
  <si>
    <t>미래홈301</t>
  </si>
  <si>
    <t>미래홈302</t>
  </si>
  <si>
    <t>미래홈303</t>
  </si>
  <si>
    <t>미래홈304</t>
  </si>
  <si>
    <t>미래홈305</t>
  </si>
  <si>
    <t>미래홈401</t>
  </si>
  <si>
    <t>미래홈402</t>
  </si>
  <si>
    <t>미래홈403</t>
  </si>
  <si>
    <t>미래홈404</t>
  </si>
  <si>
    <t>미래홈405</t>
  </si>
  <si>
    <t>미래홈501</t>
  </si>
  <si>
    <t>굿모닝빌201</t>
  </si>
  <si>
    <t>굿모닝빌202</t>
  </si>
  <si>
    <t>굿모닝빌203</t>
  </si>
  <si>
    <t>굿모닝빌204</t>
  </si>
  <si>
    <t>굿모닝빌301</t>
  </si>
  <si>
    <t>굿모닝빌302</t>
  </si>
  <si>
    <t>굿모닝빌303</t>
  </si>
  <si>
    <t>굿모닝빌304</t>
  </si>
  <si>
    <t>굿모닝빌401</t>
  </si>
  <si>
    <t>굿모닝빌402</t>
  </si>
  <si>
    <t>굿모닝빌501</t>
  </si>
  <si>
    <t>굿모닝빌502</t>
  </si>
  <si>
    <t>모닝빌201</t>
  </si>
  <si>
    <t>모닝빌202</t>
  </si>
  <si>
    <t>모닝빌203</t>
  </si>
  <si>
    <t>모닝빌204</t>
  </si>
  <si>
    <t>모닝빌205</t>
  </si>
  <si>
    <t>모닝빌301</t>
  </si>
  <si>
    <t>모닝빌302</t>
  </si>
  <si>
    <t>모닝빌303</t>
  </si>
  <si>
    <t>모닝빌304</t>
  </si>
  <si>
    <t>모닝빌305</t>
  </si>
  <si>
    <t>모닝빌401</t>
  </si>
  <si>
    <t>모닝빌402</t>
  </si>
  <si>
    <t>모닝빌403</t>
  </si>
  <si>
    <t>모닝빌404</t>
  </si>
  <si>
    <t>모닝빌405</t>
  </si>
  <si>
    <t>모닝빌501</t>
  </si>
  <si>
    <t>에덴빌102</t>
  </si>
  <si>
    <t>에덴빌201</t>
  </si>
  <si>
    <t>에덴빌202</t>
  </si>
  <si>
    <t>에덴빌203</t>
  </si>
  <si>
    <t>에덴빌204</t>
  </si>
  <si>
    <t>에덴빌301</t>
  </si>
  <si>
    <t>에덴빌302</t>
  </si>
  <si>
    <t>에덴빌303</t>
  </si>
  <si>
    <t>에덴빌304</t>
  </si>
  <si>
    <t>와이원빈티지201</t>
  </si>
  <si>
    <t>와이원빈티지202</t>
  </si>
  <si>
    <t>와이원빈티지203</t>
  </si>
  <si>
    <t>와이원빈티지204</t>
  </si>
  <si>
    <t>와이원빈티지301</t>
  </si>
  <si>
    <t>와이원빈티지302</t>
  </si>
  <si>
    <t>와이원빈티지303</t>
  </si>
  <si>
    <t>와이원빈티지304</t>
  </si>
  <si>
    <t>와이원빈티지401</t>
  </si>
  <si>
    <t>와이원빈티지402</t>
  </si>
  <si>
    <t>와이원빈티지403</t>
  </si>
  <si>
    <t>와이원빈티지404</t>
  </si>
  <si>
    <t>와이원빈티지501</t>
  </si>
  <si>
    <t>와이원빈티지502</t>
  </si>
  <si>
    <t>한스텔B01</t>
  </si>
  <si>
    <t>한스텔B02</t>
  </si>
  <si>
    <t>한스텔B03</t>
  </si>
  <si>
    <t>한스텔B04</t>
  </si>
  <si>
    <t>한스텔101</t>
  </si>
  <si>
    <t>한스텔102</t>
  </si>
  <si>
    <t>한스텔103</t>
  </si>
  <si>
    <t>한스텔104</t>
  </si>
  <si>
    <t>한스텔201</t>
  </si>
  <si>
    <t>한스텔202</t>
  </si>
  <si>
    <t>한스텔203</t>
  </si>
  <si>
    <t>한스텔204</t>
  </si>
  <si>
    <t>한스텔301</t>
  </si>
  <si>
    <t>한스텔302</t>
  </si>
  <si>
    <t>한스텔303</t>
  </si>
  <si>
    <t>한스텔304</t>
  </si>
  <si>
    <t>지앤지2201</t>
  </si>
  <si>
    <t>지앤지2202</t>
  </si>
  <si>
    <t>지앤지2203</t>
  </si>
  <si>
    <t>지앤지2204</t>
  </si>
  <si>
    <t>지앤지2301</t>
  </si>
  <si>
    <t>지앤지2302</t>
  </si>
  <si>
    <t>지앤지2303</t>
  </si>
  <si>
    <t>지앤지2304</t>
  </si>
  <si>
    <t>지앤지2401</t>
  </si>
  <si>
    <t>복층쓰리룸</t>
  </si>
  <si>
    <t>풍림빌딩B01</t>
  </si>
  <si>
    <t>풍림빌딩101</t>
  </si>
  <si>
    <t>풍림빌딩102</t>
  </si>
  <si>
    <t>풍림빌딩2층</t>
  </si>
  <si>
    <t>풍림빌딩301</t>
  </si>
  <si>
    <t>풍림빌딩302</t>
  </si>
  <si>
    <t>풍림빌딩4층</t>
  </si>
  <si>
    <t>토브미하우스201</t>
  </si>
  <si>
    <t>토브미하우스202</t>
  </si>
  <si>
    <t>토브미하우스203</t>
  </si>
  <si>
    <t>토브미하우스301</t>
  </si>
  <si>
    <t>토브미하우스302</t>
  </si>
  <si>
    <t>토브미하우스303</t>
  </si>
  <si>
    <t>토브미하우스401</t>
  </si>
  <si>
    <t>토브미하우스601</t>
  </si>
  <si>
    <t>리트코하우스501</t>
  </si>
  <si>
    <t>리트코하우스502</t>
  </si>
  <si>
    <t>리트코하우스503</t>
  </si>
  <si>
    <t>리트코하우스504</t>
  </si>
  <si>
    <t>리트코하우스505</t>
  </si>
  <si>
    <t>리트코하우스506</t>
  </si>
  <si>
    <t>리트코하우스601</t>
  </si>
  <si>
    <t>리트코하우스602</t>
  </si>
  <si>
    <t>리트코하우스603</t>
  </si>
  <si>
    <t>리트코하우스604</t>
  </si>
  <si>
    <t>리트코하우스605</t>
  </si>
  <si>
    <t>리트코하우스606</t>
  </si>
  <si>
    <t>리트코하우스701</t>
  </si>
  <si>
    <t>리트코하우스702</t>
  </si>
  <si>
    <t>리트코하우스703</t>
  </si>
  <si>
    <t>리트코하우스704</t>
  </si>
  <si>
    <t>리트코하우스705</t>
  </si>
  <si>
    <t>리트코하우스706</t>
  </si>
  <si>
    <t>모던하우스201</t>
  </si>
  <si>
    <t>모던하우스202</t>
  </si>
  <si>
    <t>모던하우스203</t>
  </si>
  <si>
    <t>모던하우스204</t>
  </si>
  <si>
    <t>모던하우스205</t>
  </si>
  <si>
    <t>모던하우스301</t>
  </si>
  <si>
    <t>모던하우스302</t>
  </si>
  <si>
    <t>모던하우스303</t>
  </si>
  <si>
    <t>모던하우스304</t>
  </si>
  <si>
    <t>모던하우스305</t>
  </si>
  <si>
    <t>모던하우스401</t>
  </si>
  <si>
    <t>모던하우스402</t>
  </si>
  <si>
    <t>모던하우스403</t>
  </si>
  <si>
    <t>모던하우스404</t>
  </si>
  <si>
    <t>모던하우스405</t>
  </si>
  <si>
    <t>모던하우스501</t>
  </si>
  <si>
    <t>모던하우스502</t>
  </si>
  <si>
    <t>모던하우스503</t>
  </si>
  <si>
    <t>모던하우스504</t>
  </si>
  <si>
    <t>모던라이프201</t>
  </si>
  <si>
    <t>모던라이프202</t>
  </si>
  <si>
    <t>모던라이프203</t>
  </si>
  <si>
    <t>모던라이프204</t>
  </si>
  <si>
    <t>모던라이프301</t>
  </si>
  <si>
    <t>모던라이프302</t>
  </si>
  <si>
    <t>모던라이프303</t>
  </si>
  <si>
    <t>모던라이프304</t>
  </si>
  <si>
    <t>모던라이프401</t>
  </si>
  <si>
    <t>모던라이프402</t>
  </si>
  <si>
    <t>모던라이프403</t>
  </si>
  <si>
    <t>모던라이프404</t>
  </si>
  <si>
    <t>모던라이프501</t>
  </si>
  <si>
    <t>모던라이프502</t>
  </si>
  <si>
    <t>모던라이프503</t>
  </si>
  <si>
    <t>모던라이프601</t>
  </si>
  <si>
    <t>서우하우스301</t>
  </si>
  <si>
    <t>서우하우스302</t>
  </si>
  <si>
    <t>서우하우스401</t>
  </si>
  <si>
    <t>서우하우스402</t>
  </si>
  <si>
    <t>제이에스하우스1층</t>
  </si>
  <si>
    <t>상가</t>
  </si>
  <si>
    <t>제이에스하우스2층</t>
  </si>
  <si>
    <t>제이에스하우스3층</t>
  </si>
  <si>
    <t>제이에스하우스501</t>
  </si>
  <si>
    <t>제이에스하우스502</t>
  </si>
  <si>
    <t>제이에스하우스503</t>
  </si>
  <si>
    <t>제이에스하우스505</t>
  </si>
  <si>
    <t>제이에스하우스601</t>
  </si>
  <si>
    <t>제이에스하우스602</t>
  </si>
  <si>
    <t>법정</t>
  </si>
  <si>
    <t>우진빌딩B01</t>
  </si>
  <si>
    <t>우진빌딩1층</t>
  </si>
  <si>
    <t>우진빌딩2층</t>
  </si>
  <si>
    <t>우진빌딩3층</t>
  </si>
  <si>
    <t>우진빌딩4층</t>
  </si>
  <si>
    <t>우진빌딩5층</t>
  </si>
  <si>
    <t>우영빌딩B01</t>
  </si>
  <si>
    <t>우영빌딩B2층</t>
  </si>
  <si>
    <t>우영빌딩1층</t>
  </si>
  <si>
    <t>우영빌딩2층</t>
  </si>
  <si>
    <t>우영빌딩3층</t>
  </si>
  <si>
    <t>우영빌딩4층</t>
  </si>
  <si>
    <t>우영빌딩5층</t>
  </si>
  <si>
    <t>대치칼텍빌딩B01</t>
  </si>
  <si>
    <t>확인할것</t>
  </si>
  <si>
    <t>대치칼텍빌딩1층</t>
  </si>
  <si>
    <t>대치칼텍빌딩2층</t>
  </si>
  <si>
    <t>대치칼텍빌딩3층</t>
  </si>
  <si>
    <t>대치칼텍빌딩4-5층</t>
  </si>
  <si>
    <t>서연빌101</t>
  </si>
  <si>
    <t>서연빌102</t>
  </si>
  <si>
    <t>서연빌103</t>
  </si>
  <si>
    <t>서연빌301</t>
  </si>
  <si>
    <t>서연빌302</t>
  </si>
  <si>
    <t>서연빌401</t>
  </si>
  <si>
    <t>서연빌402</t>
  </si>
  <si>
    <t>서연빌501</t>
  </si>
  <si>
    <t>서연빌502</t>
  </si>
  <si>
    <t>더힐하우스101동201</t>
  </si>
  <si>
    <t>더힐하우스101동202</t>
  </si>
  <si>
    <t>더힐하우스101동203</t>
  </si>
  <si>
    <t>더힐하우스101동301</t>
  </si>
  <si>
    <t>더힐하우스101동302</t>
  </si>
  <si>
    <t>더힐하우스101동303</t>
  </si>
  <si>
    <t>더힐하우스101동401</t>
  </si>
  <si>
    <t>더힐하우스101동402</t>
  </si>
  <si>
    <t>더힐하우스101동403</t>
  </si>
  <si>
    <t>더힐하우스101동501</t>
  </si>
  <si>
    <t>더힐하우스101동502</t>
  </si>
  <si>
    <t>더힐하우스101동503</t>
  </si>
  <si>
    <t>더힐하우스102동201</t>
  </si>
  <si>
    <t>더힐하우스102동202</t>
  </si>
  <si>
    <t>더힐하우스102동203</t>
  </si>
  <si>
    <t>더힐하우스102동301</t>
  </si>
  <si>
    <t>더힐하우스102동302</t>
  </si>
  <si>
    <t>더힐하우스102동303</t>
  </si>
  <si>
    <t>더힐하우스102동401</t>
  </si>
  <si>
    <t>더힐하우스102동402</t>
  </si>
  <si>
    <t>더힐하우스102동403</t>
  </si>
  <si>
    <t>더힐하우스102동501</t>
  </si>
  <si>
    <t>더힐하우스102동502</t>
  </si>
  <si>
    <t>더힐하우스102동503</t>
  </si>
  <si>
    <t>더힐하우스103동201</t>
  </si>
  <si>
    <t>더힐하우스103동202</t>
  </si>
  <si>
    <t>더힐하우스103동301</t>
  </si>
  <si>
    <t>더힐하우스103동302</t>
  </si>
  <si>
    <t>더힐하우스103동401</t>
  </si>
  <si>
    <t>더힐하우스103동402</t>
  </si>
  <si>
    <t>더힐하우스103동501</t>
  </si>
  <si>
    <t>더힐하우스103동502</t>
  </si>
  <si>
    <t>더힐하우스104동201</t>
  </si>
  <si>
    <t>더힐하우스104동202</t>
  </si>
  <si>
    <t>더힐하우스104동203</t>
  </si>
  <si>
    <t>더힐하우스104동301</t>
  </si>
  <si>
    <t>더힐하우스104동302</t>
  </si>
  <si>
    <t>더힐하우스104동303</t>
  </si>
  <si>
    <t>더힐하우스104동401</t>
  </si>
  <si>
    <t>더힐하우스104동402</t>
  </si>
  <si>
    <t>더힐하우스104동403</t>
  </si>
  <si>
    <t>더힐하우스104동501</t>
  </si>
  <si>
    <t>더힐하우스104동502</t>
  </si>
  <si>
    <t>더힐하우스104동503</t>
  </si>
  <si>
    <t>신림프리미어101</t>
  </si>
  <si>
    <t>신림프리미어102</t>
  </si>
  <si>
    <t>신림프리미어201</t>
  </si>
  <si>
    <t>신림프리미어202</t>
  </si>
  <si>
    <t>신림프리미어203</t>
  </si>
  <si>
    <t>신림프리미어204</t>
  </si>
  <si>
    <t>신림프리미어205</t>
  </si>
  <si>
    <t>신림프리미어301</t>
  </si>
  <si>
    <t>신림프리미어302</t>
  </si>
  <si>
    <t>신림프리미어303</t>
  </si>
  <si>
    <t>신림프리미어304</t>
  </si>
  <si>
    <t>신림프리미어305</t>
  </si>
  <si>
    <t>신림프리미어401</t>
  </si>
  <si>
    <t>신림프리미어402</t>
  </si>
  <si>
    <t>신림프리미어403</t>
  </si>
  <si>
    <t>신림프리미어404</t>
  </si>
  <si>
    <t>신림프리미어405</t>
  </si>
  <si>
    <t>신림프리미어501</t>
  </si>
  <si>
    <t>신림프리미어502</t>
  </si>
  <si>
    <t>신림프리미어503</t>
  </si>
  <si>
    <t>신림프리미어504</t>
  </si>
  <si>
    <t>신림프리미어505</t>
  </si>
  <si>
    <t>신림프리미어601</t>
  </si>
  <si>
    <t>신림프리미어602</t>
  </si>
  <si>
    <t>신림프리미어603</t>
  </si>
  <si>
    <t>신림프리미어604</t>
  </si>
  <si>
    <t>신림프리미어605</t>
  </si>
  <si>
    <t>신림프리미어701</t>
  </si>
  <si>
    <t>신림프리미어702</t>
  </si>
  <si>
    <t>신림프리미어703</t>
  </si>
  <si>
    <t>신림프리미어704</t>
  </si>
  <si>
    <t>신림프리미어705</t>
  </si>
  <si>
    <t>신림프리미어801</t>
  </si>
  <si>
    <t>신림프리미어802</t>
  </si>
  <si>
    <t>신림프리미어803</t>
  </si>
  <si>
    <t>신림프리미어804</t>
  </si>
  <si>
    <t>신림프리미어901</t>
  </si>
  <si>
    <t>신림프리미어902</t>
  </si>
  <si>
    <t>신림프리미어903</t>
  </si>
  <si>
    <t>신림프리미어904</t>
  </si>
  <si>
    <t>신림프리미어1001</t>
  </si>
  <si>
    <t>신림프리미어1002</t>
  </si>
  <si>
    <t>신림프리미어1003</t>
  </si>
  <si>
    <t>신림프리미어1004</t>
  </si>
  <si>
    <t>신림프리미어주차만</t>
  </si>
  <si>
    <t>메종빌101</t>
  </si>
  <si>
    <t>메종빌201</t>
  </si>
  <si>
    <t>메종빌202</t>
  </si>
  <si>
    <t>메종빌203</t>
  </si>
  <si>
    <t>메종빌301</t>
  </si>
  <si>
    <t>메종빌302</t>
  </si>
  <si>
    <t>메종빌303</t>
  </si>
  <si>
    <t>메종빌401</t>
  </si>
  <si>
    <t>메종빌402</t>
  </si>
  <si>
    <t>메종빌403</t>
  </si>
  <si>
    <t>메종빌501</t>
  </si>
  <si>
    <t>메종빌502</t>
  </si>
  <si>
    <t>메종빌503</t>
  </si>
  <si>
    <t>메종빌601</t>
  </si>
  <si>
    <t>메종빌602</t>
  </si>
  <si>
    <t>메종빌603</t>
  </si>
  <si>
    <t>문화빌딩B01</t>
  </si>
  <si>
    <t>문화빌딩1층</t>
  </si>
  <si>
    <t>문화빌딩2층</t>
  </si>
  <si>
    <t>문화빌딩3층</t>
  </si>
  <si>
    <t>문화빌딩4층</t>
  </si>
  <si>
    <t>문화빌딩5층</t>
  </si>
  <si>
    <t>어반그레이B01</t>
  </si>
  <si>
    <t>어반그레이1층</t>
  </si>
  <si>
    <t>어반그레이2층</t>
  </si>
  <si>
    <t>어반그레이3층</t>
  </si>
  <si>
    <t>어반그레이4층</t>
  </si>
  <si>
    <t>집현전빌딩101</t>
  </si>
  <si>
    <t>집현전빌딩102</t>
  </si>
  <si>
    <t>집현전빌딩103</t>
  </si>
  <si>
    <t>집현전빌딩2층</t>
  </si>
  <si>
    <t>집현전빌딩301</t>
  </si>
  <si>
    <t>집현전빌딩302</t>
  </si>
  <si>
    <t>집현전빌딩4층</t>
  </si>
  <si>
    <t>집현전빌딩5층</t>
  </si>
  <si>
    <t>집현전빌딩6층</t>
  </si>
  <si>
    <t>이례빌딩B01</t>
  </si>
  <si>
    <t>이례빌딩1,2층</t>
  </si>
  <si>
    <t>이례빌딩3,4층</t>
  </si>
  <si>
    <t>이례빌딩5층</t>
  </si>
  <si>
    <t>이례빌딩601</t>
  </si>
  <si>
    <t>이례빌딩602</t>
  </si>
  <si>
    <t>이례빌딩7층</t>
  </si>
  <si>
    <t>이례빌딩8층</t>
  </si>
  <si>
    <t>이례빌딩옥상1</t>
  </si>
  <si>
    <t>이례빌딩옥상2</t>
  </si>
  <si>
    <t>이례빌딩옥상3</t>
  </si>
  <si>
    <t>KMC코리아B01</t>
  </si>
  <si>
    <t>KMC코리아1층</t>
  </si>
  <si>
    <t>KMC코리아2층</t>
  </si>
  <si>
    <t>KMC코리아3층</t>
  </si>
  <si>
    <t>KMC코리아4층</t>
  </si>
  <si>
    <t>KMC코리아5층</t>
  </si>
  <si>
    <t>제이드하우스101</t>
  </si>
  <si>
    <t>제이드하우스102</t>
  </si>
  <si>
    <t>제이드하우스103</t>
  </si>
  <si>
    <t>제이드하우스201</t>
  </si>
  <si>
    <t>제이드하우스202</t>
  </si>
  <si>
    <t>제이드하우스203</t>
  </si>
  <si>
    <t>제이드하우스301</t>
  </si>
  <si>
    <t>제이드하우스302</t>
  </si>
  <si>
    <t>제이드하우스303</t>
  </si>
  <si>
    <t>제이드하우스401</t>
  </si>
  <si>
    <t>양지빌딩B01</t>
  </si>
  <si>
    <t>양지빌딩101</t>
  </si>
  <si>
    <t>양지빌딩102</t>
  </si>
  <si>
    <t>양지빌딩103</t>
  </si>
  <si>
    <t>양지빌딩201</t>
  </si>
  <si>
    <t>양지빌딩202</t>
  </si>
  <si>
    <t>양지빌딩301</t>
  </si>
  <si>
    <t>양지빌딩401</t>
  </si>
  <si>
    <t>상건빌딩B01</t>
  </si>
  <si>
    <t>상건빌딩101</t>
  </si>
  <si>
    <t>상건빌딩102</t>
  </si>
  <si>
    <t>상건빌딩103</t>
  </si>
  <si>
    <t>상건빌딩104</t>
  </si>
  <si>
    <t>상건빌딩105</t>
  </si>
  <si>
    <t>상건빌딩201</t>
  </si>
  <si>
    <t>상건빌딩202</t>
  </si>
  <si>
    <t>상건빌딩301</t>
  </si>
  <si>
    <t>상건빌딩302</t>
  </si>
  <si>
    <t>미진빌딩B01</t>
  </si>
  <si>
    <t>미진빌딩101</t>
  </si>
  <si>
    <t>미진빌딩102</t>
  </si>
  <si>
    <t>미진빌딩103</t>
  </si>
  <si>
    <t>미진빌딩201</t>
  </si>
  <si>
    <t>미진빌딩202</t>
  </si>
  <si>
    <t>미진빌딩3층</t>
  </si>
  <si>
    <t>미진빌딩4층</t>
  </si>
  <si>
    <t>미진빌딩5층</t>
  </si>
  <si>
    <t>유석빌딩B01</t>
  </si>
  <si>
    <t>유석빌딩101</t>
  </si>
  <si>
    <t>유석빌딩102</t>
  </si>
  <si>
    <t>유석빌딩2층</t>
  </si>
  <si>
    <t>유석빌딩3층</t>
  </si>
  <si>
    <t>유석빌딩401</t>
  </si>
  <si>
    <t>유석빌딩402</t>
  </si>
  <si>
    <t>번호</t>
    <phoneticPr fontId="2" type="noConversion"/>
  </si>
  <si>
    <t>건물명</t>
  </si>
  <si>
    <t>코드명</t>
  </si>
  <si>
    <t>퇴실일</t>
    <phoneticPr fontId="2" type="noConversion"/>
  </si>
  <si>
    <t>전기지침</t>
    <phoneticPr fontId="2" type="noConversion"/>
  </si>
  <si>
    <t>가스지침</t>
    <phoneticPr fontId="2" type="noConversion"/>
  </si>
  <si>
    <t>이름</t>
    <phoneticPr fontId="2" type="noConversion"/>
  </si>
  <si>
    <t>예치금</t>
  </si>
  <si>
    <t>임대료</t>
  </si>
  <si>
    <t>중개수수료</t>
  </si>
  <si>
    <t>주차</t>
  </si>
  <si>
    <t>3</t>
  </si>
  <si>
    <t>201</t>
  </si>
  <si>
    <t>최유진</t>
  </si>
  <si>
    <t>203</t>
  </si>
  <si>
    <t>조윤지</t>
  </si>
  <si>
    <t>102</t>
  </si>
  <si>
    <t>선경환</t>
  </si>
  <si>
    <t>603</t>
  </si>
  <si>
    <t>탁지연</t>
  </si>
  <si>
    <t>303</t>
  </si>
  <si>
    <t>최미주</t>
  </si>
  <si>
    <t>403</t>
  </si>
  <si>
    <t>이용하</t>
  </si>
  <si>
    <t>김정민</t>
  </si>
  <si>
    <t>402</t>
  </si>
  <si>
    <t>김민정</t>
  </si>
  <si>
    <t>302</t>
  </si>
  <si>
    <t>이주연</t>
  </si>
  <si>
    <t>1003</t>
  </si>
  <si>
    <t>최은지</t>
  </si>
  <si>
    <t>임지은</t>
  </si>
  <si>
    <t>최영준</t>
  </si>
  <si>
    <t>206</t>
  </si>
  <si>
    <t>이태현</t>
  </si>
  <si>
    <t>구유림</t>
  </si>
  <si>
    <t>대치칼텍빌딩</t>
  </si>
  <si>
    <t>3층</t>
  </si>
  <si>
    <t>304</t>
  </si>
  <si>
    <t>김민채</t>
  </si>
  <si>
    <t>401</t>
  </si>
  <si>
    <t>김한율</t>
  </si>
  <si>
    <t>404</t>
  </si>
  <si>
    <t>김우진</t>
  </si>
  <si>
    <t>601</t>
  </si>
  <si>
    <t>ZHOLZHAKSYNOVA AIKHANUM</t>
  </si>
  <si>
    <t>504</t>
  </si>
  <si>
    <t>이지민</t>
  </si>
  <si>
    <t>강민수</t>
  </si>
  <si>
    <t>정하연</t>
  </si>
  <si>
    <t>임수진</t>
  </si>
  <si>
    <t>임혜영</t>
  </si>
  <si>
    <t>301</t>
  </si>
  <si>
    <t>강재성</t>
  </si>
  <si>
    <t>103</t>
  </si>
  <si>
    <t>김연주</t>
  </si>
  <si>
    <t>602</t>
  </si>
  <si>
    <t>김승희</t>
  </si>
  <si>
    <t>605</t>
  </si>
  <si>
    <t>박한준</t>
  </si>
  <si>
    <t>최현석</t>
  </si>
  <si>
    <t>704</t>
  </si>
  <si>
    <t>김혜빈</t>
  </si>
  <si>
    <t>조동희</t>
  </si>
  <si>
    <t>김주호</t>
  </si>
  <si>
    <t>204</t>
  </si>
  <si>
    <t>최유라</t>
  </si>
  <si>
    <t>305</t>
  </si>
  <si>
    <t>김한들</t>
  </si>
  <si>
    <t>502</t>
  </si>
  <si>
    <t>김정준</t>
  </si>
  <si>
    <t>B02</t>
  </si>
  <si>
    <t>고성윤</t>
  </si>
  <si>
    <t>윤재경</t>
  </si>
  <si>
    <t>김태용</t>
  </si>
  <si>
    <t>이채령</t>
  </si>
  <si>
    <t>황태선</t>
  </si>
  <si>
    <t>김고나</t>
  </si>
  <si>
    <t>703</t>
  </si>
  <si>
    <t>최정원</t>
  </si>
  <si>
    <t>강찬민</t>
  </si>
  <si>
    <t>202</t>
  </si>
  <si>
    <t>정이연</t>
  </si>
  <si>
    <t>503</t>
  </si>
  <si>
    <t>박영수</t>
  </si>
  <si>
    <t>김정환</t>
  </si>
  <si>
    <t>801</t>
  </si>
  <si>
    <t>박진우</t>
  </si>
  <si>
    <t>박상후</t>
  </si>
  <si>
    <t>405</t>
  </si>
  <si>
    <t>권현준</t>
  </si>
  <si>
    <t>이영희</t>
  </si>
  <si>
    <t>민홍기</t>
  </si>
  <si>
    <t>조유진</t>
  </si>
  <si>
    <t>101</t>
  </si>
  <si>
    <t>김인성</t>
  </si>
  <si>
    <t>박규태</t>
  </si>
  <si>
    <t>505</t>
  </si>
  <si>
    <t>이정원</t>
  </si>
  <si>
    <t>ANISA YOTPHIMAI</t>
  </si>
  <si>
    <t>7층</t>
  </si>
  <si>
    <t>이명호</t>
  </si>
  <si>
    <t>501</t>
  </si>
  <si>
    <t>서보경</t>
  </si>
  <si>
    <t>이흔성</t>
  </si>
  <si>
    <t>엄소은</t>
  </si>
  <si>
    <t>박민혜</t>
  </si>
  <si>
    <t>606</t>
  </si>
  <si>
    <t>김성한</t>
  </si>
  <si>
    <t>김경환</t>
  </si>
  <si>
    <t>310</t>
  </si>
  <si>
    <t>윤관석</t>
  </si>
  <si>
    <t>이수진</t>
  </si>
  <si>
    <t>이하린</t>
  </si>
  <si>
    <t>이재성</t>
  </si>
  <si>
    <t>유환희</t>
  </si>
  <si>
    <t>우종구</t>
  </si>
  <si>
    <t>107</t>
  </si>
  <si>
    <t>황현</t>
  </si>
  <si>
    <t>최영호</t>
  </si>
  <si>
    <t>GANBAATAR TEMUULEN</t>
  </si>
  <si>
    <t>표인현</t>
  </si>
  <si>
    <t>김성훈</t>
  </si>
  <si>
    <t>이수빈</t>
  </si>
  <si>
    <t>윤주희</t>
  </si>
  <si>
    <t>윤석현</t>
  </si>
  <si>
    <t>송부름</t>
  </si>
  <si>
    <t>현채원</t>
  </si>
  <si>
    <t>권민준</t>
  </si>
  <si>
    <t>이주찬</t>
  </si>
  <si>
    <t>윤민주</t>
  </si>
  <si>
    <t>한영빈</t>
  </si>
  <si>
    <t>김혜경</t>
  </si>
  <si>
    <t>신재규</t>
  </si>
  <si>
    <t>TUMEN ULZII GANSUKH</t>
  </si>
  <si>
    <t>306</t>
  </si>
  <si>
    <t>GAO HAN</t>
  </si>
  <si>
    <t>205</t>
  </si>
  <si>
    <t>유남호</t>
  </si>
  <si>
    <t>김성경</t>
  </si>
  <si>
    <t>주영광</t>
  </si>
  <si>
    <t>이현준</t>
  </si>
  <si>
    <t>성소담</t>
  </si>
  <si>
    <t>박수웅</t>
  </si>
  <si>
    <t>임성진</t>
  </si>
  <si>
    <t>w하우스</t>
  </si>
  <si>
    <t>민서진</t>
  </si>
  <si>
    <t>이진영</t>
  </si>
  <si>
    <t>강지영</t>
  </si>
  <si>
    <t>박새리</t>
  </si>
  <si>
    <t>임지민</t>
  </si>
  <si>
    <t>508</t>
  </si>
  <si>
    <t>황서영</t>
  </si>
  <si>
    <t>김애진</t>
  </si>
  <si>
    <t>김소민</t>
  </si>
  <si>
    <t>105</t>
  </si>
  <si>
    <t>안지선</t>
  </si>
  <si>
    <t>김소연</t>
  </si>
  <si>
    <t>이협</t>
  </si>
  <si>
    <t>김준범</t>
  </si>
  <si>
    <t>김소은</t>
  </si>
  <si>
    <t>지앤지2</t>
    <phoneticPr fontId="2" type="noConversion"/>
  </si>
  <si>
    <t>204</t>
    <phoneticPr fontId="2" type="noConversion"/>
  </si>
  <si>
    <t>우경주</t>
  </si>
  <si>
    <t>리트코하우스</t>
    <phoneticPr fontId="2" type="noConversion"/>
  </si>
  <si>
    <t>703</t>
    <phoneticPr fontId="2" type="noConversion"/>
  </si>
  <si>
    <t>박미자</t>
  </si>
  <si>
    <t>강정아</t>
  </si>
  <si>
    <t>최재영</t>
  </si>
  <si>
    <t>강주희</t>
  </si>
  <si>
    <t>여다혜</t>
  </si>
  <si>
    <t>박세민</t>
  </si>
  <si>
    <t>김준영</t>
  </si>
  <si>
    <t>김지담</t>
  </si>
  <si>
    <t>함예얼</t>
  </si>
  <si>
    <t>백선화</t>
  </si>
  <si>
    <t>김영기</t>
  </si>
  <si>
    <t>김승태</t>
  </si>
  <si>
    <t>이혜린</t>
  </si>
  <si>
    <t>509</t>
  </si>
  <si>
    <t>김소원</t>
  </si>
  <si>
    <t>박상록</t>
  </si>
  <si>
    <t>안흥용</t>
  </si>
  <si>
    <t>권운</t>
  </si>
  <si>
    <t>최종백</t>
  </si>
  <si>
    <t>208</t>
  </si>
  <si>
    <t>허건</t>
  </si>
  <si>
    <t>이한얼</t>
  </si>
  <si>
    <t>서수민</t>
  </si>
  <si>
    <t>이은경</t>
  </si>
  <si>
    <t>이호경</t>
  </si>
  <si>
    <t>김지수</t>
  </si>
  <si>
    <t>정나봄</t>
  </si>
  <si>
    <t>엄동권</t>
  </si>
  <si>
    <t>신지석</t>
  </si>
  <si>
    <t>공지원</t>
  </si>
  <si>
    <t>양혜민</t>
  </si>
  <si>
    <t>이민영</t>
  </si>
  <si>
    <t>등록없이 주차</t>
  </si>
  <si>
    <t>최재경</t>
  </si>
  <si>
    <t>정상협</t>
  </si>
  <si>
    <t>김민주</t>
  </si>
  <si>
    <t>이강욱</t>
  </si>
  <si>
    <t>퇴실정산서</t>
  </si>
  <si>
    <t>정산기입사항</t>
    <phoneticPr fontId="2" type="noConversion"/>
  </si>
  <si>
    <t>★ 참조</t>
    <phoneticPr fontId="2" type="noConversion"/>
  </si>
  <si>
    <t>입주자 정보</t>
    <phoneticPr fontId="2" type="noConversion"/>
  </si>
  <si>
    <t>내역</t>
    <phoneticPr fontId="2" type="noConversion"/>
  </si>
  <si>
    <t>표기</t>
    <phoneticPr fontId="2" type="noConversion"/>
  </si>
  <si>
    <t>마지막 청구 문자</t>
    <phoneticPr fontId="9" type="noConversion"/>
  </si>
  <si>
    <t>날짜</t>
    <phoneticPr fontId="2" type="noConversion"/>
  </si>
  <si>
    <t>은행</t>
    <phoneticPr fontId="2" type="noConversion"/>
  </si>
  <si>
    <t>예금주</t>
    <phoneticPr fontId="2" type="noConversion"/>
  </si>
  <si>
    <t>계좌번호</t>
    <phoneticPr fontId="2" type="noConversion"/>
  </si>
  <si>
    <t>정산 기준 일</t>
    <phoneticPr fontId="2" type="noConversion"/>
  </si>
  <si>
    <t>날짜 (필요 시 수기)</t>
    <phoneticPr fontId="2" type="noConversion"/>
  </si>
  <si>
    <t>사용 기간</t>
    <phoneticPr fontId="2" type="noConversion"/>
  </si>
  <si>
    <t>사용기간</t>
    <phoneticPr fontId="2" type="noConversion"/>
  </si>
  <si>
    <t>개월</t>
    <phoneticPr fontId="2" type="noConversion"/>
  </si>
  <si>
    <t>일</t>
    <phoneticPr fontId="2" type="noConversion"/>
  </si>
  <si>
    <t>계약 정보</t>
    <phoneticPr fontId="2" type="noConversion"/>
  </si>
  <si>
    <t>퇴실청소</t>
    <phoneticPr fontId="2" type="noConversion"/>
  </si>
  <si>
    <t>TV/인터넷</t>
    <phoneticPr fontId="2" type="noConversion"/>
  </si>
  <si>
    <t>기타 보증금</t>
  </si>
  <si>
    <t>7일 패널티 면제</t>
    <phoneticPr fontId="2" type="noConversion"/>
  </si>
  <si>
    <t>"면제"</t>
    <phoneticPr fontId="2" type="noConversion"/>
  </si>
  <si>
    <t>정 산</t>
    <phoneticPr fontId="2" type="noConversion"/>
  </si>
  <si>
    <t>기타 보증금 반환 여부 확인</t>
    <phoneticPr fontId="9" type="noConversion"/>
  </si>
  <si>
    <t>확인</t>
    <phoneticPr fontId="2" type="noConversion"/>
  </si>
  <si>
    <t>"확인"</t>
    <phoneticPr fontId="9" type="noConversion"/>
  </si>
  <si>
    <t>정산기준일</t>
    <phoneticPr fontId="2" type="noConversion"/>
  </si>
  <si>
    <t>위약금 추가(중개수수료)</t>
    <phoneticPr fontId="9" type="noConversion"/>
  </si>
  <si>
    <t>"추가"</t>
    <phoneticPr fontId="9" type="noConversion"/>
  </si>
  <si>
    <t>공제내역</t>
    <phoneticPr fontId="2" type="noConversion"/>
  </si>
  <si>
    <t>기간(월)</t>
    <phoneticPr fontId="2" type="noConversion"/>
  </si>
  <si>
    <t>기간(일)</t>
    <phoneticPr fontId="2" type="noConversion"/>
  </si>
  <si>
    <t>계산</t>
    <phoneticPr fontId="2" type="noConversion"/>
  </si>
  <si>
    <t>참고</t>
    <phoneticPr fontId="2" type="noConversion"/>
  </si>
  <si>
    <t>선납금</t>
    <phoneticPr fontId="9" type="noConversion"/>
  </si>
  <si>
    <t>마지막날</t>
    <phoneticPr fontId="2" type="noConversion"/>
  </si>
  <si>
    <t>월세일</t>
    <phoneticPr fontId="1" type="noConversion"/>
  </si>
  <si>
    <t>주택용(저압) 사용량별 요금표</t>
  </si>
  <si>
    <t>입주일</t>
    <phoneticPr fontId="1" type="noConversion"/>
  </si>
  <si>
    <t>사용량</t>
    <phoneticPr fontId="2" type="noConversion"/>
  </si>
  <si>
    <t>기본요금</t>
  </si>
  <si>
    <t>전력량요금</t>
  </si>
  <si>
    <t>전기요금계</t>
  </si>
  <si>
    <t>부가세</t>
  </si>
  <si>
    <t>기반기금</t>
  </si>
  <si>
    <t>전기요금</t>
    <phoneticPr fontId="2" type="noConversion"/>
  </si>
  <si>
    <t>전기</t>
    <phoneticPr fontId="2" type="noConversion"/>
  </si>
  <si>
    <t>전기고객번호</t>
    <phoneticPr fontId="2" type="noConversion"/>
  </si>
  <si>
    <t>가스</t>
    <phoneticPr fontId="2" type="noConversion"/>
  </si>
  <si>
    <t>가스고객번호</t>
    <phoneticPr fontId="2" type="noConversion"/>
  </si>
  <si>
    <t>위약금 소계(A)</t>
    <phoneticPr fontId="2" type="noConversion"/>
  </si>
  <si>
    <t>기타 청구 공제액(B: 상세내역 확인)</t>
  </si>
  <si>
    <t>총 정산 금액</t>
    <phoneticPr fontId="2" type="noConversion"/>
  </si>
  <si>
    <t>위약금 상세 정보(A)</t>
    <phoneticPr fontId="2" type="noConversion"/>
  </si>
  <si>
    <t>7일패널티</t>
    <phoneticPr fontId="2" type="noConversion"/>
  </si>
  <si>
    <t>위약금소계</t>
    <phoneticPr fontId="2" type="noConversion"/>
  </si>
  <si>
    <t>기타 청구 공제액 상세내역(B)</t>
    <phoneticPr fontId="2" type="noConversion"/>
  </si>
  <si>
    <t>청구금액</t>
    <phoneticPr fontId="2" type="noConversion"/>
  </si>
  <si>
    <t>소계</t>
    <phoneticPr fontId="2" type="noConversion"/>
  </si>
  <si>
    <t>전기 / 가스 상세내역</t>
    <phoneticPr fontId="2" type="noConversion"/>
  </si>
  <si>
    <t>전기 기간</t>
    <phoneticPr fontId="2" type="noConversion"/>
  </si>
  <si>
    <t>지침</t>
    <phoneticPr fontId="2" type="noConversion"/>
  </si>
  <si>
    <t>전기금액</t>
    <phoneticPr fontId="2" type="noConversion"/>
  </si>
  <si>
    <t>가스기간</t>
    <phoneticPr fontId="2" type="noConversion"/>
  </si>
  <si>
    <t>가스금액</t>
    <phoneticPr fontId="2" type="noConversion"/>
  </si>
  <si>
    <t>전기합계</t>
    <phoneticPr fontId="2" type="noConversion"/>
  </si>
  <si>
    <t>가스합계</t>
    <phoneticPr fontId="2" type="noConversion"/>
  </si>
  <si>
    <t>관리시작일</t>
    <phoneticPr fontId="2" type="noConversion"/>
  </si>
  <si>
    <t>수수료율</t>
    <phoneticPr fontId="2" type="noConversion"/>
  </si>
  <si>
    <t>7일패널티책임</t>
    <phoneticPr fontId="2" type="noConversion"/>
  </si>
  <si>
    <t>부가가치세</t>
    <phoneticPr fontId="2" type="noConversion"/>
  </si>
  <si>
    <t>표준임대차</t>
    <phoneticPr fontId="2" type="noConversion"/>
  </si>
  <si>
    <t>건물주1㈜</t>
    <phoneticPr fontId="2" type="noConversion"/>
  </si>
  <si>
    <t>건물주2(부)</t>
    <phoneticPr fontId="2" type="noConversion"/>
  </si>
  <si>
    <t>주소</t>
    <phoneticPr fontId="2" type="noConversion"/>
  </si>
  <si>
    <t>E-MAIL</t>
    <phoneticPr fontId="2" type="noConversion"/>
  </si>
  <si>
    <t>정산계좌</t>
    <phoneticPr fontId="2" type="noConversion"/>
  </si>
  <si>
    <t>TV인터넷 계약</t>
    <phoneticPr fontId="2" type="noConversion"/>
  </si>
  <si>
    <t>세무사</t>
    <phoneticPr fontId="2" type="noConversion"/>
  </si>
  <si>
    <t>통신사</t>
    <phoneticPr fontId="2" type="noConversion"/>
  </si>
  <si>
    <t>사용승인일</t>
    <phoneticPr fontId="2" type="noConversion"/>
  </si>
  <si>
    <t>주민등록번호</t>
    <phoneticPr fontId="2" type="noConversion"/>
  </si>
  <si>
    <t>전화번호</t>
    <phoneticPr fontId="2" type="noConversion"/>
  </si>
  <si>
    <t>TV</t>
    <phoneticPr fontId="2" type="noConversion"/>
  </si>
  <si>
    <t>인터넷</t>
    <phoneticPr fontId="2" type="noConversion"/>
  </si>
  <si>
    <t>계약종료일</t>
    <phoneticPr fontId="2" type="noConversion"/>
  </si>
  <si>
    <t>제이앤제이</t>
    <phoneticPr fontId="2" type="noConversion"/>
  </si>
  <si>
    <t>박주희</t>
    <phoneticPr fontId="2" type="noConversion"/>
  </si>
  <si>
    <t>760329-2018615</t>
  </si>
  <si>
    <t>010-4250-8245</t>
  </si>
  <si>
    <t xml:space="preserve">새마을금고 9002-1829-4482-7 박주희 </t>
  </si>
  <si>
    <t>강남</t>
    <phoneticPr fontId="2" type="noConversion"/>
  </si>
  <si>
    <t>2011.11.14</t>
  </si>
  <si>
    <t>스타빌</t>
    <phoneticPr fontId="2" type="noConversion"/>
  </si>
  <si>
    <t>박용상</t>
    <phoneticPr fontId="2" type="noConversion"/>
  </si>
  <si>
    <t>010-3373-5572</t>
    <phoneticPr fontId="2" type="noConversion"/>
  </si>
  <si>
    <t>박성윤</t>
    <phoneticPr fontId="2" type="noConversion"/>
  </si>
  <si>
    <t>780831-1047511</t>
    <phoneticPr fontId="2" type="noConversion"/>
  </si>
  <si>
    <t>010-5380-7058</t>
  </si>
  <si>
    <t>서울시 서초구 잠원동 69-13 반포쇼핑타운6동 417호</t>
    <phoneticPr fontId="2" type="noConversion"/>
  </si>
  <si>
    <t>제일은행 187-20-346999 박성현</t>
  </si>
  <si>
    <t>1997.06.12</t>
  </si>
  <si>
    <t>아페이론</t>
    <phoneticPr fontId="2" type="noConversion"/>
  </si>
  <si>
    <t>O</t>
    <phoneticPr fontId="2" type="noConversion"/>
  </si>
  <si>
    <t>허혁재</t>
    <phoneticPr fontId="2" type="noConversion"/>
  </si>
  <si>
    <t>700814-1041713</t>
    <phoneticPr fontId="2" type="noConversion"/>
  </si>
  <si>
    <t>010-3735-0283</t>
    <phoneticPr fontId="2" type="noConversion"/>
  </si>
  <si>
    <t>김남연</t>
    <phoneticPr fontId="2" type="noConversion"/>
  </si>
  <si>
    <t>431106-2041720</t>
    <phoneticPr fontId="2" type="noConversion"/>
  </si>
  <si>
    <t>역삼동 725-25 1층 강남목장</t>
    <phoneticPr fontId="2" type="noConversion"/>
  </si>
  <si>
    <t>hhj 0814@naver.com</t>
    <phoneticPr fontId="2" type="noConversion"/>
  </si>
  <si>
    <t>하나 225-910253-72707 허혁재</t>
  </si>
  <si>
    <t>2010.12.22</t>
  </si>
  <si>
    <t>다존하우스</t>
    <phoneticPr fontId="2" type="noConversion"/>
  </si>
  <si>
    <t>전체</t>
    <phoneticPr fontId="2" type="noConversion"/>
  </si>
  <si>
    <t>김영호</t>
    <phoneticPr fontId="2" type="noConversion"/>
  </si>
  <si>
    <t>700124-1069010</t>
    <phoneticPr fontId="2" type="noConversion"/>
  </si>
  <si>
    <t>010-2238-7271</t>
  </si>
  <si>
    <t>신대방1동 690-21번지(대림로32)</t>
    <phoneticPr fontId="2" type="noConversion"/>
  </si>
  <si>
    <t>Josida1818@naver.com</t>
    <phoneticPr fontId="2" type="noConversion"/>
  </si>
  <si>
    <t>우리 1002-345-917823 김영호
농협 356-0699-1869-53 김영호</t>
    <phoneticPr fontId="2" type="noConversion"/>
  </si>
  <si>
    <t>5625544@naver.com</t>
    <phoneticPr fontId="2" type="noConversion"/>
  </si>
  <si>
    <t>동작</t>
    <phoneticPr fontId="2" type="noConversion"/>
  </si>
  <si>
    <t>2012.08.06</t>
    <phoneticPr fontId="2" type="noConversion"/>
  </si>
  <si>
    <t>w하우스</t>
    <phoneticPr fontId="2" type="noConversion"/>
  </si>
  <si>
    <t>일부</t>
    <phoneticPr fontId="2" type="noConversion"/>
  </si>
  <si>
    <t>류현백</t>
  </si>
  <si>
    <t>680717-1120611</t>
  </si>
  <si>
    <t>010-7723-7401</t>
    <phoneticPr fontId="2" type="noConversion"/>
  </si>
  <si>
    <t>류재형</t>
    <phoneticPr fontId="2" type="noConversion"/>
  </si>
  <si>
    <t>700524-1120613</t>
    <phoneticPr fontId="2" type="noConversion"/>
  </si>
  <si>
    <t>010-5359-0707</t>
    <phoneticPr fontId="2" type="noConversion"/>
  </si>
  <si>
    <t>서울시 서초구 반포본동 반포아파트 79동 103호</t>
    <phoneticPr fontId="2" type="noConversion"/>
  </si>
  <si>
    <t xml:space="preserve"> yoouhb@gmail.com
jhyoo70@gmail.com</t>
    <phoneticPr fontId="2" type="noConversion"/>
  </si>
  <si>
    <t>하나 127-910129-51107 김민자 (3층/6층/7층)
SC 110-20-484373 남현주(4층/5층)</t>
    <phoneticPr fontId="2" type="noConversion"/>
  </si>
  <si>
    <t>2000.03.30</t>
  </si>
  <si>
    <t>포유빌</t>
    <phoneticPr fontId="2" type="noConversion"/>
  </si>
  <si>
    <t>진수현</t>
    <phoneticPr fontId="2" type="noConversion"/>
  </si>
  <si>
    <t>450115-1019116</t>
    <phoneticPr fontId="2" type="noConversion"/>
  </si>
  <si>
    <t>010-5229-3898</t>
    <phoneticPr fontId="2" type="noConversion"/>
  </si>
  <si>
    <t>김혜향</t>
    <phoneticPr fontId="2" type="noConversion"/>
  </si>
  <si>
    <t>010-2353-6138</t>
    <phoneticPr fontId="2" type="noConversion"/>
  </si>
  <si>
    <t>서울시 서초구 방배로 14 7동 905호 (방배동임광아파트)</t>
    <phoneticPr fontId="2" type="noConversion"/>
  </si>
  <si>
    <t>khh1030@hanmail.net</t>
    <phoneticPr fontId="2" type="noConversion"/>
  </si>
  <si>
    <t xml:space="preserve">하나 241-910120-64707 진수현  3/4   
하나 241-910120-62407 김혜향   1/4                </t>
    <phoneticPr fontId="2" type="noConversion"/>
  </si>
  <si>
    <t>2003.05.29</t>
  </si>
  <si>
    <t>미래홈</t>
    <phoneticPr fontId="2" type="noConversion"/>
  </si>
  <si>
    <t>전교중</t>
    <phoneticPr fontId="2" type="noConversion"/>
  </si>
  <si>
    <t>740929-1816717</t>
    <phoneticPr fontId="2" type="noConversion"/>
  </si>
  <si>
    <t>010-2860-7824</t>
    <phoneticPr fontId="2" type="noConversion"/>
  </si>
  <si>
    <t>서울시 강남구 개포로 516, 604동 101호(개포주공 6단지)</t>
    <phoneticPr fontId="2" type="noConversion"/>
  </si>
  <si>
    <t>mayhany7824@gmail.com</t>
    <phoneticPr fontId="2" type="noConversion"/>
  </si>
  <si>
    <t>하나 429-910293-31807 전교중</t>
    <phoneticPr fontId="2" type="noConversion"/>
  </si>
  <si>
    <t>2016.04.29</t>
  </si>
  <si>
    <t>굿모닝빌</t>
    <phoneticPr fontId="2" type="noConversion"/>
  </si>
  <si>
    <t>윤정연</t>
    <phoneticPr fontId="2" type="noConversion"/>
  </si>
  <si>
    <t>600503-2066924</t>
    <phoneticPr fontId="2" type="noConversion"/>
  </si>
  <si>
    <t>010-8700-7388</t>
    <phoneticPr fontId="2" type="noConversion"/>
  </si>
  <si>
    <t>서울시 강남구 논현동 176-16</t>
    <phoneticPr fontId="2" type="noConversion"/>
  </si>
  <si>
    <t>jyyoon7388@naver.com</t>
    <phoneticPr fontId="2" type="noConversion"/>
  </si>
  <si>
    <t>우리 1002-736-011943 박종호</t>
  </si>
  <si>
    <t>2003.07.10</t>
  </si>
  <si>
    <t>모닝빌</t>
    <phoneticPr fontId="2" type="noConversion"/>
  </si>
  <si>
    <t>황상진</t>
    <phoneticPr fontId="2" type="noConversion"/>
  </si>
  <si>
    <t>481123-1038035</t>
    <phoneticPr fontId="2" type="noConversion"/>
  </si>
  <si>
    <t>010-5295-7100</t>
    <phoneticPr fontId="2" type="noConversion"/>
  </si>
  <si>
    <t>사모님</t>
    <phoneticPr fontId="2" type="noConversion"/>
  </si>
  <si>
    <t>010-4719-1233</t>
    <phoneticPr fontId="2" type="noConversion"/>
  </si>
  <si>
    <t>서울 강남구 논현동 184-9 501호</t>
    <phoneticPr fontId="2" type="noConversion"/>
  </si>
  <si>
    <t>hduk1815@gmail.com</t>
    <phoneticPr fontId="2" type="noConversion"/>
  </si>
  <si>
    <t>sc 425-20-512163 황상진</t>
    <phoneticPr fontId="2" type="noConversion"/>
  </si>
  <si>
    <t>2003.01.10</t>
  </si>
  <si>
    <t>에덴빌</t>
    <phoneticPr fontId="2" type="noConversion"/>
  </si>
  <si>
    <t>이영환</t>
    <phoneticPr fontId="2" type="noConversion"/>
  </si>
  <si>
    <t>470930-1405211</t>
  </si>
  <si>
    <t>010-3695-9298</t>
    <phoneticPr fontId="2" type="noConversion"/>
  </si>
  <si>
    <t>서울 강남구 삼성동 125-14 401호</t>
    <phoneticPr fontId="2" type="noConversion"/>
  </si>
  <si>
    <t>lyh9298@hotmail.com</t>
    <phoneticPr fontId="2" type="noConversion"/>
  </si>
  <si>
    <t>우리 1005-302-569927 이영환</t>
  </si>
  <si>
    <t>2001.09.18</t>
  </si>
  <si>
    <t>와이원빈티지</t>
    <phoneticPr fontId="2" type="noConversion"/>
  </si>
  <si>
    <t>유병수</t>
    <phoneticPr fontId="2" type="noConversion"/>
  </si>
  <si>
    <t>551021-1001925</t>
    <phoneticPr fontId="2" type="noConversion"/>
  </si>
  <si>
    <t>010-5251-1327</t>
    <phoneticPr fontId="2" type="noConversion"/>
  </si>
  <si>
    <t>유일한</t>
    <phoneticPr fontId="2" type="noConversion"/>
  </si>
  <si>
    <t>010-9941-9992</t>
    <phoneticPr fontId="2" type="noConversion"/>
  </si>
  <si>
    <t>서울 광진구 자양동 222-7 스타시티 D동 302호</t>
    <phoneticPr fontId="2" type="noConversion"/>
  </si>
  <si>
    <t>carter1605@hanmail.net</t>
    <phoneticPr fontId="2" type="noConversion"/>
  </si>
  <si>
    <t>농협 351-1021-2523-63 유병수
농협 352-1308-6470-63 유일한</t>
  </si>
  <si>
    <t>2017.04.07</t>
  </si>
  <si>
    <t>한스텔</t>
    <phoneticPr fontId="2" type="noConversion"/>
  </si>
  <si>
    <t>유경희</t>
    <phoneticPr fontId="2" type="noConversion"/>
  </si>
  <si>
    <t>530924-2000711</t>
    <phoneticPr fontId="2" type="noConversion"/>
  </si>
  <si>
    <t xml:space="preserve"> 010-8773-7317</t>
    <phoneticPr fontId="2" type="noConversion"/>
  </si>
  <si>
    <t>조현</t>
    <phoneticPr fontId="2" type="noConversion"/>
  </si>
  <si>
    <t>010-9158-7319</t>
    <phoneticPr fontId="2" type="noConversion"/>
  </si>
  <si>
    <t>경기도 화도읍 창현리 월스포사우나</t>
    <phoneticPr fontId="2" type="noConversion"/>
  </si>
  <si>
    <t>hyun0909-@hanmail.net</t>
    <phoneticPr fontId="2" type="noConversion"/>
  </si>
  <si>
    <t>신한 100-030-950721 유경희</t>
  </si>
  <si>
    <t>1996.01.12</t>
  </si>
  <si>
    <t>강용순</t>
    <phoneticPr fontId="2" type="noConversion"/>
  </si>
  <si>
    <t>540415-2</t>
  </si>
  <si>
    <t>010-3955-9328</t>
  </si>
  <si>
    <t>송파구 송파동 101-30 401호</t>
  </si>
  <si>
    <t>whiteshk1@hanmail.net</t>
    <phoneticPr fontId="2" type="noConversion"/>
  </si>
  <si>
    <t>하나 220-910063-09908 강용순
하나 220-910278-09807 신기주</t>
  </si>
  <si>
    <t>2005.01.26</t>
  </si>
  <si>
    <t>풍림빌딩</t>
    <phoneticPr fontId="2" type="noConversion"/>
  </si>
  <si>
    <t>이명필</t>
    <phoneticPr fontId="2" type="noConversion"/>
  </si>
  <si>
    <t>690127-1328349</t>
    <phoneticPr fontId="2" type="noConversion"/>
  </si>
  <si>
    <t>+86 137-6169-6222</t>
    <phoneticPr fontId="2" type="noConversion"/>
  </si>
  <si>
    <t>성동구 독서당로 216</t>
    <phoneticPr fontId="2" type="noConversion"/>
  </si>
  <si>
    <t xml:space="preserve"> mplee21@hanmail.net</t>
    <phoneticPr fontId="2" type="noConversion"/>
  </si>
  <si>
    <t>우리 1005-3030-69287 이명필</t>
  </si>
  <si>
    <t>cheil2006@naver.com</t>
    <phoneticPr fontId="2" type="noConversion"/>
  </si>
  <si>
    <t>1989.1.14</t>
  </si>
  <si>
    <t>토브미하우스</t>
    <phoneticPr fontId="2" type="noConversion"/>
  </si>
  <si>
    <t>백승윤</t>
    <phoneticPr fontId="2" type="noConversion"/>
  </si>
  <si>
    <t>450920-1051724</t>
    <phoneticPr fontId="2" type="noConversion"/>
  </si>
  <si>
    <t xml:space="preserve"> 010-2250-6931</t>
    <phoneticPr fontId="2" type="noConversion"/>
  </si>
  <si>
    <t>논현동 219-26</t>
    <phoneticPr fontId="2" type="noConversion"/>
  </si>
  <si>
    <t>신한 110-488-068215 백승윤</t>
    <phoneticPr fontId="2" type="noConversion"/>
  </si>
  <si>
    <t>2018.01.24</t>
  </si>
  <si>
    <t>리트코</t>
    <phoneticPr fontId="2" type="noConversion"/>
  </si>
  <si>
    <t xml:space="preserve"> 010-2483-8495</t>
    <phoneticPr fontId="2" type="noConversion"/>
  </si>
  <si>
    <t>역삼동 840-5</t>
    <phoneticPr fontId="2" type="noConversion"/>
  </si>
  <si>
    <t>jhc@ritco.co.kr</t>
    <phoneticPr fontId="2" type="noConversion"/>
  </si>
  <si>
    <t>하나 256-910062-94604 ㈜리트코</t>
  </si>
  <si>
    <t>2020.03.11</t>
  </si>
  <si>
    <t>모던하우스</t>
    <phoneticPr fontId="2" type="noConversion"/>
  </si>
  <si>
    <t>김영수</t>
    <phoneticPr fontId="2" type="noConversion"/>
  </si>
  <si>
    <t>560711-1057631</t>
    <phoneticPr fontId="2" type="noConversion"/>
  </si>
  <si>
    <t>010-4775-3754.</t>
    <phoneticPr fontId="2" type="noConversion"/>
  </si>
  <si>
    <t>010-4186-8919</t>
    <phoneticPr fontId="2" type="noConversion"/>
  </si>
  <si>
    <t xml:space="preserve">논현동 159-10 </t>
    <phoneticPr fontId="2" type="noConversion"/>
  </si>
  <si>
    <t>우리 1002-061-870442 김영수</t>
    <phoneticPr fontId="2" type="noConversion"/>
  </si>
  <si>
    <t>모던라이프</t>
    <phoneticPr fontId="2" type="noConversion"/>
  </si>
  <si>
    <t>서울시 강남구 논현동 68-19</t>
    <phoneticPr fontId="2" type="noConversion"/>
  </si>
  <si>
    <t>신한 110-524-509708 김영수</t>
    <phoneticPr fontId="2" type="noConversion"/>
  </si>
  <si>
    <t>서우하우스</t>
    <phoneticPr fontId="2" type="noConversion"/>
  </si>
  <si>
    <t>강경미</t>
  </si>
  <si>
    <t>741215-2</t>
  </si>
  <si>
    <t>010-4853-0007</t>
    <phoneticPr fontId="2" type="noConversion"/>
  </si>
  <si>
    <t>서울시 강남구 언주로98길 35</t>
  </si>
  <si>
    <t>kmgongju@naver.com</t>
    <phoneticPr fontId="2" type="noConversion"/>
  </si>
  <si>
    <t>국민 573-7010418-1987 이상미</t>
    <phoneticPr fontId="2" type="noConversion"/>
  </si>
  <si>
    <t>KT</t>
    <phoneticPr fontId="2" type="noConversion"/>
  </si>
  <si>
    <t>제이에스하우스</t>
    <phoneticPr fontId="2" type="noConversion"/>
  </si>
  <si>
    <t>티투지(송영수)</t>
    <phoneticPr fontId="2" type="noConversion"/>
  </si>
  <si>
    <t>765-81-02346</t>
    <phoneticPr fontId="2" type="noConversion"/>
  </si>
  <si>
    <t>010-7566-5219</t>
  </si>
  <si>
    <t>경기도 용인시 동백중앙로 191 비 8565호</t>
  </si>
  <si>
    <t>Kukhsong@gmail.com</t>
    <phoneticPr fontId="2" type="noConversion"/>
  </si>
  <si>
    <t>농협 301-0354-053451 주식회사 티투지</t>
  </si>
  <si>
    <t>우진빌딩</t>
    <phoneticPr fontId="2" type="noConversion"/>
  </si>
  <si>
    <t>양승식</t>
    <phoneticPr fontId="2" type="noConversion"/>
  </si>
  <si>
    <t>791207-1080441</t>
    <phoneticPr fontId="2" type="noConversion"/>
  </si>
  <si>
    <t>010-8915-3655</t>
  </si>
  <si>
    <t>서울시 강남구 테헤란로 13길 18</t>
  </si>
  <si>
    <t>sean.yang1207@gmail.com</t>
    <phoneticPr fontId="2" type="noConversion"/>
  </si>
  <si>
    <t>우리 016-26870-102-101 양승식</t>
  </si>
  <si>
    <t>우영빌딩</t>
    <phoneticPr fontId="2" type="noConversion"/>
  </si>
  <si>
    <t>윤영배</t>
    <phoneticPr fontId="2" type="noConversion"/>
  </si>
  <si>
    <t>010-6210-9553</t>
  </si>
  <si>
    <t>wooyeong5@naver.com</t>
  </si>
  <si>
    <t>하나 287-910045-78304 우영인벤트</t>
  </si>
  <si>
    <t>서연빌</t>
  </si>
  <si>
    <t>조규희</t>
  </si>
  <si>
    <t>010-2357-4534</t>
  </si>
  <si>
    <t>며느리</t>
  </si>
  <si>
    <t>010-8405-5188</t>
  </si>
  <si>
    <t>서을시 강남구 삼성로 69길 21</t>
  </si>
  <si>
    <t>khcho907@naver.com</t>
  </si>
  <si>
    <t>sc 357-20-233002 조규희</t>
  </si>
  <si>
    <t>대치칼텍빌딩</t>
    <phoneticPr fontId="2" type="noConversion"/>
  </si>
  <si>
    <t>심재훈</t>
  </si>
  <si>
    <t>010-7670-5288</t>
  </si>
  <si>
    <t>서울시 강남구 역삼로 78길 21</t>
  </si>
  <si>
    <t>jshim22@naver.com</t>
  </si>
  <si>
    <t>sc 358-20-010412 심재훈</t>
  </si>
  <si>
    <t>더힐하우스</t>
    <phoneticPr fontId="2" type="noConversion"/>
  </si>
  <si>
    <t>서울시 강남구 선릉로72길 10-13 (대치동 920-27)</t>
  </si>
  <si>
    <t>카카오 3333-26-5937773 김유정</t>
  </si>
  <si>
    <t>신림프리미어</t>
    <phoneticPr fontId="2" type="noConversion"/>
  </si>
  <si>
    <t>140만+알파</t>
    <phoneticPr fontId="2" type="noConversion"/>
  </si>
  <si>
    <t>김월섭</t>
  </si>
  <si>
    <t>541201-1673618</t>
  </si>
  <si>
    <t>010-9633-2229</t>
  </si>
  <si>
    <t>서울 관악구 신림로67길15 프리미어 1101호</t>
  </si>
  <si>
    <t>wskimm1231@gmail.com</t>
  </si>
  <si>
    <t>국민 45830-10-1556313 김월섭(온누리)</t>
  </si>
  <si>
    <t>메종빌</t>
    <phoneticPr fontId="2" type="noConversion"/>
  </si>
  <si>
    <t>이상남</t>
    <phoneticPr fontId="2" type="noConversion"/>
  </si>
  <si>
    <t>750611-2914212</t>
    <phoneticPr fontId="2" type="noConversion"/>
  </si>
  <si>
    <t>010-6564-1077</t>
    <phoneticPr fontId="2" type="noConversion"/>
  </si>
  <si>
    <t>서울시 강남구 논현동 229-1 (1,2,3,4층)</t>
    <phoneticPr fontId="2" type="noConversion"/>
  </si>
  <si>
    <t>nami503@naver.com</t>
    <phoneticPr fontId="2" type="noConversion"/>
  </si>
  <si>
    <t>우리은행 1005-2045-74139 메종빌</t>
  </si>
  <si>
    <t>문화빌딩</t>
    <phoneticPr fontId="2" type="noConversion"/>
  </si>
  <si>
    <t>이정은</t>
    <phoneticPr fontId="2" type="noConversion"/>
  </si>
  <si>
    <t>730430-2046611</t>
  </si>
  <si>
    <t>010-9840-0339</t>
    <phoneticPr fontId="2" type="noConversion"/>
  </si>
  <si>
    <t>이정선</t>
  </si>
  <si>
    <t>010-8336-3009</t>
  </si>
  <si>
    <t>서울시 마포구 도화길 28, 마포삼성A 114동 204호</t>
    <phoneticPr fontId="2" type="noConversion"/>
  </si>
  <si>
    <t>jz00336@naver.com</t>
    <phoneticPr fontId="2" type="noConversion"/>
  </si>
  <si>
    <t xml:space="preserve"> 국민 827902-04-304400 이정은</t>
  </si>
  <si>
    <t>함보영</t>
  </si>
  <si>
    <t>149-81-00959</t>
  </si>
  <si>
    <t>010-2675-2591</t>
  </si>
  <si>
    <t>경기도 남양주시 진건입 사릉로425번길 21-1, 태은빌딩 201호</t>
  </si>
  <si>
    <t>byham@nconsuting.co.kr</t>
  </si>
  <si>
    <t>조재현</t>
  </si>
  <si>
    <t>820222-1</t>
    <phoneticPr fontId="2" type="noConversion"/>
  </si>
  <si>
    <t>010-2846-4273</t>
  </si>
  <si>
    <t>서울시 강남구 삼성로119길 25(삼성동)</t>
    <phoneticPr fontId="2" type="noConversion"/>
  </si>
  <si>
    <t>chojhn@gmail.com</t>
  </si>
  <si>
    <t>하나 210910-32054007 조재현</t>
  </si>
  <si>
    <t>이례빌딩</t>
    <phoneticPr fontId="2" type="noConversion"/>
  </si>
  <si>
    <t>이병전</t>
  </si>
  <si>
    <t>서울시 광진구 동일로 144(화양동)</t>
    <phoneticPr fontId="2" type="noConversion"/>
  </si>
  <si>
    <t>lbc7090@hotmail.com</t>
  </si>
  <si>
    <t>KMC(이명환)</t>
  </si>
  <si>
    <t>010-8952-0679</t>
    <phoneticPr fontId="2" type="noConversion"/>
  </si>
  <si>
    <t>서울시 마포구 큰우물로 64, 4층</t>
  </si>
  <si>
    <t>leemh0715@kmckor.co.kr</t>
    <phoneticPr fontId="2" type="noConversion"/>
  </si>
  <si>
    <t>이석민</t>
  </si>
  <si>
    <t>010-7457-7751</t>
  </si>
  <si>
    <t>이은수외2인</t>
  </si>
  <si>
    <t>서울시 강남구 논현동 64-11</t>
  </si>
  <si>
    <t>sukminlee@naver.com</t>
  </si>
  <si>
    <t>우리 1002-557-506705 설옥분
미래에셋 4007-77-541320 이석민</t>
  </si>
  <si>
    <t>양지빌딩</t>
  </si>
  <si>
    <t>전영식</t>
  </si>
  <si>
    <t>010-4268-7944</t>
  </si>
  <si>
    <t>따님</t>
  </si>
  <si>
    <t>010-8287-1187</t>
  </si>
  <si>
    <t>서울시 관악구 봉천동 702-78</t>
  </si>
  <si>
    <t>dasukm@naver.com</t>
  </si>
  <si>
    <t>상건빌딩</t>
  </si>
  <si>
    <t>이건영</t>
  </si>
  <si>
    <t>840408-1</t>
  </si>
  <si>
    <t>서울시 중구 을지로6가 18-97</t>
  </si>
  <si>
    <t>kunyoung84@gmail.com</t>
  </si>
  <si>
    <t>미진빌딩</t>
  </si>
  <si>
    <t>이윤미</t>
  </si>
  <si>
    <t>이상효</t>
  </si>
  <si>
    <t>450825-1</t>
  </si>
  <si>
    <t>실 대표님</t>
  </si>
  <si>
    <t>서울시 중구 을지로6가 18-84</t>
  </si>
  <si>
    <t>ymlee@kobaco.co.kr</t>
  </si>
  <si>
    <t>유석빌딩</t>
    <phoneticPr fontId="2" type="noConversion"/>
  </si>
  <si>
    <t>복유일</t>
    <phoneticPr fontId="2" type="noConversion"/>
  </si>
  <si>
    <t>010-7440-2262</t>
    <phoneticPr fontId="2" type="noConversion"/>
  </si>
  <si>
    <t>서울시 중구 동호로 12길 6</t>
  </si>
  <si>
    <t>에이스빌딩</t>
    <phoneticPr fontId="2" type="noConversion"/>
  </si>
  <si>
    <t>전체</t>
  </si>
  <si>
    <t>글로벌쉐어</t>
  </si>
  <si>
    <t>02-899-3393</t>
  </si>
  <si>
    <t>서울시 구로구 새말로 19, 5층 (구로동, 에이스빌딩)</t>
  </si>
  <si>
    <t>globals1108@nate.com</t>
  </si>
  <si>
    <t>평해빌딩</t>
  </si>
  <si>
    <t>권혁미</t>
  </si>
  <si>
    <t>010-5057-9007</t>
  </si>
  <si>
    <t>울특별시 강남구 강남대로114길 14 (논현동)</t>
  </si>
  <si>
    <t>내용</t>
    <phoneticPr fontId="2" type="noConversion"/>
  </si>
  <si>
    <t>계약일 도래</t>
    <phoneticPr fontId="2" type="noConversion"/>
  </si>
  <si>
    <t>3개월 이내</t>
    <phoneticPr fontId="2" type="noConversion"/>
  </si>
  <si>
    <t>6개월 이내</t>
    <phoneticPr fontId="2" type="noConversion"/>
  </si>
  <si>
    <t>호실</t>
  </si>
  <si>
    <t>입주자</t>
  </si>
  <si>
    <t>연체 여부</t>
  </si>
  <si>
    <t>계약일</t>
  </si>
  <si>
    <t>만기일</t>
  </si>
  <si>
    <t>재계약일</t>
  </si>
  <si>
    <t>비고</t>
    <phoneticPr fontId="2" type="noConversion"/>
  </si>
  <si>
    <t>계좌</t>
    <phoneticPr fontId="2" type="noConversion"/>
  </si>
  <si>
    <t>고객번호</t>
    <phoneticPr fontId="2" type="noConversion"/>
  </si>
  <si>
    <t>임대형태</t>
    <phoneticPr fontId="2" type="noConversion"/>
  </si>
  <si>
    <t>전기가스청구</t>
    <phoneticPr fontId="2" type="noConversion"/>
  </si>
  <si>
    <t>관리팀</t>
    <phoneticPr fontId="2" type="noConversion"/>
  </si>
  <si>
    <t>수금팀</t>
    <phoneticPr fontId="2" type="noConversion"/>
  </si>
  <si>
    <t>건물청소</t>
    <phoneticPr fontId="2" type="noConversion"/>
  </si>
  <si>
    <t>청소비지급</t>
    <phoneticPr fontId="2" type="noConversion"/>
  </si>
  <si>
    <t>호실정보1</t>
    <phoneticPr fontId="2" type="noConversion"/>
  </si>
  <si>
    <t>호실정보2</t>
    <phoneticPr fontId="2" type="noConversion"/>
  </si>
  <si>
    <t>호실정보3</t>
    <phoneticPr fontId="2" type="noConversion"/>
  </si>
  <si>
    <t>호실정보4</t>
    <phoneticPr fontId="2" type="noConversion"/>
  </si>
  <si>
    <t>%</t>
    <phoneticPr fontId="2" type="noConversion"/>
  </si>
  <si>
    <t>임대료 관리</t>
    <phoneticPr fontId="2" type="noConversion"/>
  </si>
  <si>
    <t>입금이름</t>
    <phoneticPr fontId="2" type="noConversion"/>
  </si>
  <si>
    <t>입금계좌(계좌1)</t>
    <phoneticPr fontId="2" type="noConversion"/>
  </si>
  <si>
    <t>입금계좌(계좌2)</t>
    <phoneticPr fontId="2" type="noConversion"/>
  </si>
  <si>
    <t>일반/단기/상가</t>
    <phoneticPr fontId="2" type="noConversion"/>
  </si>
  <si>
    <t>자동 만 표기</t>
    <phoneticPr fontId="2" type="noConversion"/>
  </si>
  <si>
    <t>담당자</t>
    <phoneticPr fontId="2" type="noConversion"/>
  </si>
  <si>
    <t>1팀/2팀</t>
    <phoneticPr fontId="2" type="noConversion"/>
  </si>
  <si>
    <t>크린/외부</t>
    <phoneticPr fontId="2" type="noConversion"/>
  </si>
  <si>
    <t>제이앤제이</t>
    <phoneticPr fontId="9" type="noConversion"/>
  </si>
  <si>
    <t>B01</t>
    <phoneticPr fontId="2" type="noConversion"/>
  </si>
  <si>
    <t>JJ</t>
  </si>
  <si>
    <t>우리 1002-911-220189 박시현</t>
    <phoneticPr fontId="2" type="noConversion"/>
  </si>
  <si>
    <t>01-0316-7591</t>
  </si>
  <si>
    <t>단기</t>
  </si>
  <si>
    <t>크린</t>
  </si>
  <si>
    <t>01-0316-7555</t>
  </si>
  <si>
    <t>상가</t>
    <phoneticPr fontId="2" type="noConversion"/>
  </si>
  <si>
    <t>01-0316-7564</t>
  </si>
  <si>
    <t>01-0316-7573</t>
  </si>
  <si>
    <t>01-0316-7582</t>
  </si>
  <si>
    <t>스타빌</t>
    <phoneticPr fontId="9" type="noConversion"/>
  </si>
  <si>
    <t>스타</t>
  </si>
  <si>
    <t>하나 225-910048-15704 박종호(하우스맨)</t>
  </si>
  <si>
    <t>01-1015-7856</t>
  </si>
  <si>
    <t>01-1015-7847</t>
  </si>
  <si>
    <t>01-1015-7838</t>
  </si>
  <si>
    <t>01-1015-7829</t>
  </si>
  <si>
    <t>01-1015-7810</t>
  </si>
  <si>
    <t>01-1015-7801</t>
  </si>
  <si>
    <t>01-1015-7794</t>
  </si>
  <si>
    <t>01-1015-7785</t>
  </si>
  <si>
    <t>아페이론</t>
    <phoneticPr fontId="9" type="noConversion"/>
  </si>
  <si>
    <t>아페</t>
  </si>
  <si>
    <t>01-4619-4506</t>
  </si>
  <si>
    <t>01-4619-4515</t>
  </si>
  <si>
    <t>01-4619-4524</t>
  </si>
  <si>
    <t>01-4619-4533</t>
  </si>
  <si>
    <t>01-4619-4542</t>
  </si>
  <si>
    <t>01-4619-4551</t>
  </si>
  <si>
    <t>01-4619-4560</t>
  </si>
  <si>
    <t>01-4619-4579</t>
  </si>
  <si>
    <t>01-1018-4782</t>
  </si>
  <si>
    <t>01-4619-4597</t>
  </si>
  <si>
    <t>다존하우스</t>
    <phoneticPr fontId="9" type="noConversion"/>
  </si>
  <si>
    <t>다존</t>
  </si>
  <si>
    <t>01-4812-3900</t>
  </si>
  <si>
    <t>외부</t>
    <phoneticPr fontId="2" type="noConversion"/>
  </si>
  <si>
    <t>01-4812-5524</t>
  </si>
  <si>
    <t>01-4812-5533</t>
  </si>
  <si>
    <t>01-4812-5542</t>
  </si>
  <si>
    <t>01-4812-5560</t>
  </si>
  <si>
    <t>01-4812-5579</t>
  </si>
  <si>
    <t>01-4812-5588</t>
  </si>
  <si>
    <t>01-4812-5597</t>
  </si>
  <si>
    <t>01-4812-5604</t>
  </si>
  <si>
    <t>01-4812-5613</t>
  </si>
  <si>
    <t>01-4812-5622</t>
  </si>
  <si>
    <t>01-4812-5301</t>
  </si>
  <si>
    <t>01-4812-5310</t>
  </si>
  <si>
    <t>01-4812-5329</t>
  </si>
  <si>
    <t>01-4812-5338</t>
  </si>
  <si>
    <t>01-4812-5347</t>
  </si>
  <si>
    <t>01-4812-5356</t>
  </si>
  <si>
    <t>01-4812-5365</t>
  </si>
  <si>
    <t>01-4812-5374</t>
  </si>
  <si>
    <t>01-4812-5383</t>
  </si>
  <si>
    <t>01-4812-5392</t>
  </si>
  <si>
    <t>01-4812-5409</t>
  </si>
  <si>
    <t>01-4812-5418</t>
  </si>
  <si>
    <t>01-4812-5427</t>
  </si>
  <si>
    <t>01-4812-5436</t>
  </si>
  <si>
    <t>01-4812-5445</t>
  </si>
  <si>
    <t>01-4812-5454</t>
  </si>
  <si>
    <t>01-4812-5463</t>
  </si>
  <si>
    <t>01-4812-5472</t>
  </si>
  <si>
    <t>01-4812-5481</t>
  </si>
  <si>
    <t>01-4812-5490</t>
  </si>
  <si>
    <t>01-4812-5506</t>
  </si>
  <si>
    <t>01-4812-5515</t>
  </si>
  <si>
    <t>W하우스</t>
    <phoneticPr fontId="9" type="noConversion"/>
  </si>
  <si>
    <t>1층</t>
  </si>
  <si>
    <t>W</t>
  </si>
  <si>
    <t>신한 110-184-764692 류재형</t>
    <phoneticPr fontId="2" type="noConversion"/>
  </si>
  <si>
    <t>01-0474-3253</t>
  </si>
  <si>
    <t>01-0474-3084</t>
  </si>
  <si>
    <t>01-4245-6946</t>
  </si>
  <si>
    <t>하나 127-910129-51107 김민자</t>
    <phoneticPr fontId="2" type="noConversion"/>
  </si>
  <si>
    <t>01-0474-3164</t>
  </si>
  <si>
    <t>01-5314-3229</t>
  </si>
  <si>
    <t>01-5314-3256</t>
  </si>
  <si>
    <t>01-5314-3265</t>
  </si>
  <si>
    <t>01-5314-3274</t>
  </si>
  <si>
    <t>01-0474-3119</t>
  </si>
  <si>
    <t>농협 312-7723-7401-31 류현백</t>
    <phoneticPr fontId="2" type="noConversion"/>
  </si>
  <si>
    <t>01-0474-3155</t>
  </si>
  <si>
    <t>01-0474-3100</t>
  </si>
  <si>
    <t>01-0474-3128</t>
  </si>
  <si>
    <t>01-0474-3137</t>
  </si>
  <si>
    <t>01-0474-3146</t>
  </si>
  <si>
    <t>01-0474-3075</t>
  </si>
  <si>
    <t>01-5314-3283</t>
  </si>
  <si>
    <t>01-5314-3292</t>
  </si>
  <si>
    <t>포유빌</t>
    <phoneticPr fontId="9" type="noConversion"/>
  </si>
  <si>
    <t>창고</t>
    <phoneticPr fontId="2" type="noConversion"/>
  </si>
  <si>
    <t>포유</t>
    <phoneticPr fontId="2" type="noConversion"/>
  </si>
  <si>
    <t>01-1173-6809</t>
    <phoneticPr fontId="2" type="noConversion"/>
  </si>
  <si>
    <t>자동</t>
    <phoneticPr fontId="2" type="noConversion"/>
  </si>
  <si>
    <t>포유</t>
  </si>
  <si>
    <t>01-4044-7354</t>
  </si>
  <si>
    <t>01-4044-7381</t>
  </si>
  <si>
    <t>01-4044-7345</t>
  </si>
  <si>
    <t>01-4044-7425</t>
  </si>
  <si>
    <t>01-4044-7390</t>
  </si>
  <si>
    <t>01-4044-7416</t>
  </si>
  <si>
    <t>01-4044-7372</t>
  </si>
  <si>
    <t>01-4044-7407</t>
  </si>
  <si>
    <t>01-4044-7363</t>
  </si>
  <si>
    <t>미래홈</t>
    <phoneticPr fontId="9" type="noConversion"/>
  </si>
  <si>
    <t>01-5270-1822</t>
  </si>
  <si>
    <t>01-5270-1831</t>
  </si>
  <si>
    <t>01-5270-1840</t>
  </si>
  <si>
    <t>01-5270-1859</t>
  </si>
  <si>
    <t>01-5270-1868</t>
  </si>
  <si>
    <t>01-5270-1877</t>
  </si>
  <si>
    <t>01-5270-1886</t>
  </si>
  <si>
    <t>01-5270-1895</t>
  </si>
  <si>
    <t>01-5270-1902</t>
  </si>
  <si>
    <t>01-5270-1911</t>
  </si>
  <si>
    <t>01-5270-1920</t>
  </si>
  <si>
    <t>01-5270-1939</t>
  </si>
  <si>
    <t>01-5270-1948</t>
  </si>
  <si>
    <t>01-5270-1957</t>
  </si>
  <si>
    <t>01-5270-1966</t>
  </si>
  <si>
    <t>01-5270-1975</t>
  </si>
  <si>
    <t>01-5270-1984</t>
  </si>
  <si>
    <t>01-5270-1993</t>
  </si>
  <si>
    <t>01-4172-4007</t>
  </si>
  <si>
    <t>01-0295-6464</t>
  </si>
  <si>
    <t>01-0295-6473</t>
  </si>
  <si>
    <t>01-0295-6491</t>
  </si>
  <si>
    <t>01-0295-6482</t>
  </si>
  <si>
    <t>굿모닝빌</t>
    <phoneticPr fontId="9" type="noConversion"/>
  </si>
  <si>
    <t>굿모닝</t>
  </si>
  <si>
    <t>국민 411-24-0002-521 윤정연</t>
  </si>
  <si>
    <t>01-4050-6691</t>
  </si>
  <si>
    <t>01-4050-6682</t>
  </si>
  <si>
    <t>01-4050-6673</t>
  </si>
  <si>
    <t>01-4050-6655</t>
  </si>
  <si>
    <t>01-4050-6735</t>
  </si>
  <si>
    <t>01-4050-6744</t>
  </si>
  <si>
    <t>01-4050-6708</t>
  </si>
  <si>
    <t>01-4050-6771</t>
  </si>
  <si>
    <t>01-4050-6762</t>
  </si>
  <si>
    <t>01-4050-6726</t>
  </si>
  <si>
    <t>01-4050-6717</t>
  </si>
  <si>
    <t>01-4050-6753</t>
  </si>
  <si>
    <t>모닝빌</t>
    <phoneticPr fontId="9" type="noConversion"/>
  </si>
  <si>
    <t>모닝</t>
  </si>
  <si>
    <t>01-0473-7297</t>
  </si>
  <si>
    <t>01-0473-7288</t>
  </si>
  <si>
    <t>01-0473-7279</t>
  </si>
  <si>
    <t>01-0473-7260</t>
  </si>
  <si>
    <t>01-0473-7251</t>
  </si>
  <si>
    <t>01-0473-7340</t>
  </si>
  <si>
    <t>01-0473-7331</t>
  </si>
  <si>
    <t>01-0473-7322</t>
  </si>
  <si>
    <t>01-0473-7313</t>
  </si>
  <si>
    <t>01-0473-7304</t>
  </si>
  <si>
    <t>01-0473-7395</t>
  </si>
  <si>
    <t>01-0473-7386</t>
  </si>
  <si>
    <t>모닝</t>
    <phoneticPr fontId="9" type="noConversion"/>
  </si>
  <si>
    <t>01-0473-7377</t>
  </si>
  <si>
    <t>01-0473-7368</t>
  </si>
  <si>
    <t>01-5357-5002</t>
  </si>
  <si>
    <t>에덴빌</t>
    <phoneticPr fontId="9" type="noConversion"/>
  </si>
  <si>
    <t>에덴</t>
  </si>
  <si>
    <t>01-1331-7839</t>
  </si>
  <si>
    <t>01-1331-7900</t>
  </si>
  <si>
    <t>01-1331-7893</t>
  </si>
  <si>
    <t>01-1331-7884</t>
  </si>
  <si>
    <t>01-1331-7875</t>
  </si>
  <si>
    <t>01-1331-7946</t>
  </si>
  <si>
    <t>01-1331-7937</t>
  </si>
  <si>
    <t>01-1331-7928</t>
  </si>
  <si>
    <t>01-1331-7919</t>
  </si>
  <si>
    <t>와이원빈티지</t>
    <phoneticPr fontId="9" type="noConversion"/>
  </si>
  <si>
    <t>Y</t>
  </si>
  <si>
    <t>농협 352-06081-947-53 유일한</t>
  </si>
  <si>
    <t>01-5378-6374</t>
  </si>
  <si>
    <t>농협 351-1021-2523-63 유병수</t>
  </si>
  <si>
    <t>01-5378-6383</t>
  </si>
  <si>
    <t>01-5378-6392</t>
  </si>
  <si>
    <t>01-5378-6409</t>
  </si>
  <si>
    <t>01-5378-6418</t>
  </si>
  <si>
    <t>01-5378-6427</t>
  </si>
  <si>
    <t>01-5378-6436</t>
  </si>
  <si>
    <t>01-5378-6445</t>
  </si>
  <si>
    <t>01-5378-6454</t>
  </si>
  <si>
    <t>01-5378-6463</t>
  </si>
  <si>
    <t>농협 352-06081-947-53 유일한</t>
    <phoneticPr fontId="2" type="noConversion"/>
  </si>
  <si>
    <t>01-5378-6472</t>
  </si>
  <si>
    <t>01-0476-0279</t>
  </si>
  <si>
    <t>01-0476-0251</t>
  </si>
  <si>
    <t>01-0476-0260</t>
  </si>
  <si>
    <t>한스텔</t>
    <phoneticPr fontId="9" type="noConversion"/>
  </si>
  <si>
    <t>B01</t>
  </si>
  <si>
    <t>한스</t>
  </si>
  <si>
    <t>01-0649-5837</t>
  </si>
  <si>
    <t>01-0649-5873</t>
  </si>
  <si>
    <t>B03</t>
  </si>
  <si>
    <t>01-0649-5917</t>
  </si>
  <si>
    <t>B04</t>
  </si>
  <si>
    <t>01-0649-5962</t>
  </si>
  <si>
    <t>01-0649-5846</t>
  </si>
  <si>
    <t>01-0649-5882</t>
  </si>
  <si>
    <t>01-0649-5935</t>
  </si>
  <si>
    <t>01-0649-5971</t>
  </si>
  <si>
    <t>01-0649-5855</t>
  </si>
  <si>
    <t>01-0649-5891</t>
  </si>
  <si>
    <t>01-0649-5944</t>
  </si>
  <si>
    <t>01-0649-5980</t>
  </si>
  <si>
    <t>01-0649-5864</t>
  </si>
  <si>
    <t>01-0649-5908</t>
  </si>
  <si>
    <t>01-0649-5953</t>
  </si>
  <si>
    <t>01-5192-8402</t>
  </si>
  <si>
    <t>지앤지</t>
  </si>
  <si>
    <t>01-4200-2810</t>
  </si>
  <si>
    <t>01-4200-2829</t>
  </si>
  <si>
    <t>01-4200-2838</t>
  </si>
  <si>
    <t>01-4200-2847</t>
  </si>
  <si>
    <t>01-4200-2856</t>
  </si>
  <si>
    <t>01-4200-2865</t>
  </si>
  <si>
    <t>01-4200-2874</t>
  </si>
  <si>
    <t>01-4200-2883</t>
  </si>
  <si>
    <t>01-4200-2794</t>
  </si>
  <si>
    <t>풍림빌딩</t>
    <phoneticPr fontId="9" type="noConversion"/>
  </si>
  <si>
    <t>풍림</t>
    <phoneticPr fontId="2" type="noConversion"/>
  </si>
  <si>
    <t>우리 1005-303-069287 이명필</t>
  </si>
  <si>
    <t>2층</t>
  </si>
  <si>
    <t>4층</t>
  </si>
  <si>
    <t>토브미하우스</t>
    <phoneticPr fontId="9" type="noConversion"/>
  </si>
  <si>
    <t>토브미</t>
  </si>
  <si>
    <t>01-5487-1635</t>
  </si>
  <si>
    <t>01-5487-1644</t>
  </si>
  <si>
    <t>01-5487-1653</t>
  </si>
  <si>
    <t>01-5487-1662</t>
  </si>
  <si>
    <t>01-5487-1671</t>
  </si>
  <si>
    <t>01-5487-1680</t>
  </si>
  <si>
    <t>01-5487-1699</t>
  </si>
  <si>
    <t>01-5596-9582</t>
  </si>
  <si>
    <t>22537399(402)</t>
  </si>
  <si>
    <t>리트코하우스</t>
    <phoneticPr fontId="9" type="noConversion"/>
  </si>
  <si>
    <t>리트코</t>
  </si>
  <si>
    <t>01-5681-7600</t>
  </si>
  <si>
    <t>01-5681-7619</t>
  </si>
  <si>
    <t>01-5681-7628</t>
  </si>
  <si>
    <t>01-5681-7637</t>
  </si>
  <si>
    <t>01-5681-7646</t>
  </si>
  <si>
    <t>01-5681-7655</t>
  </si>
  <si>
    <t>01-5681-7664</t>
  </si>
  <si>
    <t>01-5681-7673</t>
  </si>
  <si>
    <t>01-5681-7682</t>
  </si>
  <si>
    <t>01-5681-7691</t>
  </si>
  <si>
    <t>01-5681-7708</t>
  </si>
  <si>
    <t>01-5681-7717</t>
  </si>
  <si>
    <t>01-5681-7726</t>
  </si>
  <si>
    <t>01-5681-7735</t>
  </si>
  <si>
    <t>01-5681-7744</t>
  </si>
  <si>
    <t>01-5681-7753</t>
  </si>
  <si>
    <t>01-5681-7762</t>
  </si>
  <si>
    <t>01-5681-7780</t>
  </si>
  <si>
    <t>모던하우스</t>
    <phoneticPr fontId="9" type="noConversion"/>
  </si>
  <si>
    <t>우리 1002-061-870442 김영수</t>
  </si>
  <si>
    <t>01-4698-2049</t>
  </si>
  <si>
    <t>01-4698-2058</t>
  </si>
  <si>
    <t>01-4698-2067</t>
  </si>
  <si>
    <t>01-5819-2237</t>
  </si>
  <si>
    <t>01-4698-2085</t>
  </si>
  <si>
    <t>01-4698-2094</t>
  </si>
  <si>
    <t>01-4698-2101</t>
  </si>
  <si>
    <t>01-4698-2110</t>
  </si>
  <si>
    <t>01-4698-2129</t>
  </si>
  <si>
    <t>01-4698-2138</t>
  </si>
  <si>
    <t>01-4698-2147</t>
  </si>
  <si>
    <t>01-4698-2156</t>
  </si>
  <si>
    <t>01-4698-2165</t>
  </si>
  <si>
    <t>01-4698-2174</t>
  </si>
  <si>
    <t>01-4698-2183</t>
  </si>
  <si>
    <t>01-4698-2192</t>
  </si>
  <si>
    <t>01-4698-2209</t>
  </si>
  <si>
    <t>01-0318-7604</t>
  </si>
  <si>
    <t>01-0318-7613</t>
  </si>
  <si>
    <t>모던라이프</t>
    <phoneticPr fontId="9" type="noConversion"/>
  </si>
  <si>
    <t>신한 110-524-509708 김영수</t>
  </si>
  <si>
    <t>01-5337-3747</t>
  </si>
  <si>
    <t>01-5337-4041</t>
  </si>
  <si>
    <t>01-5337-4050</t>
  </si>
  <si>
    <t>01-5337-4069</t>
  </si>
  <si>
    <t>01-5337-4078</t>
  </si>
  <si>
    <t>01-5337-4087</t>
  </si>
  <si>
    <t>01-5337-4096</t>
  </si>
  <si>
    <t>01-5337-4103</t>
  </si>
  <si>
    <t>01-5337-4112</t>
  </si>
  <si>
    <t>01-5337-4121</t>
  </si>
  <si>
    <t>01-5337-4130</t>
  </si>
  <si>
    <t>01-5337-4149</t>
  </si>
  <si>
    <t>01-5337-4158</t>
  </si>
  <si>
    <t>01-5337-4167</t>
  </si>
  <si>
    <t>01-5337-4176</t>
  </si>
  <si>
    <t>01-5337-3729</t>
  </si>
  <si>
    <t>01-1172-0264</t>
  </si>
  <si>
    <t>01-1172-0246</t>
    <phoneticPr fontId="2" type="noConversion"/>
  </si>
  <si>
    <t>01-1172-0255</t>
    <phoneticPr fontId="2" type="noConversion"/>
  </si>
  <si>
    <t>01-6010-9360</t>
    <phoneticPr fontId="2" type="noConversion"/>
  </si>
  <si>
    <t>1층</t>
    <phoneticPr fontId="2" type="noConversion"/>
  </si>
  <si>
    <t>농협 301-0354-0534-51 티투지</t>
  </si>
  <si>
    <t>2층</t>
    <phoneticPr fontId="2" type="noConversion"/>
  </si>
  <si>
    <t>3층</t>
    <phoneticPr fontId="2" type="noConversion"/>
  </si>
  <si>
    <t>01-5544-1866</t>
  </si>
  <si>
    <t>01-5544-1875</t>
  </si>
  <si>
    <t>01-5544-1884</t>
  </si>
  <si>
    <t>01-5544-1893</t>
  </si>
  <si>
    <t>01-5544-1900</t>
  </si>
  <si>
    <t>01-5544-1919</t>
  </si>
  <si>
    <t>우리 016-26870-102-101 양승식</t>
    <phoneticPr fontId="2" type="noConversion"/>
  </si>
  <si>
    <t>4층</t>
    <phoneticPr fontId="2" type="noConversion"/>
  </si>
  <si>
    <t>5층</t>
    <phoneticPr fontId="2" type="noConversion"/>
  </si>
  <si>
    <t>하나 287-910045-78304 우영인벤트</t>
    <phoneticPr fontId="2" type="noConversion"/>
  </si>
  <si>
    <t>SC 358-20-010412 심재훈</t>
    <phoneticPr fontId="2" type="noConversion"/>
  </si>
  <si>
    <t>4-5층</t>
    <phoneticPr fontId="2" type="noConversion"/>
  </si>
  <si>
    <t>서연빌</t>
    <phoneticPr fontId="2" type="noConversion"/>
  </si>
  <si>
    <t>SC 357-20-233002 조규희</t>
    <phoneticPr fontId="2" type="noConversion"/>
  </si>
  <si>
    <t>더힐하우스101동</t>
    <phoneticPr fontId="2" type="noConversion"/>
  </si>
  <si>
    <t>01-2027-8207 공용</t>
  </si>
  <si>
    <t>더힐하우스102동</t>
    <phoneticPr fontId="2" type="noConversion"/>
  </si>
  <si>
    <t>01-2027-8127 공용</t>
  </si>
  <si>
    <t>더힐하우스103동</t>
    <phoneticPr fontId="2" type="noConversion"/>
  </si>
  <si>
    <t>01-2027-8136 공용</t>
    <phoneticPr fontId="2" type="noConversion"/>
  </si>
  <si>
    <t>더힐하우스104동</t>
    <phoneticPr fontId="2" type="noConversion"/>
  </si>
  <si>
    <t>01-2027-8145 공용</t>
  </si>
  <si>
    <t>주차만</t>
    <phoneticPr fontId="9" type="noConversion"/>
  </si>
  <si>
    <t>01-6128-7308</t>
  </si>
  <si>
    <t>01-0645-8574</t>
  </si>
  <si>
    <t>01-0645-8583</t>
  </si>
  <si>
    <t>01-0645-8592</t>
  </si>
  <si>
    <t>01-5855-2712</t>
  </si>
  <si>
    <t>01-0645-8618</t>
  </si>
  <si>
    <t>01-0645-8654</t>
  </si>
  <si>
    <t>01-0645-8645</t>
  </si>
  <si>
    <t>01-0645-8636</t>
  </si>
  <si>
    <t>01-0645-8627</t>
  </si>
  <si>
    <t>01-6128-7326</t>
  </si>
  <si>
    <t>01-6128-7335</t>
  </si>
  <si>
    <t>01-6106-1710</t>
  </si>
  <si>
    <t>01-6106-1701</t>
  </si>
  <si>
    <t>01-6128-7353</t>
  </si>
  <si>
    <t>01-6106-1685</t>
  </si>
  <si>
    <t>문화빌딩</t>
    <phoneticPr fontId="9" type="noConversion"/>
  </si>
  <si>
    <t xml:space="preserve"> 국민 827-90-204304-400 이정은</t>
    <phoneticPr fontId="9" type="noConversion"/>
  </si>
  <si>
    <t>상가</t>
    <phoneticPr fontId="9" type="noConversion"/>
  </si>
  <si>
    <t>자동</t>
    <phoneticPr fontId="9" type="noConversion"/>
  </si>
  <si>
    <t>1층</t>
    <phoneticPr fontId="9" type="noConversion"/>
  </si>
  <si>
    <t>036462451</t>
  </si>
  <si>
    <t>2층</t>
    <phoneticPr fontId="9" type="noConversion"/>
  </si>
  <si>
    <t>3층</t>
    <phoneticPr fontId="9" type="noConversion"/>
  </si>
  <si>
    <t>4층</t>
    <phoneticPr fontId="9" type="noConversion"/>
  </si>
  <si>
    <t>5층</t>
    <phoneticPr fontId="9" type="noConversion"/>
  </si>
  <si>
    <t>어반그레이</t>
    <phoneticPr fontId="2" type="noConversion"/>
  </si>
  <si>
    <t>집현전빌딩</t>
    <phoneticPr fontId="2" type="noConversion"/>
  </si>
  <si>
    <t>하나 210-910320-54007 조재현</t>
    <phoneticPr fontId="2" type="noConversion"/>
  </si>
  <si>
    <t>5층</t>
  </si>
  <si>
    <t>6층</t>
  </si>
  <si>
    <t>1,2층</t>
    <phoneticPr fontId="2" type="noConversion"/>
  </si>
  <si>
    <t>3,4층</t>
    <phoneticPr fontId="2" type="noConversion"/>
  </si>
  <si>
    <t>7층</t>
    <phoneticPr fontId="2" type="noConversion"/>
  </si>
  <si>
    <t>8층</t>
    <phoneticPr fontId="2" type="noConversion"/>
  </si>
  <si>
    <t>옥상1</t>
    <phoneticPr fontId="2" type="noConversion"/>
  </si>
  <si>
    <t>옥상2</t>
    <phoneticPr fontId="2" type="noConversion"/>
  </si>
  <si>
    <t>옥상3</t>
    <phoneticPr fontId="2" type="noConversion"/>
  </si>
  <si>
    <t>01-5946-0711</t>
  </si>
  <si>
    <t>01-6141-7329</t>
  </si>
  <si>
    <t>01-1008-6433</t>
  </si>
  <si>
    <t>01-6208-9306</t>
  </si>
  <si>
    <t>01-1008-6451</t>
  </si>
  <si>
    <t>국민 811-4010-4223-628 박신호(양지빌딩)</t>
    <phoneticPr fontId="2" type="noConversion"/>
  </si>
  <si>
    <t>국민 408-80-1013-08463 이건영</t>
    <phoneticPr fontId="2" type="noConversion"/>
  </si>
  <si>
    <t>기업 031-0686-2504-014 이상효</t>
    <phoneticPr fontId="2" type="noConversion"/>
  </si>
  <si>
    <t>아직계좌없음</t>
  </si>
  <si>
    <t>일반</t>
  </si>
  <si>
    <t>에이스빌딩</t>
  </si>
  <si>
    <t>국민 843101-04-417286 글로벌쉐어</t>
  </si>
  <si>
    <t>국민 843101-04-417343 글로벌쉐어</t>
  </si>
  <si>
    <t>8층</t>
  </si>
  <si>
    <t>9층</t>
  </si>
  <si>
    <t>옥상1</t>
  </si>
  <si>
    <t>옥상2</t>
  </si>
  <si>
    <t>2-3층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</si>
</sst>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yy\/mm\/dd"/>
    <numFmt numFmtId="177" formatCode="mm&quot;월&quot;\ dd&quot;일&quot;"/>
    <numFmt numFmtId="178" formatCode="[$-F800]dddd\,\ mmmm\ dd\,\ yyyy"/>
    <numFmt numFmtId="179" formatCode="0_);[Red]\(0\)"/>
    <numFmt numFmtId="180" formatCode="#&quot;호&quot;"/>
    <numFmt numFmtId="181" formatCode="#,##0_ "/>
    <numFmt numFmtId="182" formatCode="_ * #,##0.00_ ;_ * \-#,##0.00_ ;_ * &quot;-&quot;_ ;_ @_ "/>
    <numFmt numFmtId="183" formatCode="_ * #,##0_ ;_ * \-#,##0_ ;_ * &quot;-&quot;_ ;_ @_ "/>
    <numFmt numFmtId="184" formatCode="_ * #,##0.0_ ;_ * \-#,##0.0_ ;_ * &quot;-&quot;_ ;_ @_ "/>
    <numFmt numFmtId="185" formatCode="0.0%"/>
  </numFmts>
  <fonts count="6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u/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8"/>
      <color rgb="FFFF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9"/>
      <color rgb="FF9C0006"/>
      <name val="맑은 고딕"/>
      <family val="3"/>
      <charset val="129"/>
      <scheme val="minor"/>
    </font>
    <font>
      <b/>
      <sz val="9"/>
      <color rgb="FF9C5700"/>
      <name val="맑은 고딕"/>
      <family val="3"/>
      <charset val="129"/>
      <scheme val="minor"/>
    </font>
    <font>
      <b/>
      <sz val="9"/>
      <color rgb="FF006100"/>
      <name val="맑은 고딕"/>
      <family val="3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9C5700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scheme val="major"/>
    </font>
    <font>
      <b/>
      <sz val="8"/>
      <color rgb="FFFF0000"/>
      <name val="맑은 고딕"/>
      <family val="3"/>
      <charset val="129"/>
      <scheme val="minor"/>
    </font>
    <font>
      <sz val="8"/>
      <color theme="2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 applyNumberFormat="0" applyFont="0" applyFill="0" applyBorder="0" applyAlignment="0" applyProtection="0"/>
    <xf numFmtId="0" fontId="25" fillId="0" borderId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</cellStyleXfs>
  <cellXfs count="54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41" fontId="4" fillId="0" borderId="0" xfId="1" applyFont="1">
      <alignment vertical="center"/>
    </xf>
    <xf numFmtId="0" fontId="3" fillId="3" borderId="4" xfId="1" applyNumberFormat="1" applyFont="1" applyFill="1" applyBorder="1" applyAlignment="1">
      <alignment horizontal="center" vertical="center" wrapText="1"/>
    </xf>
    <xf numFmtId="0" fontId="3" fillId="3" borderId="4" xfId="1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7" fontId="7" fillId="7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6" borderId="2" xfId="0" quotePrefix="1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7" fillId="11" borderId="3" xfId="0" applyFont="1" applyFill="1" applyBorder="1" applyAlignment="1" applyProtection="1">
      <alignment horizontal="center" vertical="center"/>
      <protection locked="0"/>
    </xf>
    <xf numFmtId="0" fontId="7" fillId="11" borderId="1" xfId="0" applyFont="1" applyFill="1" applyBorder="1" applyAlignment="1" applyProtection="1">
      <alignment horizontal="center" vertical="center"/>
      <protection locked="0"/>
    </xf>
    <xf numFmtId="177" fontId="7" fillId="11" borderId="3" xfId="0" applyNumberFormat="1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locked="0"/>
    </xf>
    <xf numFmtId="0" fontId="7" fillId="11" borderId="6" xfId="0" applyFont="1" applyFill="1" applyBorder="1" applyAlignment="1" applyProtection="1">
      <alignment horizontal="center" vertical="center"/>
      <protection locked="0"/>
    </xf>
    <xf numFmtId="0" fontId="7" fillId="11" borderId="7" xfId="0" applyFont="1" applyFill="1" applyBorder="1" applyAlignment="1" applyProtection="1">
      <alignment horizontal="center" vertical="center"/>
      <protection locked="0"/>
    </xf>
    <xf numFmtId="0" fontId="7" fillId="11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 applyProtection="1">
      <alignment horizontal="center" vertical="center"/>
      <protection locked="0"/>
    </xf>
    <xf numFmtId="0" fontId="7" fillId="11" borderId="9" xfId="0" applyFont="1" applyFill="1" applyBorder="1" applyAlignment="1" applyProtection="1">
      <alignment horizontal="center" vertical="center"/>
      <protection locked="0"/>
    </xf>
    <xf numFmtId="0" fontId="7" fillId="11" borderId="10" xfId="0" applyFont="1" applyFill="1" applyBorder="1" applyAlignment="1" applyProtection="1">
      <alignment horizontal="center" vertical="center"/>
      <protection locked="0"/>
    </xf>
    <xf numFmtId="0" fontId="7" fillId="11" borderId="12" xfId="0" applyFont="1" applyFill="1" applyBorder="1" applyAlignment="1" applyProtection="1">
      <alignment horizontal="center" vertical="center"/>
      <protection locked="0"/>
    </xf>
    <xf numFmtId="0" fontId="7" fillId="11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41" fontId="4" fillId="0" borderId="0" xfId="1" applyFont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shrinkToFit="1"/>
    </xf>
    <xf numFmtId="0" fontId="15" fillId="0" borderId="14" xfId="0" applyFont="1" applyBorder="1" applyAlignment="1">
      <alignment vertical="center" shrinkToFit="1"/>
    </xf>
    <xf numFmtId="176" fontId="7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41" fontId="4" fillId="0" borderId="14" xfId="1" applyFont="1" applyBorder="1" applyAlignment="1">
      <alignment horizontal="center" vertical="center"/>
    </xf>
    <xf numFmtId="41" fontId="4" fillId="0" borderId="14" xfId="1" applyFont="1" applyBorder="1">
      <alignment vertical="center"/>
    </xf>
    <xf numFmtId="0" fontId="4" fillId="0" borderId="14" xfId="0" applyFont="1" applyBorder="1">
      <alignment vertical="center"/>
    </xf>
    <xf numFmtId="0" fontId="4" fillId="12" borderId="14" xfId="0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shrinkToFit="1"/>
    </xf>
    <xf numFmtId="179" fontId="3" fillId="0" borderId="1" xfId="0" applyNumberFormat="1" applyFont="1" applyBorder="1" applyAlignment="1">
      <alignment horizontal="center" vertical="center"/>
    </xf>
    <xf numFmtId="41" fontId="3" fillId="14" borderId="1" xfId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41" fontId="4" fillId="14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82" fontId="26" fillId="0" borderId="15" xfId="5" applyNumberFormat="1" applyFont="1" applyBorder="1">
      <alignment vertical="center"/>
    </xf>
    <xf numFmtId="182" fontId="26" fillId="0" borderId="0" xfId="5" applyNumberFormat="1" applyFont="1">
      <alignment vertical="center"/>
    </xf>
    <xf numFmtId="183" fontId="27" fillId="17" borderId="1" xfId="5" applyNumberFormat="1" applyFont="1" applyFill="1" applyBorder="1" applyAlignment="1">
      <alignment horizontal="center" vertical="center" wrapText="1"/>
    </xf>
    <xf numFmtId="183" fontId="27" fillId="17" borderId="1" xfId="5" applyNumberFormat="1" applyFont="1" applyFill="1" applyBorder="1" applyAlignment="1">
      <alignment horizontal="center" vertical="center"/>
    </xf>
    <xf numFmtId="182" fontId="27" fillId="17" borderId="1" xfId="5" applyNumberFormat="1" applyFont="1" applyFill="1" applyBorder="1" applyAlignment="1">
      <alignment horizontal="center" vertical="center"/>
    </xf>
    <xf numFmtId="184" fontId="27" fillId="17" borderId="4" xfId="5" applyNumberFormat="1" applyFont="1" applyFill="1" applyBorder="1" applyAlignment="1">
      <alignment horizontal="center" vertical="center"/>
    </xf>
    <xf numFmtId="182" fontId="28" fillId="17" borderId="1" xfId="5" applyNumberFormat="1" applyFont="1" applyFill="1" applyBorder="1" applyAlignment="1">
      <alignment horizontal="center" vertical="center"/>
    </xf>
    <xf numFmtId="1" fontId="29" fillId="0" borderId="1" xfId="5" applyNumberFormat="1" applyFont="1" applyBorder="1" applyAlignment="1">
      <alignment horizontal="center" vertical="center"/>
    </xf>
    <xf numFmtId="183" fontId="29" fillId="0" borderId="1" xfId="5" applyNumberFormat="1" applyFont="1" applyBorder="1">
      <alignment vertical="center"/>
    </xf>
    <xf numFmtId="41" fontId="29" fillId="0" borderId="1" xfId="5" applyFont="1" applyBorder="1">
      <alignment vertical="center"/>
    </xf>
    <xf numFmtId="0" fontId="30" fillId="2" borderId="0" xfId="3" applyFont="1" applyFill="1" applyAlignment="1">
      <alignment vertical="center"/>
    </xf>
    <xf numFmtId="0" fontId="31" fillId="0" borderId="0" xfId="3" applyFont="1" applyAlignment="1">
      <alignment vertical="center"/>
    </xf>
    <xf numFmtId="0" fontId="32" fillId="0" borderId="0" xfId="3" applyFont="1" applyAlignment="1">
      <alignment vertical="center"/>
    </xf>
    <xf numFmtId="0" fontId="32" fillId="0" borderId="0" xfId="3" applyFont="1" applyAlignment="1">
      <alignment horizontal="center" vertical="center"/>
    </xf>
    <xf numFmtId="0" fontId="33" fillId="2" borderId="0" xfId="2" applyFont="1" applyFill="1" applyAlignment="1" applyProtection="1">
      <alignment horizontal="left" vertical="center"/>
    </xf>
    <xf numFmtId="0" fontId="33" fillId="2" borderId="0" xfId="2" applyFont="1" applyFill="1" applyAlignment="1" applyProtection="1">
      <alignment horizontal="center" vertical="center"/>
    </xf>
    <xf numFmtId="0" fontId="30" fillId="2" borderId="0" xfId="2" applyFont="1" applyFill="1" applyAlignment="1" applyProtection="1">
      <alignment vertical="center"/>
    </xf>
    <xf numFmtId="0" fontId="30" fillId="2" borderId="16" xfId="2" applyFont="1" applyFill="1" applyBorder="1" applyAlignment="1" applyProtection="1">
      <alignment vertical="center"/>
    </xf>
    <xf numFmtId="0" fontId="37" fillId="15" borderId="1" xfId="3" applyFont="1" applyFill="1" applyBorder="1" applyAlignment="1">
      <alignment horizontal="center" vertical="center"/>
    </xf>
    <xf numFmtId="0" fontId="37" fillId="0" borderId="1" xfId="3" applyFont="1" applyBorder="1" applyAlignment="1">
      <alignment vertical="center"/>
    </xf>
    <xf numFmtId="176" fontId="37" fillId="16" borderId="1" xfId="3" applyNumberFormat="1" applyFont="1" applyFill="1" applyBorder="1" applyAlignment="1" applyProtection="1">
      <alignment horizontal="center" vertical="center"/>
      <protection locked="0"/>
    </xf>
    <xf numFmtId="176" fontId="37" fillId="2" borderId="1" xfId="3" applyNumberFormat="1" applyFont="1" applyFill="1" applyBorder="1" applyAlignment="1">
      <alignment horizontal="center" vertical="center"/>
    </xf>
    <xf numFmtId="176" fontId="37" fillId="19" borderId="1" xfId="3" applyNumberFormat="1" applyFont="1" applyFill="1" applyBorder="1" applyAlignment="1">
      <alignment horizontal="center" vertical="center"/>
    </xf>
    <xf numFmtId="179" fontId="29" fillId="16" borderId="1" xfId="3" applyNumberFormat="1" applyFont="1" applyFill="1" applyBorder="1" applyAlignment="1" applyProtection="1">
      <alignment horizontal="center" vertical="center"/>
      <protection locked="0"/>
    </xf>
    <xf numFmtId="0" fontId="37" fillId="0" borderId="1" xfId="3" applyFont="1" applyBorder="1" applyAlignment="1">
      <alignment horizontal="center" vertical="center"/>
    </xf>
    <xf numFmtId="0" fontId="30" fillId="4" borderId="1" xfId="2" applyFont="1" applyFill="1" applyBorder="1" applyAlignment="1" applyProtection="1">
      <alignment horizontal="center" vertical="center" wrapText="1"/>
    </xf>
    <xf numFmtId="179" fontId="30" fillId="2" borderId="1" xfId="2" applyNumberFormat="1" applyFont="1" applyFill="1" applyBorder="1" applyAlignment="1" applyProtection="1">
      <alignment vertical="center"/>
    </xf>
    <xf numFmtId="179" fontId="30" fillId="2" borderId="1" xfId="2" applyNumberFormat="1" applyFont="1" applyFill="1" applyBorder="1" applyAlignment="1">
      <alignment vertical="center"/>
    </xf>
    <xf numFmtId="0" fontId="37" fillId="16" borderId="1" xfId="3" applyFont="1" applyFill="1" applyBorder="1" applyAlignment="1" applyProtection="1">
      <alignment horizontal="center" vertical="center" wrapText="1"/>
      <protection locked="0"/>
    </xf>
    <xf numFmtId="0" fontId="36" fillId="2" borderId="0" xfId="2" applyFont="1" applyFill="1" applyAlignment="1" applyProtection="1">
      <alignment horizontal="left" vertical="center"/>
    </xf>
    <xf numFmtId="0" fontId="30" fillId="2" borderId="1" xfId="2" applyFont="1" applyFill="1" applyBorder="1" applyAlignment="1" applyProtection="1">
      <alignment horizontal="center" vertical="center"/>
    </xf>
    <xf numFmtId="41" fontId="30" fillId="2" borderId="1" xfId="2" applyNumberFormat="1" applyFont="1" applyFill="1" applyBorder="1" applyAlignment="1" applyProtection="1">
      <alignment vertical="center"/>
    </xf>
    <xf numFmtId="0" fontId="37" fillId="2" borderId="0" xfId="3" applyFont="1" applyFill="1" applyAlignment="1">
      <alignment vertical="center"/>
    </xf>
    <xf numFmtId="0" fontId="37" fillId="2" borderId="0" xfId="3" applyFont="1" applyFill="1" applyAlignment="1" applyProtection="1">
      <alignment horizontal="center" vertical="center"/>
      <protection locked="0"/>
    </xf>
    <xf numFmtId="0" fontId="37" fillId="2" borderId="0" xfId="3" applyFont="1" applyFill="1" applyAlignment="1">
      <alignment horizontal="center" vertical="center"/>
    </xf>
    <xf numFmtId="0" fontId="33" fillId="4" borderId="1" xfId="2" applyFont="1" applyFill="1" applyBorder="1" applyAlignment="1" applyProtection="1">
      <alignment horizontal="center" vertical="center"/>
    </xf>
    <xf numFmtId="0" fontId="37" fillId="16" borderId="1" xfId="3" applyFont="1" applyFill="1" applyBorder="1" applyAlignment="1" applyProtection="1">
      <alignment horizontal="center" vertical="center"/>
      <protection locked="0"/>
    </xf>
    <xf numFmtId="0" fontId="37" fillId="2" borderId="1" xfId="3" applyFont="1" applyFill="1" applyBorder="1" applyAlignment="1">
      <alignment vertical="center"/>
    </xf>
    <xf numFmtId="0" fontId="37" fillId="2" borderId="1" xfId="3" applyFont="1" applyFill="1" applyBorder="1" applyAlignment="1">
      <alignment horizontal="center" vertical="center"/>
    </xf>
    <xf numFmtId="0" fontId="38" fillId="0" borderId="0" xfId="3" applyFont="1" applyAlignment="1">
      <alignment vertical="center"/>
    </xf>
    <xf numFmtId="0" fontId="31" fillId="0" borderId="0" xfId="0" applyFont="1">
      <alignment vertical="center"/>
    </xf>
    <xf numFmtId="0" fontId="40" fillId="15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43" fontId="30" fillId="0" borderId="1" xfId="0" applyNumberFormat="1" applyFont="1" applyBorder="1">
      <alignment vertical="center"/>
    </xf>
    <xf numFmtId="0" fontId="30" fillId="2" borderId="0" xfId="2" applyFont="1" applyFill="1" applyAlignment="1">
      <alignment vertical="center"/>
    </xf>
    <xf numFmtId="0" fontId="30" fillId="3" borderId="1" xfId="2" applyFont="1" applyFill="1" applyBorder="1" applyAlignment="1">
      <alignment horizontal="center" vertical="center"/>
    </xf>
    <xf numFmtId="0" fontId="30" fillId="18" borderId="1" xfId="3" applyFont="1" applyFill="1" applyBorder="1" applyAlignment="1" applyProtection="1">
      <alignment horizontal="center" vertical="center"/>
      <protection locked="0"/>
    </xf>
    <xf numFmtId="177" fontId="30" fillId="18" borderId="2" xfId="2" applyNumberFormat="1" applyFont="1" applyFill="1" applyBorder="1" applyAlignment="1" applyProtection="1">
      <alignment vertical="center"/>
      <protection locked="0"/>
    </xf>
    <xf numFmtId="177" fontId="30" fillId="18" borderId="17" xfId="2" applyNumberFormat="1" applyFont="1" applyFill="1" applyBorder="1" applyAlignment="1" applyProtection="1">
      <alignment vertical="center"/>
      <protection locked="0"/>
    </xf>
    <xf numFmtId="177" fontId="30" fillId="18" borderId="3" xfId="2" applyNumberFormat="1" applyFont="1" applyFill="1" applyBorder="1" applyAlignment="1" applyProtection="1">
      <alignment vertical="center"/>
      <protection locked="0"/>
    </xf>
    <xf numFmtId="0" fontId="30" fillId="18" borderId="1" xfId="3" applyFont="1" applyFill="1" applyBorder="1" applyAlignment="1" applyProtection="1">
      <alignment vertical="center"/>
      <protection locked="0"/>
    </xf>
    <xf numFmtId="0" fontId="30" fillId="2" borderId="1" xfId="2" applyFont="1" applyFill="1" applyBorder="1" applyAlignment="1" applyProtection="1">
      <alignment vertical="center"/>
      <protection locked="0"/>
    </xf>
    <xf numFmtId="0" fontId="30" fillId="2" borderId="16" xfId="3" applyFont="1" applyFill="1" applyBorder="1" applyAlignment="1">
      <alignment vertical="center"/>
    </xf>
    <xf numFmtId="0" fontId="30" fillId="2" borderId="0" xfId="2" applyFont="1" applyFill="1" applyBorder="1" applyAlignment="1" applyProtection="1">
      <alignment horizontal="center" vertical="center"/>
    </xf>
    <xf numFmtId="0" fontId="30" fillId="12" borderId="1" xfId="2" applyFont="1" applyFill="1" applyBorder="1" applyAlignment="1" applyProtection="1">
      <alignment horizontal="center" vertical="center"/>
    </xf>
    <xf numFmtId="0" fontId="37" fillId="2" borderId="1" xfId="2" applyFont="1" applyFill="1" applyBorder="1" applyAlignment="1" applyProtection="1">
      <alignment horizontal="center" vertical="center"/>
    </xf>
    <xf numFmtId="176" fontId="37" fillId="2" borderId="1" xfId="2" applyNumberFormat="1" applyFont="1" applyFill="1" applyBorder="1" applyAlignment="1" applyProtection="1">
      <alignment horizontal="center" vertical="center"/>
    </xf>
    <xf numFmtId="41" fontId="30" fillId="2" borderId="1" xfId="1" applyFont="1" applyFill="1" applyBorder="1" applyAlignment="1" applyProtection="1">
      <alignment vertical="center"/>
    </xf>
    <xf numFmtId="41" fontId="30" fillId="2" borderId="2" xfId="2" applyNumberFormat="1" applyFont="1" applyFill="1" applyBorder="1" applyAlignment="1" applyProtection="1">
      <alignment vertical="center"/>
    </xf>
    <xf numFmtId="0" fontId="30" fillId="2" borderId="0" xfId="2" applyFont="1" applyFill="1" applyBorder="1" applyAlignment="1" applyProtection="1">
      <alignment vertical="center"/>
    </xf>
    <xf numFmtId="41" fontId="30" fillId="2" borderId="0" xfId="2" applyNumberFormat="1" applyFont="1" applyFill="1" applyBorder="1" applyAlignment="1" applyProtection="1">
      <alignment vertical="center"/>
    </xf>
    <xf numFmtId="41" fontId="30" fillId="2" borderId="0" xfId="1" applyFont="1" applyFill="1" applyBorder="1" applyAlignment="1" applyProtection="1">
      <alignment vertical="center"/>
    </xf>
    <xf numFmtId="41" fontId="30" fillId="2" borderId="0" xfId="1" applyFont="1" applyFill="1" applyBorder="1" applyAlignment="1" applyProtection="1">
      <alignment horizontal="right" vertical="center"/>
    </xf>
    <xf numFmtId="41" fontId="30" fillId="2" borderId="0" xfId="1" applyFont="1" applyFill="1" applyBorder="1" applyAlignment="1" applyProtection="1">
      <alignment horizontal="center" vertical="center"/>
    </xf>
    <xf numFmtId="41" fontId="30" fillId="2" borderId="0" xfId="2" applyNumberFormat="1" applyFont="1" applyFill="1" applyBorder="1" applyAlignment="1" applyProtection="1">
      <alignment horizontal="right" vertical="center"/>
    </xf>
    <xf numFmtId="41" fontId="30" fillId="2" borderId="0" xfId="4" applyFont="1" applyFill="1" applyBorder="1" applyAlignment="1">
      <alignment horizontal="center" vertical="center"/>
    </xf>
    <xf numFmtId="41" fontId="30" fillId="2" borderId="0" xfId="1" applyFont="1" applyFill="1" applyBorder="1" applyAlignment="1" applyProtection="1">
      <alignment horizontal="center" vertical="center"/>
      <protection locked="0"/>
    </xf>
    <xf numFmtId="0" fontId="39" fillId="2" borderId="0" xfId="2" applyFont="1" applyFill="1" applyBorder="1" applyAlignment="1" applyProtection="1">
      <alignment horizontal="distributed" vertical="center" indent="1"/>
    </xf>
    <xf numFmtId="181" fontId="41" fillId="2" borderId="0" xfId="2" applyNumberFormat="1" applyFont="1" applyFill="1" applyBorder="1" applyAlignment="1" applyProtection="1">
      <alignment horizontal="right" vertical="center"/>
    </xf>
    <xf numFmtId="41" fontId="30" fillId="2" borderId="0" xfId="4" applyFont="1" applyFill="1" applyBorder="1" applyAlignment="1" applyProtection="1">
      <alignment horizontal="center" vertical="center"/>
      <protection locked="0"/>
    </xf>
    <xf numFmtId="0" fontId="30" fillId="2" borderId="0" xfId="2" applyFont="1" applyFill="1" applyBorder="1" applyAlignment="1">
      <alignment horizontal="center" vertical="center"/>
    </xf>
    <xf numFmtId="0" fontId="31" fillId="2" borderId="0" xfId="3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0" fillId="0" borderId="0" xfId="3" applyFont="1" applyAlignment="1">
      <alignment vertical="center"/>
    </xf>
    <xf numFmtId="41" fontId="30" fillId="0" borderId="0" xfId="3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2" fillId="20" borderId="24" xfId="0" applyFont="1" applyFill="1" applyBorder="1" applyAlignment="1">
      <alignment horizontal="center" vertical="center"/>
    </xf>
    <xf numFmtId="0" fontId="43" fillId="21" borderId="24" xfId="0" applyFont="1" applyFill="1" applyBorder="1" applyAlignment="1">
      <alignment horizontal="center" vertical="center"/>
    </xf>
    <xf numFmtId="0" fontId="44" fillId="22" borderId="24" xfId="0" applyFont="1" applyFill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/>
    </xf>
    <xf numFmtId="14" fontId="50" fillId="0" borderId="25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27" xfId="1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vertical="center" shrinkToFit="1"/>
    </xf>
    <xf numFmtId="176" fontId="7" fillId="0" borderId="30" xfId="0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/>
    </xf>
    <xf numFmtId="41" fontId="4" fillId="0" borderId="30" xfId="1" applyFont="1" applyBorder="1" applyAlignment="1">
      <alignment horizontal="center" vertical="center"/>
    </xf>
    <xf numFmtId="41" fontId="4" fillId="0" borderId="30" xfId="1" applyFont="1" applyBorder="1">
      <alignment vertical="center"/>
    </xf>
    <xf numFmtId="0" fontId="4" fillId="0" borderId="30" xfId="0" applyFont="1" applyBorder="1">
      <alignment vertical="center"/>
    </xf>
    <xf numFmtId="0" fontId="7" fillId="0" borderId="0" xfId="0" applyFont="1" applyAlignment="1" applyProtection="1">
      <alignment horizontal="center" vertical="center"/>
      <protection locked="0"/>
    </xf>
    <xf numFmtId="0" fontId="19" fillId="12" borderId="1" xfId="0" applyFont="1" applyFill="1" applyBorder="1" applyAlignment="1" applyProtection="1">
      <alignment horizontal="center" vertical="center"/>
      <protection locked="0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>
      <alignment vertical="center"/>
    </xf>
    <xf numFmtId="0" fontId="4" fillId="0" borderId="0" xfId="0" applyFont="1" applyAlignment="1">
      <alignment horizontal="center" vertical="center" shrinkToFit="1"/>
    </xf>
    <xf numFmtId="0" fontId="7" fillId="7" borderId="4" xfId="0" applyFont="1" applyFill="1" applyBorder="1" applyAlignment="1" applyProtection="1">
      <alignment horizontal="center" vertical="center"/>
      <protection locked="0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horizontal="center" vertical="center"/>
      <protection locked="0"/>
    </xf>
    <xf numFmtId="0" fontId="4" fillId="0" borderId="35" xfId="0" applyFont="1" applyBorder="1">
      <alignment vertical="center"/>
    </xf>
    <xf numFmtId="0" fontId="5" fillId="11" borderId="36" xfId="0" applyFont="1" applyFill="1" applyBorder="1" applyAlignment="1">
      <alignment horizontal="center" vertical="center"/>
    </xf>
    <xf numFmtId="0" fontId="5" fillId="11" borderId="31" xfId="0" applyFont="1" applyFill="1" applyBorder="1" applyAlignment="1">
      <alignment horizontal="center" vertical="center"/>
    </xf>
    <xf numFmtId="0" fontId="7" fillId="4" borderId="5" xfId="0" applyFont="1" applyFill="1" applyBorder="1" applyProtection="1">
      <alignment vertical="center"/>
      <protection locked="0"/>
    </xf>
    <xf numFmtId="0" fontId="7" fillId="7" borderId="5" xfId="0" applyFont="1" applyFill="1" applyBorder="1" applyProtection="1">
      <alignment vertical="center"/>
      <protection locked="0"/>
    </xf>
    <xf numFmtId="41" fontId="4" fillId="7" borderId="0" xfId="0" applyNumberFormat="1" applyFont="1" applyFill="1" applyAlignment="1">
      <alignment horizontal="center" vertical="center" wrapText="1"/>
    </xf>
    <xf numFmtId="41" fontId="4" fillId="7" borderId="30" xfId="0" applyNumberFormat="1" applyFont="1" applyFill="1" applyBorder="1" applyAlignment="1">
      <alignment horizontal="center" vertical="center"/>
    </xf>
    <xf numFmtId="41" fontId="4" fillId="7" borderId="14" xfId="0" applyNumberFormat="1" applyFont="1" applyFill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center"/>
    </xf>
    <xf numFmtId="0" fontId="18" fillId="0" borderId="38" xfId="0" applyFont="1" applyBorder="1" applyAlignment="1">
      <alignment horizontal="center" vertical="top"/>
    </xf>
    <xf numFmtId="41" fontId="3" fillId="0" borderId="1" xfId="0" applyNumberFormat="1" applyFont="1" applyBorder="1" applyAlignment="1">
      <alignment horizontal="center" vertical="center"/>
    </xf>
    <xf numFmtId="179" fontId="5" fillId="11" borderId="1" xfId="0" applyNumberFormat="1" applyFont="1" applyFill="1" applyBorder="1" applyAlignment="1">
      <alignment horizontal="center" vertical="top"/>
    </xf>
    <xf numFmtId="179" fontId="5" fillId="11" borderId="1" xfId="1" applyNumberFormat="1" applyFont="1" applyFill="1" applyBorder="1" applyAlignment="1">
      <alignment horizontal="center" vertical="top"/>
    </xf>
    <xf numFmtId="41" fontId="4" fillId="14" borderId="1" xfId="1" applyFont="1" applyFill="1" applyBorder="1" applyAlignment="1">
      <alignment horizontal="right" vertical="center"/>
    </xf>
    <xf numFmtId="0" fontId="5" fillId="11" borderId="36" xfId="0" applyFont="1" applyFill="1" applyBorder="1" applyAlignment="1">
      <alignment horizontal="right" vertical="center"/>
    </xf>
    <xf numFmtId="41" fontId="4" fillId="3" borderId="30" xfId="1" applyFont="1" applyFill="1" applyBorder="1" applyAlignment="1">
      <alignment horizontal="right" vertical="center"/>
    </xf>
    <xf numFmtId="41" fontId="4" fillId="3" borderId="14" xfId="1" applyFont="1" applyFill="1" applyBorder="1" applyAlignment="1">
      <alignment horizontal="right" vertical="center"/>
    </xf>
    <xf numFmtId="41" fontId="4" fillId="0" borderId="0" xfId="1" applyFont="1" applyAlignment="1">
      <alignment horizontal="right" vertical="center"/>
    </xf>
    <xf numFmtId="0" fontId="19" fillId="0" borderId="14" xfId="0" applyFont="1" applyBorder="1" applyAlignment="1">
      <alignment vertical="center" wrapText="1"/>
    </xf>
    <xf numFmtId="0" fontId="4" fillId="0" borderId="14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0" fontId="7" fillId="23" borderId="1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shrinkToFit="1"/>
    </xf>
    <xf numFmtId="0" fontId="4" fillId="9" borderId="33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shrinkToFit="1"/>
    </xf>
    <xf numFmtId="41" fontId="4" fillId="0" borderId="30" xfId="1" applyFont="1" applyBorder="1" applyAlignment="1">
      <alignment horizontal="right" vertical="center"/>
    </xf>
    <xf numFmtId="41" fontId="4" fillId="0" borderId="14" xfId="1" applyFont="1" applyBorder="1" applyAlignment="1">
      <alignment horizontal="right" vertical="center"/>
    </xf>
    <xf numFmtId="0" fontId="4" fillId="23" borderId="33" xfId="0" applyFont="1" applyFill="1" applyBorder="1" applyAlignment="1">
      <alignment horizontal="center" vertical="center"/>
    </xf>
    <xf numFmtId="0" fontId="4" fillId="23" borderId="14" xfId="0" applyFont="1" applyFill="1" applyBorder="1" applyAlignment="1">
      <alignment horizontal="center" vertical="center"/>
    </xf>
    <xf numFmtId="0" fontId="4" fillId="23" borderId="14" xfId="0" applyFont="1" applyFill="1" applyBorder="1" applyAlignment="1">
      <alignment horizontal="center" vertical="center" shrinkToFit="1"/>
    </xf>
    <xf numFmtId="49" fontId="3" fillId="0" borderId="6" xfId="0" applyNumberFormat="1" applyFont="1" applyBorder="1" applyAlignment="1">
      <alignment horizontal="center" vertical="center"/>
    </xf>
    <xf numFmtId="176" fontId="3" fillId="14" borderId="6" xfId="0" applyNumberFormat="1" applyFont="1" applyFill="1" applyBorder="1" applyAlignment="1">
      <alignment horizontal="center" vertical="center"/>
    </xf>
    <xf numFmtId="179" fontId="5" fillId="11" borderId="6" xfId="0" applyNumberFormat="1" applyFont="1" applyFill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center"/>
    </xf>
    <xf numFmtId="176" fontId="4" fillId="14" borderId="6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79" fontId="5" fillId="11" borderId="2" xfId="0" applyNumberFormat="1" applyFont="1" applyFill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center"/>
    </xf>
    <xf numFmtId="41" fontId="3" fillId="14" borderId="3" xfId="1" applyFont="1" applyFill="1" applyBorder="1" applyAlignment="1">
      <alignment horizontal="center" vertical="center"/>
    </xf>
    <xf numFmtId="179" fontId="5" fillId="11" borderId="3" xfId="1" applyNumberFormat="1" applyFont="1" applyFill="1" applyBorder="1" applyAlignment="1">
      <alignment horizontal="center" vertical="top"/>
    </xf>
    <xf numFmtId="41" fontId="4" fillId="14" borderId="3" xfId="1" applyFont="1" applyFill="1" applyBorder="1" applyAlignment="1">
      <alignment horizontal="right" vertical="center"/>
    </xf>
    <xf numFmtId="41" fontId="4" fillId="14" borderId="3" xfId="1" applyFont="1" applyFill="1" applyBorder="1" applyAlignment="1">
      <alignment horizontal="center" vertical="center"/>
    </xf>
    <xf numFmtId="41" fontId="12" fillId="0" borderId="6" xfId="0" applyNumberFormat="1" applyFont="1" applyBorder="1" applyAlignment="1">
      <alignment horizontal="center" vertical="center" textRotation="255"/>
    </xf>
    <xf numFmtId="179" fontId="54" fillId="11" borderId="6" xfId="0" applyNumberFormat="1" applyFont="1" applyFill="1" applyBorder="1" applyAlignment="1">
      <alignment horizontal="center" vertical="top" textRotation="255"/>
    </xf>
    <xf numFmtId="0" fontId="19" fillId="0" borderId="6" xfId="0" applyFont="1" applyBorder="1" applyAlignment="1">
      <alignment vertical="center" textRotation="255"/>
    </xf>
    <xf numFmtId="0" fontId="55" fillId="0" borderId="6" xfId="0" applyFont="1" applyBorder="1" applyAlignment="1">
      <alignment vertical="center" textRotation="255"/>
    </xf>
    <xf numFmtId="41" fontId="4" fillId="0" borderId="14" xfId="1" applyFont="1" applyBorder="1" applyAlignment="1" applyProtection="1">
      <alignment horizontal="right" vertical="center"/>
    </xf>
    <xf numFmtId="0" fontId="4" fillId="12" borderId="33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0" fillId="12" borderId="1" xfId="0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/>
    </xf>
    <xf numFmtId="185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3" xfId="0" applyBorder="1">
      <alignment vertical="center"/>
    </xf>
    <xf numFmtId="0" fontId="0" fillId="0" borderId="4" xfId="0" applyBorder="1">
      <alignment vertical="center"/>
    </xf>
    <xf numFmtId="14" fontId="0" fillId="14" borderId="4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6" fillId="0" borderId="1" xfId="6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56" fillId="0" borderId="4" xfId="6" applyBorder="1" applyAlignment="1">
      <alignment horizontal="center" vertical="center"/>
    </xf>
    <xf numFmtId="0" fontId="56" fillId="0" borderId="6" xfId="6" applyBorder="1" applyAlignment="1">
      <alignment horizontal="center" vertical="center"/>
    </xf>
    <xf numFmtId="0" fontId="56" fillId="0" borderId="7" xfId="6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56" fillId="0" borderId="6" xfId="6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1" fontId="4" fillId="9" borderId="14" xfId="1" applyFont="1" applyFill="1" applyBorder="1" applyAlignment="1">
      <alignment horizontal="right" vertical="center"/>
    </xf>
    <xf numFmtId="41" fontId="4" fillId="23" borderId="14" xfId="1" applyFont="1" applyFill="1" applyBorder="1" applyAlignment="1">
      <alignment horizontal="right" vertical="center"/>
    </xf>
    <xf numFmtId="41" fontId="4" fillId="3" borderId="14" xfId="1" applyFont="1" applyFill="1" applyBorder="1" applyAlignment="1" applyProtection="1">
      <alignment horizontal="right" vertical="center"/>
    </xf>
    <xf numFmtId="41" fontId="4" fillId="3" borderId="14" xfId="1" applyFont="1" applyFill="1" applyBorder="1" applyAlignment="1">
      <alignment horizontal="right" vertical="center" wrapText="1"/>
    </xf>
    <xf numFmtId="176" fontId="4" fillId="14" borderId="14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179" fontId="48" fillId="9" borderId="5" xfId="0" applyNumberFormat="1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>
      <alignment vertical="center" wrapText="1"/>
    </xf>
    <xf numFmtId="176" fontId="4" fillId="9" borderId="14" xfId="0" applyNumberFormat="1" applyFont="1" applyFill="1" applyBorder="1" applyAlignment="1">
      <alignment horizontal="center" vertical="center"/>
    </xf>
    <xf numFmtId="177" fontId="19" fillId="0" borderId="14" xfId="0" applyNumberFormat="1" applyFont="1" applyBorder="1" applyAlignment="1">
      <alignment vertical="center" wrapText="1"/>
    </xf>
    <xf numFmtId="41" fontId="4" fillId="7" borderId="14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41" fontId="4" fillId="0" borderId="14" xfId="1" applyFont="1" applyFill="1" applyBorder="1" applyAlignment="1">
      <alignment horizontal="right" vertical="center"/>
    </xf>
    <xf numFmtId="41" fontId="4" fillId="0" borderId="14" xfId="1" applyFont="1" applyFill="1" applyBorder="1" applyAlignment="1">
      <alignment horizontal="center" vertical="center"/>
    </xf>
    <xf numFmtId="41" fontId="4" fillId="0" borderId="14" xfId="1" applyFont="1" applyFill="1" applyBorder="1">
      <alignment vertical="center"/>
    </xf>
    <xf numFmtId="0" fontId="4" fillId="0" borderId="3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vertical="center" textRotation="255"/>
    </xf>
    <xf numFmtId="49" fontId="4" fillId="0" borderId="12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7" fillId="0" borderId="14" xfId="0" applyFont="1" applyBorder="1">
      <alignment vertical="center"/>
    </xf>
    <xf numFmtId="0" fontId="58" fillId="0" borderId="14" xfId="0" applyFont="1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41" xfId="0" applyBorder="1">
      <alignment vertical="center"/>
    </xf>
    <xf numFmtId="0" fontId="17" fillId="0" borderId="14" xfId="0" applyFont="1" applyBorder="1" applyAlignment="1">
      <alignment horizontal="center" vertical="center" shrinkToFit="1"/>
    </xf>
    <xf numFmtId="0" fontId="4" fillId="2" borderId="33" xfId="0" applyFont="1" applyFill="1" applyBorder="1" applyAlignment="1">
      <alignment horizontal="center" vertical="center"/>
    </xf>
    <xf numFmtId="41" fontId="4" fillId="0" borderId="14" xfId="1" applyFont="1" applyBorder="1" applyAlignment="1" applyProtection="1">
      <alignment horizontal="center" vertical="center"/>
    </xf>
    <xf numFmtId="41" fontId="4" fillId="0" borderId="14" xfId="1" applyFont="1" applyBorder="1" applyProtection="1">
      <alignment vertical="center"/>
    </xf>
    <xf numFmtId="41" fontId="4" fillId="0" borderId="1" xfId="0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0" fontId="4" fillId="18" borderId="33" xfId="0" applyFont="1" applyFill="1" applyBorder="1" applyAlignment="1">
      <alignment horizontal="center" vertical="center"/>
    </xf>
    <xf numFmtId="0" fontId="4" fillId="18" borderId="14" xfId="0" applyFont="1" applyFill="1" applyBorder="1" applyAlignment="1">
      <alignment horizontal="center" vertical="center"/>
    </xf>
    <xf numFmtId="0" fontId="4" fillId="18" borderId="14" xfId="0" applyFont="1" applyFill="1" applyBorder="1" applyAlignment="1">
      <alignment horizontal="center" vertical="center" shrinkToFit="1"/>
    </xf>
    <xf numFmtId="10" fontId="0" fillId="0" borderId="1" xfId="0" applyNumberFormat="1" applyBorder="1" applyAlignment="1">
      <alignment horizontal="right" vertical="center" indent="1"/>
    </xf>
    <xf numFmtId="41" fontId="0" fillId="0" borderId="1" xfId="1" applyFont="1" applyBorder="1" applyAlignment="1">
      <alignment horizontal="right" vertical="center" indent="1"/>
    </xf>
    <xf numFmtId="9" fontId="0" fillId="0" borderId="1" xfId="0" applyNumberFormat="1" applyBorder="1" applyAlignment="1">
      <alignment horizontal="right" vertical="center" indent="1"/>
    </xf>
    <xf numFmtId="9" fontId="0" fillId="0" borderId="1" xfId="1" applyNumberFormat="1" applyFont="1" applyBorder="1" applyAlignment="1">
      <alignment horizontal="right" vertical="center" indent="1"/>
    </xf>
    <xf numFmtId="41" fontId="0" fillId="0" borderId="4" xfId="1" applyFont="1" applyBorder="1" applyAlignment="1">
      <alignment horizontal="right" vertical="center" indent="1"/>
    </xf>
    <xf numFmtId="41" fontId="0" fillId="0" borderId="6" xfId="1" applyFont="1" applyBorder="1" applyAlignment="1">
      <alignment horizontal="right" vertical="center" indent="1"/>
    </xf>
    <xf numFmtId="41" fontId="0" fillId="0" borderId="7" xfId="1" applyFont="1" applyBorder="1" applyAlignment="1">
      <alignment horizontal="right" vertical="center" indent="1"/>
    </xf>
    <xf numFmtId="0" fontId="0" fillId="0" borderId="1" xfId="0" applyBorder="1" applyAlignment="1">
      <alignment horizontal="right" vertical="center" indent="1"/>
    </xf>
    <xf numFmtId="41" fontId="0" fillId="0" borderId="6" xfId="0" applyNumberFormat="1" applyBorder="1" applyAlignment="1">
      <alignment horizontal="right" vertical="center" indent="1"/>
    </xf>
    <xf numFmtId="41" fontId="0" fillId="0" borderId="7" xfId="0" applyNumberFormat="1" applyBorder="1" applyAlignment="1">
      <alignment horizontal="right" vertical="center" indent="1"/>
    </xf>
    <xf numFmtId="41" fontId="0" fillId="0" borderId="4" xfId="0" applyNumberFormat="1" applyBorder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18" fillId="5" borderId="1" xfId="0" applyFont="1" applyFill="1" applyBorder="1" applyAlignment="1">
      <alignment horizontal="center" vertical="center"/>
    </xf>
    <xf numFmtId="176" fontId="4" fillId="2" borderId="14" xfId="0" applyNumberFormat="1" applyFont="1" applyFill="1" applyBorder="1" applyAlignment="1">
      <alignment horizontal="center" vertical="center"/>
    </xf>
    <xf numFmtId="41" fontId="4" fillId="2" borderId="14" xfId="1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center" vertical="center" wrapText="1" shrinkToFit="1"/>
    </xf>
    <xf numFmtId="0" fontId="7" fillId="23" borderId="14" xfId="0" applyFont="1" applyFill="1" applyBorder="1" applyAlignment="1">
      <alignment horizontal="center" vertical="center" shrinkToFit="1"/>
    </xf>
    <xf numFmtId="0" fontId="4" fillId="24" borderId="33" xfId="0" applyFont="1" applyFill="1" applyBorder="1" applyAlignment="1">
      <alignment horizontal="center" vertical="center"/>
    </xf>
    <xf numFmtId="0" fontId="4" fillId="24" borderId="14" xfId="0" applyFont="1" applyFill="1" applyBorder="1" applyAlignment="1">
      <alignment horizontal="center" vertical="center"/>
    </xf>
    <xf numFmtId="0" fontId="4" fillId="24" borderId="14" xfId="0" applyFont="1" applyFill="1" applyBorder="1" applyAlignment="1">
      <alignment horizontal="center" vertical="center" shrinkToFit="1"/>
    </xf>
    <xf numFmtId="0" fontId="59" fillId="9" borderId="33" xfId="0" applyFont="1" applyFill="1" applyBorder="1" applyAlignment="1">
      <alignment horizontal="center" vertical="center"/>
    </xf>
    <xf numFmtId="0" fontId="59" fillId="9" borderId="14" xfId="0" applyFont="1" applyFill="1" applyBorder="1" applyAlignment="1">
      <alignment horizontal="center" vertical="center"/>
    </xf>
    <xf numFmtId="0" fontId="59" fillId="9" borderId="14" xfId="0" applyFont="1" applyFill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textRotation="255" wrapText="1"/>
    </xf>
    <xf numFmtId="176" fontId="7" fillId="0" borderId="14" xfId="0" applyNumberFormat="1" applyFont="1" applyBorder="1" applyAlignment="1">
      <alignment horizontal="center" vertical="center" wrapText="1"/>
    </xf>
    <xf numFmtId="41" fontId="4" fillId="0" borderId="14" xfId="1" applyFont="1" applyFill="1" applyBorder="1" applyAlignment="1" applyProtection="1">
      <alignment horizontal="right" vertical="center"/>
    </xf>
    <xf numFmtId="41" fontId="4" fillId="0" borderId="14" xfId="1" applyFont="1" applyFill="1" applyBorder="1" applyAlignment="1" applyProtection="1">
      <alignment horizontal="center" vertical="center"/>
    </xf>
    <xf numFmtId="176" fontId="4" fillId="25" borderId="14" xfId="0" applyNumberFormat="1" applyFont="1" applyFill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 wrapText="1"/>
    </xf>
    <xf numFmtId="176" fontId="4" fillId="0" borderId="14" xfId="0" applyNumberFormat="1" applyFont="1" applyBorder="1" applyAlignment="1" applyProtection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176" fontId="4" fillId="0" borderId="14" xfId="0" applyNumberFormat="1" applyFont="1" applyFill="1" applyBorder="1" applyAlignment="1">
      <alignment horizontal="center" vertical="center"/>
    </xf>
    <xf numFmtId="0" fontId="4" fillId="0" borderId="14" xfId="0" applyFont="1" applyBorder="1" applyProtection="1">
      <alignment vertical="center"/>
    </xf>
    <xf numFmtId="0" fontId="4" fillId="0" borderId="14" xfId="0" applyFont="1" applyFill="1" applyBorder="1" applyAlignment="1">
      <alignment horizontal="center" vertical="center" shrinkToFit="1"/>
    </xf>
    <xf numFmtId="0" fontId="4" fillId="14" borderId="33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 shrinkToFit="1"/>
    </xf>
    <xf numFmtId="14" fontId="4" fillId="0" borderId="1" xfId="0" applyNumberFormat="1" applyFont="1" applyBorder="1" applyAlignment="1">
      <alignment horizontal="center" vertical="center"/>
    </xf>
    <xf numFmtId="13" fontId="4" fillId="3" borderId="14" xfId="1" applyNumberFormat="1" applyFont="1" applyFill="1" applyBorder="1" applyAlignment="1">
      <alignment horizontal="right" vertical="center"/>
    </xf>
    <xf numFmtId="0" fontId="4" fillId="0" borderId="14" xfId="0" applyFont="1" applyBorder="1" applyAlignment="1">
      <alignment vertical="center"/>
    </xf>
    <xf numFmtId="41" fontId="59" fillId="3" borderId="14" xfId="1" applyFont="1" applyFill="1" applyBorder="1" applyAlignment="1">
      <alignment horizontal="right" vertical="center"/>
    </xf>
    <xf numFmtId="49" fontId="4" fillId="26" borderId="14" xfId="0" applyNumberFormat="1" applyFont="1" applyFill="1" applyBorder="1" applyAlignment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4" fillId="27" borderId="33" xfId="0" applyFont="1" applyFill="1" applyBorder="1" applyAlignment="1">
      <alignment horizontal="center" vertical="center"/>
    </xf>
    <xf numFmtId="0" fontId="4" fillId="27" borderId="14" xfId="0" applyFont="1" applyFill="1" applyBorder="1" applyAlignment="1">
      <alignment horizontal="center" vertical="center"/>
    </xf>
    <xf numFmtId="0" fontId="4" fillId="27" borderId="14" xfId="0" applyFont="1" applyFill="1" applyBorder="1" applyAlignment="1">
      <alignment horizontal="center" vertical="center" shrinkToFit="1"/>
    </xf>
    <xf numFmtId="177" fontId="4" fillId="0" borderId="14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41" fontId="3" fillId="2" borderId="26" xfId="1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30" fillId="4" borderId="1" xfId="2" applyFont="1" applyFill="1" applyBorder="1" applyAlignment="1" applyProtection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textRotation="255"/>
    </xf>
    <xf numFmtId="0" fontId="12" fillId="2" borderId="27" xfId="0" applyFont="1" applyFill="1" applyBorder="1" applyAlignment="1">
      <alignment horizontal="center" vertical="center" textRotation="255"/>
    </xf>
    <xf numFmtId="0" fontId="14" fillId="2" borderId="4" xfId="0" applyFont="1" applyFill="1" applyBorder="1" applyAlignment="1">
      <alignment horizontal="center" vertical="center" textRotation="255"/>
    </xf>
    <xf numFmtId="0" fontId="14" fillId="2" borderId="27" xfId="0" applyFont="1" applyFill="1" applyBorder="1" applyAlignment="1">
      <alignment horizontal="center" vertical="center" textRotation="255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 wrapText="1"/>
    </xf>
    <xf numFmtId="176" fontId="3" fillId="2" borderId="28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41" fontId="3" fillId="2" borderId="26" xfId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41" fontId="3" fillId="2" borderId="2" xfId="1" applyFont="1" applyFill="1" applyBorder="1" applyAlignment="1">
      <alignment horizontal="center" vertical="center"/>
    </xf>
    <xf numFmtId="41" fontId="3" fillId="2" borderId="3" xfId="1" applyFont="1" applyFill="1" applyBorder="1" applyAlignment="1">
      <alignment horizontal="center" vertical="center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1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52" fillId="2" borderId="4" xfId="0" applyFont="1" applyFill="1" applyBorder="1" applyAlignment="1">
      <alignment horizontal="center" vertical="center"/>
    </xf>
    <xf numFmtId="178" fontId="20" fillId="2" borderId="15" xfId="0" applyNumberFormat="1" applyFont="1" applyFill="1" applyBorder="1" applyAlignment="1">
      <alignment horizontal="right" vertical="center"/>
    </xf>
    <xf numFmtId="0" fontId="23" fillId="3" borderId="4" xfId="0" applyFont="1" applyFill="1" applyBorder="1" applyAlignment="1" applyProtection="1">
      <alignment horizontal="center" vertical="center"/>
      <protection locked="0"/>
    </xf>
    <xf numFmtId="0" fontId="23" fillId="3" borderId="5" xfId="0" applyFont="1" applyFill="1" applyBorder="1" applyAlignment="1" applyProtection="1">
      <alignment horizontal="center" vertical="center"/>
      <protection locked="0"/>
    </xf>
    <xf numFmtId="0" fontId="16" fillId="13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176" fontId="33" fillId="2" borderId="16" xfId="2" applyNumberFormat="1" applyFont="1" applyFill="1" applyBorder="1" applyAlignment="1" applyProtection="1">
      <alignment horizontal="center" vertical="center"/>
    </xf>
    <xf numFmtId="177" fontId="30" fillId="2" borderId="2" xfId="2" applyNumberFormat="1" applyFont="1" applyFill="1" applyBorder="1" applyAlignment="1" applyProtection="1">
      <alignment horizontal="center" vertical="center"/>
      <protection locked="0"/>
    </xf>
    <xf numFmtId="177" fontId="30" fillId="2" borderId="17" xfId="2" applyNumberFormat="1" applyFont="1" applyFill="1" applyBorder="1" applyAlignment="1" applyProtection="1">
      <alignment horizontal="center" vertical="center"/>
      <protection locked="0"/>
    </xf>
    <xf numFmtId="177" fontId="30" fillId="2" borderId="3" xfId="2" applyNumberFormat="1" applyFont="1" applyFill="1" applyBorder="1" applyAlignment="1" applyProtection="1">
      <alignment horizontal="center" vertical="center"/>
      <protection locked="0"/>
    </xf>
    <xf numFmtId="41" fontId="30" fillId="2" borderId="2" xfId="4" applyFont="1" applyFill="1" applyBorder="1" applyAlignment="1" applyProtection="1">
      <alignment horizontal="center" vertical="center"/>
    </xf>
    <xf numFmtId="41" fontId="30" fillId="2" borderId="3" xfId="4" applyFont="1" applyFill="1" applyBorder="1" applyAlignment="1" applyProtection="1">
      <alignment horizontal="center" vertical="center"/>
    </xf>
    <xf numFmtId="41" fontId="30" fillId="2" borderId="2" xfId="1" applyFont="1" applyFill="1" applyBorder="1" applyAlignment="1" applyProtection="1">
      <alignment horizontal="center" vertical="center"/>
    </xf>
    <xf numFmtId="41" fontId="30" fillId="2" borderId="3" xfId="1" applyFont="1" applyFill="1" applyBorder="1" applyAlignment="1" applyProtection="1">
      <alignment horizontal="center" vertical="center"/>
    </xf>
    <xf numFmtId="182" fontId="26" fillId="0" borderId="0" xfId="5" applyNumberFormat="1" applyFont="1" applyBorder="1" applyAlignment="1">
      <alignment horizontal="center" vertical="center"/>
    </xf>
    <xf numFmtId="182" fontId="26" fillId="0" borderId="15" xfId="5" applyNumberFormat="1" applyFont="1" applyBorder="1" applyAlignment="1">
      <alignment horizontal="center" vertical="center"/>
    </xf>
    <xf numFmtId="0" fontId="31" fillId="15" borderId="2" xfId="0" applyFont="1" applyFill="1" applyBorder="1" applyAlignment="1">
      <alignment horizontal="center" vertical="center"/>
    </xf>
    <xf numFmtId="0" fontId="31" fillId="15" borderId="3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177" fontId="30" fillId="18" borderId="2" xfId="3" applyNumberFormat="1" applyFont="1" applyFill="1" applyBorder="1" applyAlignment="1" applyProtection="1">
      <alignment horizontal="center" vertical="center"/>
      <protection locked="0"/>
    </xf>
    <xf numFmtId="177" fontId="30" fillId="18" borderId="17" xfId="3" applyNumberFormat="1" applyFont="1" applyFill="1" applyBorder="1" applyAlignment="1" applyProtection="1">
      <alignment horizontal="center" vertical="center"/>
      <protection locked="0"/>
    </xf>
    <xf numFmtId="177" fontId="30" fillId="18" borderId="3" xfId="3" applyNumberFormat="1" applyFont="1" applyFill="1" applyBorder="1" applyAlignment="1" applyProtection="1">
      <alignment horizontal="center" vertical="center"/>
      <protection locked="0"/>
    </xf>
    <xf numFmtId="41" fontId="30" fillId="18" borderId="2" xfId="4" applyFont="1" applyFill="1" applyBorder="1" applyAlignment="1" applyProtection="1">
      <alignment horizontal="center" vertical="center"/>
      <protection locked="0"/>
    </xf>
    <xf numFmtId="41" fontId="30" fillId="18" borderId="3" xfId="4" applyFont="1" applyFill="1" applyBorder="1" applyAlignment="1" applyProtection="1">
      <alignment horizontal="center" vertical="center"/>
      <protection locked="0"/>
    </xf>
    <xf numFmtId="41" fontId="30" fillId="18" borderId="2" xfId="1" applyFont="1" applyFill="1" applyBorder="1" applyAlignment="1" applyProtection="1">
      <alignment horizontal="center" vertical="center"/>
      <protection locked="0"/>
    </xf>
    <xf numFmtId="41" fontId="30" fillId="18" borderId="3" xfId="1" applyFont="1" applyFill="1" applyBorder="1" applyAlignment="1" applyProtection="1">
      <alignment horizontal="center" vertical="center"/>
      <protection locked="0"/>
    </xf>
    <xf numFmtId="0" fontId="30" fillId="18" borderId="2" xfId="3" applyFont="1" applyFill="1" applyBorder="1" applyAlignment="1" applyProtection="1">
      <alignment horizontal="center" vertical="center"/>
      <protection locked="0"/>
    </xf>
    <xf numFmtId="0" fontId="30" fillId="18" borderId="3" xfId="3" applyFont="1" applyFill="1" applyBorder="1" applyAlignment="1" applyProtection="1">
      <alignment horizontal="center" vertical="center"/>
      <protection locked="0"/>
    </xf>
    <xf numFmtId="0" fontId="30" fillId="18" borderId="2" xfId="2" applyFont="1" applyFill="1" applyBorder="1" applyAlignment="1" applyProtection="1">
      <alignment horizontal="center" vertical="center"/>
      <protection locked="0"/>
    </xf>
    <xf numFmtId="0" fontId="30" fillId="18" borderId="17" xfId="2" applyFont="1" applyFill="1" applyBorder="1" applyAlignment="1" applyProtection="1">
      <alignment horizontal="center" vertical="center"/>
      <protection locked="0"/>
    </xf>
    <xf numFmtId="0" fontId="30" fillId="18" borderId="3" xfId="2" applyFont="1" applyFill="1" applyBorder="1" applyAlignment="1" applyProtection="1">
      <alignment horizontal="center" vertical="center"/>
      <protection locked="0"/>
    </xf>
    <xf numFmtId="41" fontId="30" fillId="18" borderId="17" xfId="4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 applyAlignment="1">
      <alignment horizontal="center" vertical="center"/>
    </xf>
    <xf numFmtId="0" fontId="30" fillId="2" borderId="17" xfId="2" applyFont="1" applyFill="1" applyBorder="1" applyAlignment="1">
      <alignment horizontal="center" vertical="center"/>
    </xf>
    <xf numFmtId="0" fontId="30" fillId="2" borderId="3" xfId="2" applyFont="1" applyFill="1" applyBorder="1" applyAlignment="1">
      <alignment horizontal="center" vertical="center"/>
    </xf>
    <xf numFmtId="41" fontId="30" fillId="2" borderId="2" xfId="4" applyFont="1" applyFill="1" applyBorder="1" applyAlignment="1">
      <alignment horizontal="center" vertical="center"/>
    </xf>
    <xf numFmtId="41" fontId="30" fillId="2" borderId="17" xfId="4" applyFont="1" applyFill="1" applyBorder="1" applyAlignment="1">
      <alignment horizontal="center" vertical="center"/>
    </xf>
    <xf numFmtId="41" fontId="30" fillId="2" borderId="3" xfId="4" applyFont="1" applyFill="1" applyBorder="1" applyAlignment="1">
      <alignment horizontal="center" vertical="center"/>
    </xf>
    <xf numFmtId="0" fontId="36" fillId="2" borderId="17" xfId="2" applyFont="1" applyFill="1" applyBorder="1" applyAlignment="1">
      <alignment horizontal="left" vertical="center"/>
    </xf>
    <xf numFmtId="0" fontId="30" fillId="3" borderId="2" xfId="2" applyFont="1" applyFill="1" applyBorder="1" applyAlignment="1">
      <alignment horizontal="center" vertical="center"/>
    </xf>
    <xf numFmtId="0" fontId="30" fillId="3" borderId="17" xfId="2" applyFont="1" applyFill="1" applyBorder="1" applyAlignment="1">
      <alignment horizontal="center" vertical="center"/>
    </xf>
    <xf numFmtId="0" fontId="30" fillId="3" borderId="3" xfId="2" applyFont="1" applyFill="1" applyBorder="1" applyAlignment="1">
      <alignment horizontal="center" vertical="center"/>
    </xf>
    <xf numFmtId="0" fontId="30" fillId="18" borderId="17" xfId="3" applyFont="1" applyFill="1" applyBorder="1" applyAlignment="1" applyProtection="1">
      <alignment horizontal="center" vertical="center"/>
      <protection locked="0"/>
    </xf>
    <xf numFmtId="0" fontId="41" fillId="15" borderId="1" xfId="2" applyFont="1" applyFill="1" applyBorder="1" applyAlignment="1" applyProtection="1">
      <alignment horizontal="center" vertical="center"/>
    </xf>
    <xf numFmtId="181" fontId="41" fillId="15" borderId="1" xfId="2" applyNumberFormat="1" applyFont="1" applyFill="1" applyBorder="1" applyAlignment="1" applyProtection="1">
      <alignment horizontal="right" vertical="center"/>
    </xf>
    <xf numFmtId="0" fontId="36" fillId="2" borderId="17" xfId="2" applyFont="1" applyFill="1" applyBorder="1" applyAlignment="1" applyProtection="1">
      <alignment horizontal="left" vertical="center"/>
    </xf>
    <xf numFmtId="0" fontId="30" fillId="4" borderId="2" xfId="2" applyFont="1" applyFill="1" applyBorder="1" applyAlignment="1" applyProtection="1">
      <alignment horizontal="center" vertical="center"/>
    </xf>
    <xf numFmtId="0" fontId="30" fillId="4" borderId="3" xfId="2" applyFont="1" applyFill="1" applyBorder="1" applyAlignment="1" applyProtection="1">
      <alignment horizontal="center" vertical="center"/>
    </xf>
    <xf numFmtId="41" fontId="30" fillId="2" borderId="2" xfId="2" applyNumberFormat="1" applyFont="1" applyFill="1" applyBorder="1" applyAlignment="1" applyProtection="1">
      <alignment horizontal="right" vertical="center"/>
    </xf>
    <xf numFmtId="41" fontId="30" fillId="2" borderId="3" xfId="2" applyNumberFormat="1" applyFont="1" applyFill="1" applyBorder="1" applyAlignment="1" applyProtection="1">
      <alignment horizontal="right" vertical="center"/>
    </xf>
    <xf numFmtId="41" fontId="30" fillId="2" borderId="1" xfId="1" applyFont="1" applyFill="1" applyBorder="1" applyAlignment="1" applyProtection="1">
      <alignment horizontal="center" vertical="center"/>
    </xf>
    <xf numFmtId="41" fontId="30" fillId="2" borderId="1" xfId="1" applyFont="1" applyFill="1" applyBorder="1" applyAlignment="1" applyProtection="1">
      <alignment horizontal="right" vertical="center"/>
    </xf>
    <xf numFmtId="0" fontId="30" fillId="4" borderId="17" xfId="2" applyFont="1" applyFill="1" applyBorder="1" applyAlignment="1" applyProtection="1">
      <alignment horizontal="center" vertical="center"/>
    </xf>
    <xf numFmtId="179" fontId="30" fillId="2" borderId="1" xfId="1" applyNumberFormat="1" applyFont="1" applyFill="1" applyBorder="1" applyAlignment="1" applyProtection="1">
      <alignment horizontal="left" vertical="center" indent="9"/>
    </xf>
    <xf numFmtId="41" fontId="39" fillId="9" borderId="2" xfId="3" applyNumberFormat="1" applyFont="1" applyFill="1" applyBorder="1" applyAlignment="1">
      <alignment horizontal="center" vertical="center"/>
    </xf>
    <xf numFmtId="41" fontId="39" fillId="9" borderId="3" xfId="3" applyNumberFormat="1" applyFont="1" applyFill="1" applyBorder="1" applyAlignment="1">
      <alignment horizontal="center" vertical="center"/>
    </xf>
    <xf numFmtId="183" fontId="53" fillId="2" borderId="1" xfId="1" applyNumberFormat="1" applyFont="1" applyFill="1" applyBorder="1" applyAlignment="1">
      <alignment horizontal="left" vertical="center" indent="9"/>
    </xf>
    <xf numFmtId="179" fontId="30" fillId="2" borderId="2" xfId="1" applyNumberFormat="1" applyFont="1" applyFill="1" applyBorder="1" applyAlignment="1" applyProtection="1">
      <alignment horizontal="left" vertical="center" indent="9"/>
    </xf>
    <xf numFmtId="179" fontId="30" fillId="2" borderId="17" xfId="1" applyNumberFormat="1" applyFont="1" applyFill="1" applyBorder="1" applyAlignment="1" applyProtection="1">
      <alignment horizontal="left" vertical="center" indent="9"/>
    </xf>
    <xf numFmtId="179" fontId="30" fillId="2" borderId="3" xfId="1" applyNumberFormat="1" applyFont="1" applyFill="1" applyBorder="1" applyAlignment="1" applyProtection="1">
      <alignment horizontal="left" vertical="center" indent="9"/>
    </xf>
    <xf numFmtId="0" fontId="30" fillId="4" borderId="1" xfId="2" applyFont="1" applyFill="1" applyBorder="1" applyAlignment="1" applyProtection="1">
      <alignment horizontal="center" vertical="center"/>
    </xf>
    <xf numFmtId="177" fontId="30" fillId="7" borderId="1" xfId="2" applyNumberFormat="1" applyFont="1" applyFill="1" applyBorder="1" applyAlignment="1" applyProtection="1">
      <alignment horizontal="center" vertical="center"/>
    </xf>
    <xf numFmtId="0" fontId="30" fillId="15" borderId="1" xfId="2" applyFont="1" applyFill="1" applyBorder="1" applyAlignment="1" applyProtection="1">
      <alignment horizontal="center" vertical="center"/>
    </xf>
    <xf numFmtId="41" fontId="30" fillId="0" borderId="1" xfId="1" applyFont="1" applyFill="1" applyBorder="1" applyAlignment="1" applyProtection="1">
      <alignment horizontal="right" vertical="center"/>
    </xf>
    <xf numFmtId="0" fontId="35" fillId="15" borderId="12" xfId="3" applyFont="1" applyFill="1" applyBorder="1" applyAlignment="1">
      <alignment horizontal="center" vertical="center"/>
    </xf>
    <xf numFmtId="0" fontId="35" fillId="15" borderId="22" xfId="3" applyFont="1" applyFill="1" applyBorder="1" applyAlignment="1">
      <alignment horizontal="center" vertical="center"/>
    </xf>
    <xf numFmtId="0" fontId="35" fillId="15" borderId="13" xfId="3" applyFont="1" applyFill="1" applyBorder="1" applyAlignment="1">
      <alignment horizontal="center" vertical="center"/>
    </xf>
    <xf numFmtId="0" fontId="36" fillId="2" borderId="16" xfId="2" applyFont="1" applyFill="1" applyBorder="1" applyAlignment="1" applyProtection="1">
      <alignment horizontal="left" vertical="center"/>
    </xf>
    <xf numFmtId="0" fontId="39" fillId="9" borderId="23" xfId="2" applyFont="1" applyFill="1" applyBorder="1" applyAlignment="1" applyProtection="1">
      <alignment horizontal="distributed" vertical="center" indent="1"/>
    </xf>
    <xf numFmtId="41" fontId="30" fillId="2" borderId="17" xfId="1" applyFont="1" applyFill="1" applyBorder="1" applyAlignment="1" applyProtection="1">
      <alignment horizontal="center" vertical="center"/>
    </xf>
    <xf numFmtId="41" fontId="30" fillId="15" borderId="2" xfId="1" applyFont="1" applyFill="1" applyBorder="1" applyAlignment="1" applyProtection="1">
      <alignment horizontal="center" vertical="center"/>
    </xf>
    <xf numFmtId="41" fontId="30" fillId="15" borderId="17" xfId="1" applyFont="1" applyFill="1" applyBorder="1" applyAlignment="1" applyProtection="1">
      <alignment horizontal="center" vertical="center"/>
    </xf>
    <xf numFmtId="41" fontId="30" fillId="15" borderId="3" xfId="1" applyFont="1" applyFill="1" applyBorder="1" applyAlignment="1" applyProtection="1">
      <alignment horizontal="center" vertical="center"/>
    </xf>
    <xf numFmtId="0" fontId="30" fillId="2" borderId="2" xfId="2" applyFont="1" applyFill="1" applyBorder="1" applyAlignment="1" applyProtection="1">
      <alignment horizontal="center" vertical="center"/>
    </xf>
    <xf numFmtId="0" fontId="30" fillId="2" borderId="17" xfId="2" applyFont="1" applyFill="1" applyBorder="1" applyAlignment="1" applyProtection="1">
      <alignment horizontal="center" vertical="center"/>
    </xf>
    <xf numFmtId="0" fontId="30" fillId="2" borderId="3" xfId="2" applyFont="1" applyFill="1" applyBorder="1" applyAlignment="1" applyProtection="1">
      <alignment horizontal="center" vertical="center"/>
    </xf>
    <xf numFmtId="179" fontId="30" fillId="2" borderId="2" xfId="2" applyNumberFormat="1" applyFont="1" applyFill="1" applyBorder="1" applyAlignment="1" applyProtection="1">
      <alignment horizontal="center" vertical="center"/>
    </xf>
    <xf numFmtId="179" fontId="30" fillId="2" borderId="3" xfId="2" applyNumberFormat="1" applyFont="1" applyFill="1" applyBorder="1" applyAlignment="1" applyProtection="1">
      <alignment horizontal="center" vertical="center"/>
    </xf>
    <xf numFmtId="0" fontId="34" fillId="2" borderId="23" xfId="2" applyFont="1" applyFill="1" applyBorder="1" applyAlignment="1" applyProtection="1">
      <alignment horizontal="right" vertical="center"/>
      <protection locked="0"/>
    </xf>
    <xf numFmtId="180" fontId="34" fillId="2" borderId="0" xfId="2" applyNumberFormat="1" applyFont="1" applyFill="1" applyAlignment="1" applyProtection="1">
      <alignment horizontal="center" vertical="center"/>
      <protection locked="0"/>
    </xf>
    <xf numFmtId="0" fontId="34" fillId="2" borderId="0" xfId="2" applyFont="1" applyFill="1" applyAlignment="1" applyProtection="1">
      <alignment horizontal="left" vertical="center"/>
    </xf>
    <xf numFmtId="0" fontId="34" fillId="2" borderId="0" xfId="2" applyFont="1" applyFill="1" applyBorder="1" applyAlignment="1" applyProtection="1">
      <alignment horizontal="left" vertical="center"/>
    </xf>
    <xf numFmtId="176" fontId="30" fillId="2" borderId="2" xfId="2" applyNumberFormat="1" applyFont="1" applyFill="1" applyBorder="1" applyAlignment="1" applyProtection="1">
      <alignment horizontal="center" vertical="center"/>
    </xf>
    <xf numFmtId="176" fontId="30" fillId="2" borderId="3" xfId="2" applyNumberFormat="1" applyFont="1" applyFill="1" applyBorder="1" applyAlignment="1" applyProtection="1">
      <alignment horizontal="center" vertical="center"/>
    </xf>
    <xf numFmtId="41" fontId="30" fillId="2" borderId="2" xfId="2" applyNumberFormat="1" applyFont="1" applyFill="1" applyBorder="1" applyAlignment="1" applyProtection="1">
      <alignment horizontal="center" vertical="center"/>
    </xf>
    <xf numFmtId="41" fontId="30" fillId="2" borderId="3" xfId="2" applyNumberFormat="1" applyFont="1" applyFill="1" applyBorder="1" applyAlignment="1" applyProtection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right" vertical="center" indent="1"/>
    </xf>
    <xf numFmtId="0" fontId="0" fillId="0" borderId="5" xfId="0" applyBorder="1" applyAlignment="1">
      <alignment horizontal="right" vertical="center" indent="1"/>
    </xf>
    <xf numFmtId="0" fontId="0" fillId="0" borderId="1" xfId="0" applyBorder="1" applyAlignment="1">
      <alignment horizontal="center" vertical="center"/>
    </xf>
    <xf numFmtId="178" fontId="20" fillId="0" borderId="24" xfId="0" applyNumberFormat="1" applyFont="1" applyBorder="1" applyAlignment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7">
    <cellStyle name="Hyperlink" xfId="6" xr:uid="{00000000-000B-0000-0000-000008000000}"/>
    <cellStyle name="쉼표 [0]" xfId="1" builtinId="6"/>
    <cellStyle name="쉼표 [0] 2" xfId="4" xr:uid="{B90D98B4-CD72-4F7B-9E0B-07D2FEC9CED2}"/>
    <cellStyle name="쉼표 [0] 2 3" xfId="5" xr:uid="{E45F6121-E8DF-418A-B334-BFA4FD997B2F}"/>
    <cellStyle name="표준" xfId="0" builtinId="0"/>
    <cellStyle name="표준 2" xfId="3" xr:uid="{BF024600-8EF3-4B97-8A8D-D8FADD827265}"/>
    <cellStyle name="표준 219 2" xfId="2" xr:uid="{8145A6ED-5811-44C2-B4AE-27967474121B}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border>
        <left style="thin">
          <color rgb="FF000000"/>
        </left>
        <right style="thin">
          <color auto="1"/>
        </right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000000"/>
        </left>
        <right style="thin">
          <color auto="1"/>
        </right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pic>
      <xdr:nvPicPr>
        <xdr:cNvPr id="2" name="그림 1">
          <a:extLst>
            <a:ext uri="{FF2B5EF4-FFF2-40B4-BE49-F238E27FC236}">
              <a16:creationId xmlns:a16="http://schemas.microsoft.com/office/drawing/2014/main" id="{93481AC1-1604-59E9-3830-52BBEE62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twoCellAnchor editAs="oneCell">
    <xdr:from>
      <xdr:col>0</xdr:col>
      <xdr:colOff>219075</xdr:colOff>
      <xdr:row>0</xdr:row>
      <xdr:rowOff>104775</xdr:rowOff>
    </xdr:from>
    <xdr:to>
      <xdr:col>3</xdr:col>
      <xdr:colOff>231201</xdr:colOff>
      <xdr:row>2</xdr:row>
      <xdr:rowOff>75871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169636-1EAA-463E-A887-DE8BA61166C2}"/>
            </a:ext>
            <a:ext uri="{147F2762-F138-4A5C-976F-8EAC2B608ADB}">
              <a16:predDERef xmlns:a16="http://schemas.microsoft.com/office/drawing/2014/main" pred="{93481AC1-1604-59E9-3830-52BBEE626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04775"/>
          <a:ext cx="1755201" cy="475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공과금 청구" id="{D654F09D-7F6D-49D9-8C8E-95F680659A2E}">
    <nsvFilter filterId="{43FF58C9-DA00-4F3D-8CA7-4AF4F96CB3A3}" ref="A3:AM1000" tableId="0">
      <columnFilter colId="38">
        <filter colId="38">
          <x:filters>
            <x:filter val="21"/>
            <x:filter val="22"/>
            <x:filter val="23"/>
            <x:filter val="24"/>
            <x:filter val="25"/>
          </x:filters>
        </filter>
      </columnFilter>
    </nsvFilter>
  </namedSheetView>
  <namedSheetView name="보기1" id="{F5B1CC57-2C87-49A5-8F96-F5C66E824A77}">
    <nsvFilter filterId="{43FF58C9-DA00-4F3D-8CA7-4AF4F96CB3A3}" ref="A3:AM1000" tableId="0"/>
  </namedSheetView>
  <namedSheetView name="보기2" id="{2AF1F65D-C7A8-4B0F-BAE6-FFC1E9CCDDBE}">
    <nsvFilter filterId="{43FF58C9-DA00-4F3D-8CA7-4AF4F96CB3A3}" ref="A3:AM1000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보기1" id="{A1E97D56-F8DE-4C4B-B84E-711289F01ED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진아 이" id="{926315CD-40B7-4007-B9ED-E76F3A9CE9A5}" userId="0a0dc2fd738d8f67" providerId="Windows Live"/>
  <person displayName="원식 공" id="{870C042C-3283-4272-86C4-F8EB0CAD11DE}" userId="4fa2d6a4566eb73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8" dT="2026-03-09T00:43:46.10" personId="{870C042C-3283-4272-86C4-F8EB0CAD11DE}" id="{F9AE31DB-DE0A-4643-B142-BCEC16042FCE}">
    <text>3/3 카드키 분실 30,000원 포함</text>
  </threadedComment>
  <threadedComment ref="D184" dT="2026-02-27T01:08:22.88" personId="{926315CD-40B7-4007-B9ED-E76F3A9CE9A5}" id="{D72A0608-C46A-40AC-A42A-5E18E5C929EA}">
    <text>3/25 만기퇴실예정</text>
  </threadedComment>
  <threadedComment ref="D213" dT="2026-03-10T23:55:49.20" personId="{926315CD-40B7-4007-B9ED-E76F3A9CE9A5}" id="{CA06BD53-55BA-4655-BD0C-D15922EE6C83}">
    <text>공실 안내하지 말것, 정담은에서 계약예정</text>
  </threadedComment>
  <threadedComment ref="G259" dT="2026-03-09T00:54:43.44" personId="{870C042C-3283-4272-86C4-F8EB0CAD11DE}" id="{775282D1-9BAD-43FE-9181-F6826DCD3E6A}">
    <text>2/11 월세임</text>
  </threadedComment>
  <threadedComment ref="D290" dT="2026-03-13T07:56:46.53" personId="{926315CD-40B7-4007-B9ED-E76F3A9CE9A5}" id="{84E8FFE5-ECD0-47ED-AF7E-93B8A2B93BF5}">
    <text>4월부터 관리비5%인상</text>
  </threadedComment>
  <threadedComment ref="D293" dT="2026-03-13T07:56:54.68" personId="{926315CD-40B7-4007-B9ED-E76F3A9CE9A5}" id="{F471A6A5-C9F9-4678-9909-6A8CA4D438E1}">
    <text>4월부터 관리비5%인상</text>
  </threadedComment>
  <threadedComment ref="D300" dT="2026-02-13T00:54:06.17" personId="{926315CD-40B7-4007-B9ED-E76F3A9CE9A5}" id="{6366D8E7-014D-4472-84B8-3E788B778AA9}">
    <text>4/13부터 관리비 30만원</text>
  </threadedComment>
  <threadedComment ref="S300" dT="2026-02-13T00:53:39.97" personId="{926315CD-40B7-4007-B9ED-E76F3A9CE9A5}" id="{CBB3E35F-CFAC-4AAC-82A8-3912F8292474}">
    <text>4/13부터 관리비 30만원</text>
  </threadedComment>
  <threadedComment ref="G413" dT="2026-01-12T00:33:23.96" personId="{870C042C-3283-4272-86C4-F8EB0CAD11DE}" id="{0BAB1E62-053D-4BFC-8536-589FC11897DC}">
    <text>3/5 최신화 =4,323,700
1/10 1,758,800원 (12월분 12/10-1/9)
2/10 2,564,900원(1월 분 1/10-2/9)</text>
  </threadedComment>
  <threadedComment ref="D420" dT="2026-03-13T07:57:14.59" personId="{926315CD-40B7-4007-B9ED-E76F3A9CE9A5}" id="{72AE1F5E-D306-4F7F-AB25-CB324B10FE2D}">
    <text>4월부터 관리비5%인상</text>
  </threadedComment>
  <threadedComment ref="Q428" dT="2026-01-09T07:00:08.69" personId="{870C042C-3283-4272-86C4-F8EB0CAD11DE}" id="{C0A388D0-87A6-4393-B8B4-18F6E661E7AC}">
    <text>9월 사용료(10월 청구료)부터 50+5 만원 추가</text>
  </threadedComment>
  <threadedComment ref="D452" dT="2026-03-03T05:00:06.54" personId="{926315CD-40B7-4007-B9ED-E76F3A9CE9A5}" id="{12C76352-0C14-465C-94C2-A082AA3E97BE}">
    <text>4/3 퇴실 예약</text>
  </threadedComment>
  <threadedComment ref="G464" dT="2026-02-28T04:04:52.20" personId="{870C042C-3283-4272-86C4-F8EB0CAD11DE}" id="{B824D831-7CE9-4503-9C23-8AF082A4F5F5}">
    <text>1월 분 미납액 8,916,000원</text>
  </threadedComment>
  <threadedComment ref="G496" dT="2026-02-23T07:14:52.37" personId="{870C042C-3283-4272-86C4-F8EB0CAD11DE}" id="{82211D7D-C987-4B60-BC47-53AF473922EC}">
    <text>2월분</text>
  </threadedComment>
  <threadedComment ref="I496" dT="2026-02-23T07:14:52.37" personId="{870C042C-3283-4272-86C4-F8EB0CAD11DE}" id="{4C616E1A-9F77-4741-99D2-09DB95880B52}">
    <text>3월분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hojhn@gmail.com" TargetMode="External"/><Relationship Id="rId13" Type="http://schemas.openxmlformats.org/officeDocument/2006/relationships/hyperlink" Target="mailto:sukminlee@naver.com" TargetMode="External"/><Relationship Id="rId3" Type="http://schemas.openxmlformats.org/officeDocument/2006/relationships/hyperlink" Target="mailto:nami503@naver.com" TargetMode="External"/><Relationship Id="rId7" Type="http://schemas.openxmlformats.org/officeDocument/2006/relationships/hyperlink" Target="mailto:byham@nconsuting.co.kr" TargetMode="External"/><Relationship Id="rId12" Type="http://schemas.openxmlformats.org/officeDocument/2006/relationships/hyperlink" Target="mailto:kunyoung84@gmail.com" TargetMode="External"/><Relationship Id="rId2" Type="http://schemas.openxmlformats.org/officeDocument/2006/relationships/hyperlink" Target="mailto:wskimm1231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khcho907@naver.com" TargetMode="External"/><Relationship Id="rId6" Type="http://schemas.openxmlformats.org/officeDocument/2006/relationships/hyperlink" Target="mailto:jshim22@naver.com" TargetMode="External"/><Relationship Id="rId11" Type="http://schemas.openxmlformats.org/officeDocument/2006/relationships/hyperlink" Target="mailto:dasukm@naver.com" TargetMode="External"/><Relationship Id="rId5" Type="http://schemas.openxmlformats.org/officeDocument/2006/relationships/hyperlink" Target="mailto:jz00336@naver.com" TargetMode="External"/><Relationship Id="rId15" Type="http://schemas.openxmlformats.org/officeDocument/2006/relationships/hyperlink" Target="mailto:globals1108@nate.com" TargetMode="External"/><Relationship Id="rId10" Type="http://schemas.openxmlformats.org/officeDocument/2006/relationships/hyperlink" Target="mailto:lbc7090@hotmail.com" TargetMode="External"/><Relationship Id="rId4" Type="http://schemas.openxmlformats.org/officeDocument/2006/relationships/hyperlink" Target="mailto:sean.yang1207@gmail.com" TargetMode="External"/><Relationship Id="rId9" Type="http://schemas.openxmlformats.org/officeDocument/2006/relationships/hyperlink" Target="mailto:leemh0715@kmckor.co.kr" TargetMode="External"/><Relationship Id="rId14" Type="http://schemas.openxmlformats.org/officeDocument/2006/relationships/hyperlink" Target="mailto:sukminlee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58C9-DA00-4F3D-8CA7-4AF4F96CB3A3}">
  <dimension ref="A1:AM1000"/>
  <sheetViews>
    <sheetView zoomScaleNormal="100" workbookViewId="0">
      <pane xSplit="10" ySplit="3" topLeftCell="K4" activePane="bottomRight" state="frozen"/>
      <selection pane="bottomRight" activeCell="B82" sqref="B82:S85"/>
      <selection pane="bottomLeft" activeCell="A4" sqref="A4"/>
      <selection pane="topRight" activeCell="K1" sqref="K1"/>
    </sheetView>
  </sheetViews>
  <sheetFormatPr defaultColWidth="9" defaultRowHeight="18" customHeight="1"/>
  <cols>
    <col min="1" max="1" width="0.125" style="1" customWidth="1"/>
    <col min="2" max="2" width="14.25" style="206" customWidth="1"/>
    <col min="3" max="3" width="6.375" style="1" customWidth="1"/>
    <col min="4" max="4" width="20.5" style="207" customWidth="1"/>
    <col min="5" max="5" width="1.5" style="79" customWidth="1"/>
    <col min="6" max="6" width="9" style="5" customWidth="1"/>
    <col min="7" max="10" width="15.625" style="230" customWidth="1"/>
    <col min="11" max="11" width="10.375" style="319" customWidth="1"/>
    <col min="12" max="13" width="9" style="5"/>
    <col min="14" max="14" width="18.375" style="4" customWidth="1"/>
    <col min="15" max="15" width="15.625" style="4" customWidth="1"/>
    <col min="16" max="17" width="12.625" style="230" customWidth="1"/>
    <col min="18" max="18" width="9.625" style="4" customWidth="1"/>
    <col min="19" max="19" width="12.625" style="230" customWidth="1"/>
    <col min="20" max="20" width="9.625" style="4" customWidth="1"/>
    <col min="21" max="21" width="10.625" style="230" customWidth="1"/>
    <col min="22" max="22" width="9.625" style="4" customWidth="1"/>
    <col min="23" max="23" width="10.625" style="80" customWidth="1"/>
    <col min="24" max="24" width="9.625" style="4" customWidth="1"/>
    <col min="25" max="25" width="10.625" style="6" customWidth="1"/>
    <col min="26" max="26" width="9.625" style="4" customWidth="1"/>
    <col min="27" max="27" width="9.625" style="1" customWidth="1"/>
    <col min="28" max="30" width="12.625" style="230" customWidth="1"/>
    <col min="31" max="32" width="15.625" style="4" customWidth="1"/>
    <col min="33" max="34" width="9" style="1"/>
    <col min="35" max="35" width="82.25" style="1" customWidth="1"/>
    <col min="36" max="36" width="10.375" style="1" customWidth="1"/>
    <col min="37" max="38" width="10.375" style="4" customWidth="1"/>
    <col min="39" max="39" width="7.125" style="78" customWidth="1"/>
    <col min="40" max="16384" width="9" style="1"/>
  </cols>
  <sheetData>
    <row r="1" spans="1:39" s="2" customFormat="1" ht="18" customHeight="1">
      <c r="B1" s="412" t="s">
        <v>0</v>
      </c>
      <c r="C1" s="417" t="s">
        <v>1</v>
      </c>
      <c r="D1" s="426" t="s">
        <v>2</v>
      </c>
      <c r="E1" s="410" t="s">
        <v>3</v>
      </c>
      <c r="F1" s="414" t="s">
        <v>4</v>
      </c>
      <c r="G1" s="7" t="s">
        <v>5</v>
      </c>
      <c r="H1" s="7" t="s">
        <v>5</v>
      </c>
      <c r="I1" s="8" t="s">
        <v>6</v>
      </c>
      <c r="J1" s="8" t="s">
        <v>6</v>
      </c>
      <c r="K1" s="419" t="s">
        <v>7</v>
      </c>
      <c r="L1" s="424" t="s">
        <v>8</v>
      </c>
      <c r="M1" s="416" t="s">
        <v>9</v>
      </c>
      <c r="N1" s="417" t="s">
        <v>10</v>
      </c>
      <c r="O1" s="416" t="s">
        <v>11</v>
      </c>
      <c r="P1" s="422" t="s">
        <v>12</v>
      </c>
      <c r="Q1" s="416" t="s">
        <v>13</v>
      </c>
      <c r="R1" s="416"/>
      <c r="S1" s="416" t="s">
        <v>14</v>
      </c>
      <c r="T1" s="416"/>
      <c r="U1" s="416" t="s">
        <v>15</v>
      </c>
      <c r="V1" s="416"/>
      <c r="W1" s="416" t="s">
        <v>16</v>
      </c>
      <c r="X1" s="416"/>
      <c r="Y1" s="416" t="s">
        <v>17</v>
      </c>
      <c r="Z1" s="416"/>
      <c r="AA1" s="417" t="s">
        <v>18</v>
      </c>
      <c r="AB1" s="422" t="s">
        <v>19</v>
      </c>
      <c r="AC1" s="428" t="s">
        <v>20</v>
      </c>
      <c r="AD1" s="429"/>
      <c r="AE1" s="416" t="s">
        <v>21</v>
      </c>
      <c r="AF1" s="399" t="s">
        <v>21</v>
      </c>
      <c r="AG1" s="416" t="s">
        <v>22</v>
      </c>
      <c r="AH1" s="3" t="s">
        <v>23</v>
      </c>
      <c r="AI1" s="416" t="s">
        <v>24</v>
      </c>
      <c r="AJ1" s="416" t="s">
        <v>25</v>
      </c>
      <c r="AK1" s="416" t="s">
        <v>26</v>
      </c>
      <c r="AL1" s="416" t="s">
        <v>27</v>
      </c>
      <c r="AM1" s="408" t="s">
        <v>28</v>
      </c>
    </row>
    <row r="2" spans="1:39" s="2" customFormat="1" ht="18" customHeight="1">
      <c r="B2" s="413"/>
      <c r="C2" s="418"/>
      <c r="D2" s="427"/>
      <c r="E2" s="411"/>
      <c r="F2" s="415"/>
      <c r="G2" s="193" t="s">
        <v>29</v>
      </c>
      <c r="H2" s="193" t="s">
        <v>30</v>
      </c>
      <c r="I2" s="193" t="s">
        <v>29</v>
      </c>
      <c r="J2" s="193" t="s">
        <v>30</v>
      </c>
      <c r="K2" s="420"/>
      <c r="L2" s="425"/>
      <c r="M2" s="421"/>
      <c r="N2" s="418"/>
      <c r="O2" s="421"/>
      <c r="P2" s="423"/>
      <c r="Q2" s="401" t="s">
        <v>31</v>
      </c>
      <c r="R2" s="398" t="s">
        <v>32</v>
      </c>
      <c r="S2" s="401" t="s">
        <v>31</v>
      </c>
      <c r="T2" s="398" t="s">
        <v>32</v>
      </c>
      <c r="U2" s="401" t="s">
        <v>31</v>
      </c>
      <c r="V2" s="398" t="s">
        <v>32</v>
      </c>
      <c r="W2" s="401" t="s">
        <v>31</v>
      </c>
      <c r="X2" s="398" t="s">
        <v>32</v>
      </c>
      <c r="Y2" s="401" t="s">
        <v>31</v>
      </c>
      <c r="Z2" s="398" t="s">
        <v>33</v>
      </c>
      <c r="AA2" s="418"/>
      <c r="AB2" s="423"/>
      <c r="AC2" s="401" t="s">
        <v>34</v>
      </c>
      <c r="AD2" s="401" t="s">
        <v>35</v>
      </c>
      <c r="AE2" s="421"/>
      <c r="AF2" s="400" t="s">
        <v>11</v>
      </c>
      <c r="AG2" s="421"/>
      <c r="AH2" s="194" t="s">
        <v>36</v>
      </c>
      <c r="AI2" s="421"/>
      <c r="AJ2" s="421"/>
      <c r="AK2" s="421"/>
      <c r="AL2" s="421"/>
      <c r="AM2" s="409"/>
    </row>
    <row r="3" spans="1:39" ht="18" customHeight="1">
      <c r="A3" s="211"/>
      <c r="B3" s="212">
        <f>COLUMN()-1</f>
        <v>1</v>
      </c>
      <c r="C3" s="212">
        <f t="shared" ref="C3:AM3" si="0">COLUMN()-1</f>
        <v>2</v>
      </c>
      <c r="D3" s="212">
        <f t="shared" si="0"/>
        <v>3</v>
      </c>
      <c r="E3" s="212">
        <f t="shared" si="0"/>
        <v>4</v>
      </c>
      <c r="F3" s="212">
        <f t="shared" si="0"/>
        <v>5</v>
      </c>
      <c r="G3" s="212">
        <f t="shared" si="0"/>
        <v>6</v>
      </c>
      <c r="H3" s="212">
        <f t="shared" si="0"/>
        <v>7</v>
      </c>
      <c r="I3" s="212">
        <f t="shared" si="0"/>
        <v>8</v>
      </c>
      <c r="J3" s="212">
        <f t="shared" si="0"/>
        <v>9</v>
      </c>
      <c r="K3" s="212">
        <f t="shared" si="0"/>
        <v>10</v>
      </c>
      <c r="L3" s="212">
        <f t="shared" si="0"/>
        <v>11</v>
      </c>
      <c r="M3" s="212">
        <f t="shared" si="0"/>
        <v>12</v>
      </c>
      <c r="N3" s="212">
        <f t="shared" si="0"/>
        <v>13</v>
      </c>
      <c r="O3" s="212">
        <f t="shared" si="0"/>
        <v>14</v>
      </c>
      <c r="P3" s="212">
        <f t="shared" si="0"/>
        <v>15</v>
      </c>
      <c r="Q3" s="212">
        <f t="shared" si="0"/>
        <v>16</v>
      </c>
      <c r="R3" s="212">
        <f t="shared" si="0"/>
        <v>17</v>
      </c>
      <c r="S3" s="212">
        <f t="shared" si="0"/>
        <v>18</v>
      </c>
      <c r="T3" s="212">
        <f t="shared" si="0"/>
        <v>19</v>
      </c>
      <c r="U3" s="212">
        <f t="shared" si="0"/>
        <v>20</v>
      </c>
      <c r="V3" s="212">
        <f t="shared" si="0"/>
        <v>21</v>
      </c>
      <c r="W3" s="212">
        <f t="shared" si="0"/>
        <v>22</v>
      </c>
      <c r="X3" s="212">
        <f t="shared" si="0"/>
        <v>23</v>
      </c>
      <c r="Y3" s="212">
        <f t="shared" si="0"/>
        <v>24</v>
      </c>
      <c r="Z3" s="212">
        <f t="shared" si="0"/>
        <v>25</v>
      </c>
      <c r="AA3" s="212">
        <f t="shared" si="0"/>
        <v>26</v>
      </c>
      <c r="AB3" s="227">
        <f t="shared" si="0"/>
        <v>27</v>
      </c>
      <c r="AC3" s="212">
        <f t="shared" si="0"/>
        <v>28</v>
      </c>
      <c r="AD3" s="212"/>
      <c r="AE3" s="212">
        <f t="shared" si="0"/>
        <v>30</v>
      </c>
      <c r="AF3" s="212">
        <f t="shared" si="0"/>
        <v>31</v>
      </c>
      <c r="AG3" s="212">
        <f t="shared" si="0"/>
        <v>32</v>
      </c>
      <c r="AH3" s="212">
        <f t="shared" si="0"/>
        <v>33</v>
      </c>
      <c r="AI3" s="212">
        <f t="shared" si="0"/>
        <v>34</v>
      </c>
      <c r="AJ3" s="212">
        <f t="shared" si="0"/>
        <v>35</v>
      </c>
      <c r="AK3" s="212">
        <f t="shared" si="0"/>
        <v>36</v>
      </c>
      <c r="AL3" s="213">
        <f t="shared" si="0"/>
        <v>37</v>
      </c>
      <c r="AM3" s="212">
        <f t="shared" si="0"/>
        <v>38</v>
      </c>
    </row>
    <row r="4" spans="1:39" ht="18" customHeight="1">
      <c r="A4" s="81"/>
      <c r="B4" s="205" t="str">
        <f>_xlfn.LET(_xlpm.var,◆관리정보!B4,IF(_xlpm.var&lt;&gt;0,_xlpm.var,""))</f>
        <v>제이앤제이</v>
      </c>
      <c r="C4" s="82" t="str">
        <f>_xlfn.LET(_xlpm.var,◆관리정보!C4,IF(_xlpm.var&lt;&gt;0,_xlpm.var,""))</f>
        <v>B01</v>
      </c>
      <c r="D4" s="83" t="s">
        <v>37</v>
      </c>
      <c r="E4" s="196" t="str">
        <f t="shared" ref="E4:E67" si="1">_xlfn.CONCAT(B4,C4)</f>
        <v>제이앤제이B01</v>
      </c>
      <c r="F4" s="197">
        <v>46117</v>
      </c>
      <c r="G4" s="228"/>
      <c r="H4" s="228"/>
      <c r="I4" s="228">
        <f>852640-160000-400000-50000-100000-100000-60000</f>
        <v>-17360</v>
      </c>
      <c r="J4" s="228"/>
      <c r="K4" s="216"/>
      <c r="L4" s="199">
        <v>45721</v>
      </c>
      <c r="M4" s="199">
        <v>45812</v>
      </c>
      <c r="N4" s="195" t="s">
        <v>38</v>
      </c>
      <c r="O4" s="195" t="s">
        <v>39</v>
      </c>
      <c r="P4" s="240">
        <v>650000</v>
      </c>
      <c r="Q4" s="240">
        <v>650000</v>
      </c>
      <c r="R4" s="195"/>
      <c r="S4" s="240">
        <v>70000</v>
      </c>
      <c r="T4" s="195" t="s">
        <v>40</v>
      </c>
      <c r="U4" s="240">
        <v>25000</v>
      </c>
      <c r="V4" s="195" t="s">
        <v>40</v>
      </c>
      <c r="W4" s="200">
        <v>25000</v>
      </c>
      <c r="X4" s="195" t="s">
        <v>40</v>
      </c>
      <c r="Y4" s="201"/>
      <c r="Z4" s="195"/>
      <c r="AA4" s="219"/>
      <c r="AB4" s="240">
        <v>100000</v>
      </c>
      <c r="AC4" s="240">
        <v>100000</v>
      </c>
      <c r="AD4" s="240"/>
      <c r="AE4" s="195" t="s">
        <v>41</v>
      </c>
      <c r="AF4" s="195" t="s">
        <v>42</v>
      </c>
      <c r="AG4" s="202"/>
      <c r="AH4" s="202"/>
      <c r="AI4" s="202"/>
      <c r="AJ4" s="202"/>
      <c r="AK4" s="195"/>
      <c r="AL4" s="195" t="str" cm="1">
        <f t="array" aca="1" ref="AL4" ca="1">_xlfn.IFS(
 AND($AK4&lt;&gt;"", M4&lt;&gt;0, M4&lt;=EDATE(TODAY(),2)),"도래",
 AND($AK4&lt;&gt;"", M4&lt;&gt;0, M4&lt;=EDATE(TODAY(),3)),"예정",
 AND($AK4&lt;&gt;"", M4&lt;&gt;0, M4&lt;=EDATE(TODAY(),6)),"관심",
 TRUE,""
)</f>
        <v/>
      </c>
      <c r="AM4" s="198">
        <f>DAY(L4)</f>
        <v>5</v>
      </c>
    </row>
    <row r="5" spans="1:39" ht="19.5" customHeight="1">
      <c r="A5" s="81"/>
      <c r="B5" s="205" t="str">
        <f>_xlfn.LET(_xlpm.var,◆관리정보!B5,IF(_xlpm.var&lt;&gt;0,_xlpm.var,""))</f>
        <v>제이앤제이</v>
      </c>
      <c r="C5" s="82">
        <f>_xlfn.LET(_xlpm.var,◆관리정보!C5,IF(_xlpm.var&lt;&gt;0,_xlpm.var,""))</f>
        <v>101</v>
      </c>
      <c r="D5" s="83" t="s">
        <v>43</v>
      </c>
      <c r="E5" s="84" t="str">
        <f t="shared" si="1"/>
        <v>제이앤제이101</v>
      </c>
      <c r="F5" s="85">
        <v>46113</v>
      </c>
      <c r="G5" s="229"/>
      <c r="H5" s="229"/>
      <c r="I5" s="229"/>
      <c r="J5" s="229"/>
      <c r="K5" s="217"/>
      <c r="L5" s="87">
        <v>45748</v>
      </c>
      <c r="M5" s="87">
        <v>46477</v>
      </c>
      <c r="N5" s="82" t="s">
        <v>44</v>
      </c>
      <c r="O5" s="82" t="s">
        <v>45</v>
      </c>
      <c r="P5" s="241">
        <v>10000000</v>
      </c>
      <c r="Q5" s="241">
        <v>1150000</v>
      </c>
      <c r="R5" s="82"/>
      <c r="S5" s="241"/>
      <c r="T5" s="82"/>
      <c r="U5" s="241"/>
      <c r="V5" s="82"/>
      <c r="W5" s="88"/>
      <c r="X5" s="82"/>
      <c r="Y5" s="89"/>
      <c r="Z5" s="82"/>
      <c r="AA5" s="220"/>
      <c r="AB5" s="241"/>
      <c r="AC5" s="241"/>
      <c r="AD5" s="241"/>
      <c r="AE5" s="82"/>
      <c r="AF5" s="82"/>
      <c r="AG5" s="90"/>
      <c r="AH5" s="90"/>
      <c r="AI5" s="90" t="s">
        <v>46</v>
      </c>
      <c r="AJ5" s="90"/>
      <c r="AK5" s="82" t="s">
        <v>47</v>
      </c>
      <c r="AL5" s="82" t="str" cm="1">
        <f t="array" aca="1" ref="AL5" ca="1">_xlfn.IFS(
 AND($AK5&lt;&gt;"", M5&lt;&gt;0, M5&lt;=EDATE(TODAY(),2)),"도래",
 AND($AK5&lt;&gt;"", M5&lt;&gt;0, M5&lt;=EDATE(TODAY(),3)),"예정",
 AND($AK5&lt;&gt;"", M5&lt;&gt;0, M5&lt;=EDATE(TODAY(),6)),"관심",
 TRUE,""
)</f>
        <v/>
      </c>
      <c r="AM5" s="198">
        <f t="shared" ref="AM5:AM68" si="2">DAY(L5)</f>
        <v>1</v>
      </c>
    </row>
    <row r="6" spans="1:39" ht="18" customHeight="1">
      <c r="A6" s="81"/>
      <c r="B6" s="205" t="str">
        <f>_xlfn.LET(_xlpm.var,◆관리정보!B6,IF(_xlpm.var&lt;&gt;0,_xlpm.var,""))</f>
        <v>제이앤제이</v>
      </c>
      <c r="C6" s="82">
        <f>_xlfn.LET(_xlpm.var,◆관리정보!C6,IF(_xlpm.var&lt;&gt;0,_xlpm.var,""))</f>
        <v>201</v>
      </c>
      <c r="D6" s="83" t="s">
        <v>48</v>
      </c>
      <c r="E6" s="84" t="str">
        <f t="shared" si="1"/>
        <v>제이앤제이201</v>
      </c>
      <c r="F6" s="85">
        <v>46115</v>
      </c>
      <c r="G6" s="229"/>
      <c r="H6" s="229"/>
      <c r="I6" s="229"/>
      <c r="J6" s="229"/>
      <c r="K6" s="218"/>
      <c r="L6" s="87">
        <v>43162</v>
      </c>
      <c r="M6" s="87">
        <v>43345</v>
      </c>
      <c r="N6" s="82" t="s">
        <v>49</v>
      </c>
      <c r="O6" s="82" t="s">
        <v>50</v>
      </c>
      <c r="P6" s="241">
        <v>1400000</v>
      </c>
      <c r="Q6" s="241">
        <v>1300000</v>
      </c>
      <c r="R6" s="82"/>
      <c r="S6" s="241">
        <v>100000</v>
      </c>
      <c r="T6" s="82" t="s">
        <v>40</v>
      </c>
      <c r="U6" s="241">
        <v>15000</v>
      </c>
      <c r="V6" s="82" t="s">
        <v>40</v>
      </c>
      <c r="W6" s="88">
        <v>25000</v>
      </c>
      <c r="X6" s="82" t="s">
        <v>40</v>
      </c>
      <c r="Y6" s="89"/>
      <c r="Z6" s="82"/>
      <c r="AA6" s="220"/>
      <c r="AB6" s="241">
        <v>150000</v>
      </c>
      <c r="AC6" s="241">
        <v>150000</v>
      </c>
      <c r="AD6" s="241">
        <v>150000</v>
      </c>
      <c r="AE6" s="82" t="s">
        <v>51</v>
      </c>
      <c r="AF6" s="82" t="s">
        <v>52</v>
      </c>
      <c r="AG6" s="90"/>
      <c r="AH6" s="90"/>
      <c r="AI6" s="90" t="s">
        <v>53</v>
      </c>
      <c r="AJ6" s="90"/>
      <c r="AK6" s="82"/>
      <c r="AL6" s="82" t="str" cm="1">
        <f t="array" aca="1" ref="AL6" ca="1">_xlfn.IFS(
 AND($AK6&lt;&gt;"", M6&lt;&gt;0, M6&lt;=EDATE(TODAY(),2)),"도래",
 AND($AK6&lt;&gt;"", M6&lt;&gt;0, M6&lt;=EDATE(TODAY(),3)),"예정",
 AND($AK6&lt;&gt;"", M6&lt;&gt;0, M6&lt;=EDATE(TODAY(),6)),"관심",
 TRUE,""
)</f>
        <v/>
      </c>
      <c r="AM6" s="198">
        <f t="shared" si="2"/>
        <v>3</v>
      </c>
    </row>
    <row r="7" spans="1:39" ht="18" customHeight="1">
      <c r="A7" s="81"/>
      <c r="B7" s="205" t="str">
        <f>_xlfn.LET(_xlpm.var,◆관리정보!B7,IF(_xlpm.var&lt;&gt;0,_xlpm.var,""))</f>
        <v>제이앤제이</v>
      </c>
      <c r="C7" s="82">
        <f>_xlfn.LET(_xlpm.var,◆관리정보!C7,IF(_xlpm.var&lt;&gt;0,_xlpm.var,""))</f>
        <v>301</v>
      </c>
      <c r="D7" s="83" t="s">
        <v>54</v>
      </c>
      <c r="E7" s="84" t="str">
        <f t="shared" si="1"/>
        <v>제이앤제이301</v>
      </c>
      <c r="F7" s="85">
        <v>46102</v>
      </c>
      <c r="G7" s="229"/>
      <c r="H7" s="229"/>
      <c r="I7" s="229">
        <v>2037410</v>
      </c>
      <c r="J7" s="229"/>
      <c r="K7" s="218"/>
      <c r="L7" s="87">
        <v>45798</v>
      </c>
      <c r="M7" s="87">
        <v>45981</v>
      </c>
      <c r="N7" s="82" t="s">
        <v>55</v>
      </c>
      <c r="O7" s="82" t="s">
        <v>56</v>
      </c>
      <c r="P7" s="241">
        <v>1650000</v>
      </c>
      <c r="Q7" s="241">
        <v>1650000</v>
      </c>
      <c r="R7" s="82"/>
      <c r="S7" s="241">
        <v>120000</v>
      </c>
      <c r="T7" s="82" t="s">
        <v>40</v>
      </c>
      <c r="U7" s="241">
        <v>25000</v>
      </c>
      <c r="V7" s="82" t="s">
        <v>40</v>
      </c>
      <c r="W7" s="88">
        <v>25000</v>
      </c>
      <c r="X7" s="82" t="s">
        <v>40</v>
      </c>
      <c r="Y7" s="89"/>
      <c r="Z7" s="82"/>
      <c r="AA7" s="220"/>
      <c r="AB7" s="241">
        <v>200000</v>
      </c>
      <c r="AC7" s="241">
        <v>250000</v>
      </c>
      <c r="AD7" s="241"/>
      <c r="AE7" s="82" t="s">
        <v>57</v>
      </c>
      <c r="AF7" s="82" t="s">
        <v>58</v>
      </c>
      <c r="AG7" s="90"/>
      <c r="AH7" s="90"/>
      <c r="AI7" s="90" t="s">
        <v>59</v>
      </c>
      <c r="AJ7" s="90"/>
      <c r="AK7" s="82"/>
      <c r="AL7" s="82" t="str" cm="1">
        <f t="array" aca="1" ref="AL7" ca="1">_xlfn.IFS(
 AND($AK7&lt;&gt;"", M7&lt;&gt;0, M7&lt;=EDATE(TODAY(),2)),"도래",
 AND($AK7&lt;&gt;"", M7&lt;&gt;0, M7&lt;=EDATE(TODAY(),3)),"예정",
 AND($AK7&lt;&gt;"", M7&lt;&gt;0, M7&lt;=EDATE(TODAY(),6)),"관심",
 TRUE,""
)</f>
        <v/>
      </c>
      <c r="AM7" s="198">
        <f t="shared" si="2"/>
        <v>21</v>
      </c>
    </row>
    <row r="8" spans="1:39" ht="18" customHeight="1">
      <c r="A8" s="81"/>
      <c r="B8" s="205" t="str">
        <f>_xlfn.LET(_xlpm.var,◆관리정보!B8,IF(_xlpm.var&lt;&gt;0,_xlpm.var,""))</f>
        <v>제이앤제이</v>
      </c>
      <c r="C8" s="82">
        <f>_xlfn.LET(_xlpm.var,◆관리정보!C8,IF(_xlpm.var&lt;&gt;0,_xlpm.var,""))</f>
        <v>401</v>
      </c>
      <c r="D8" s="83" t="s">
        <v>60</v>
      </c>
      <c r="E8" s="84" t="str">
        <f t="shared" si="1"/>
        <v>제이앤제이401</v>
      </c>
      <c r="F8" s="85">
        <v>46107</v>
      </c>
      <c r="G8" s="229"/>
      <c r="H8" s="229"/>
      <c r="I8" s="229"/>
      <c r="J8" s="229"/>
      <c r="K8" s="218"/>
      <c r="L8" s="87">
        <v>45864</v>
      </c>
      <c r="M8" s="87">
        <v>45955</v>
      </c>
      <c r="N8" s="82" t="s">
        <v>61</v>
      </c>
      <c r="O8" s="82" t="s">
        <v>62</v>
      </c>
      <c r="P8" s="241">
        <v>1950000</v>
      </c>
      <c r="Q8" s="241">
        <v>1950000</v>
      </c>
      <c r="R8" s="82"/>
      <c r="S8" s="241">
        <v>150000</v>
      </c>
      <c r="T8" s="82" t="s">
        <v>40</v>
      </c>
      <c r="U8" s="241">
        <v>30000</v>
      </c>
      <c r="V8" s="82" t="s">
        <v>40</v>
      </c>
      <c r="W8" s="88">
        <v>25000</v>
      </c>
      <c r="X8" s="82" t="s">
        <v>40</v>
      </c>
      <c r="Y8" s="89"/>
      <c r="Z8" s="82"/>
      <c r="AA8" s="220"/>
      <c r="AB8" s="241">
        <v>250000</v>
      </c>
      <c r="AC8" s="241">
        <v>200000</v>
      </c>
      <c r="AD8" s="241"/>
      <c r="AE8" s="82" t="s">
        <v>63</v>
      </c>
      <c r="AF8" s="82" t="s">
        <v>64</v>
      </c>
      <c r="AG8" s="90"/>
      <c r="AH8" s="90"/>
      <c r="AI8" s="90" t="s">
        <v>65</v>
      </c>
      <c r="AJ8" s="90"/>
      <c r="AK8" s="82"/>
      <c r="AL8" s="82" t="str" cm="1">
        <f t="array" aca="1" ref="AL8" ca="1">_xlfn.IFS(
 AND($AK8&lt;&gt;"", M8&lt;&gt;0, M8&lt;=EDATE(TODAY(),2)),"도래",
 AND($AK8&lt;&gt;"", M8&lt;&gt;0, M8&lt;=EDATE(TODAY(),3)),"예정",
 AND($AK8&lt;&gt;"", M8&lt;&gt;0, M8&lt;=EDATE(TODAY(),6)),"관심",
 TRUE,""
)</f>
        <v/>
      </c>
      <c r="AM8" s="198">
        <f t="shared" si="2"/>
        <v>26</v>
      </c>
    </row>
    <row r="9" spans="1:39" ht="18" customHeight="1">
      <c r="A9" s="81"/>
      <c r="B9" s="205" t="str">
        <f>_xlfn.LET(_xlpm.var,◆관리정보!B9,IF(_xlpm.var&lt;&gt;0,_xlpm.var,""))</f>
        <v>스타빌</v>
      </c>
      <c r="C9" s="82">
        <f>_xlfn.LET(_xlpm.var,◆관리정보!C9,IF(_xlpm.var&lt;&gt;0,_xlpm.var,""))</f>
        <v>101</v>
      </c>
      <c r="D9" s="83" t="s">
        <v>66</v>
      </c>
      <c r="E9" s="84" t="str">
        <f t="shared" si="1"/>
        <v>스타빌101</v>
      </c>
      <c r="F9" s="85">
        <v>46127</v>
      </c>
      <c r="G9" s="229"/>
      <c r="H9" s="229"/>
      <c r="I9" s="229"/>
      <c r="J9" s="229"/>
      <c r="K9" s="218"/>
      <c r="L9" s="87">
        <v>45884</v>
      </c>
      <c r="M9" s="87">
        <v>45975</v>
      </c>
      <c r="N9" s="82" t="s">
        <v>67</v>
      </c>
      <c r="O9" s="82" t="s">
        <v>68</v>
      </c>
      <c r="P9" s="241">
        <v>650000</v>
      </c>
      <c r="Q9" s="241">
        <v>650000</v>
      </c>
      <c r="R9" s="82"/>
      <c r="S9" s="241">
        <v>80000</v>
      </c>
      <c r="T9" s="82" t="s">
        <v>40</v>
      </c>
      <c r="U9" s="241">
        <v>25000</v>
      </c>
      <c r="V9" s="82" t="s">
        <v>40</v>
      </c>
      <c r="W9" s="88">
        <v>25000</v>
      </c>
      <c r="X9" s="82" t="s">
        <v>40</v>
      </c>
      <c r="Y9" s="89"/>
      <c r="Z9" s="82"/>
      <c r="AA9" s="220"/>
      <c r="AB9" s="241">
        <v>100000</v>
      </c>
      <c r="AC9" s="241">
        <v>100000</v>
      </c>
      <c r="AD9" s="241"/>
      <c r="AE9" s="82" t="s">
        <v>69</v>
      </c>
      <c r="AF9" s="82" t="s">
        <v>70</v>
      </c>
      <c r="AG9" s="90"/>
      <c r="AH9" s="90"/>
      <c r="AI9" s="90"/>
      <c r="AJ9" s="90"/>
      <c r="AK9" s="82"/>
      <c r="AL9" s="82" t="str" cm="1">
        <f t="array" aca="1" ref="AL9" ca="1">_xlfn.IFS(
 AND($AK9&lt;&gt;"", M9&lt;&gt;0, M9&lt;=EDATE(TODAY(),2)),"도래",
 AND($AK9&lt;&gt;"", M9&lt;&gt;0, M9&lt;=EDATE(TODAY(),3)),"예정",
 AND($AK9&lt;&gt;"", M9&lt;&gt;0, M9&lt;=EDATE(TODAY(),6)),"관심",
 TRUE,""
)</f>
        <v/>
      </c>
      <c r="AM9" s="198">
        <f t="shared" si="2"/>
        <v>15</v>
      </c>
    </row>
    <row r="10" spans="1:39" ht="18" customHeight="1">
      <c r="A10" s="81"/>
      <c r="B10" s="205" t="str">
        <f>_xlfn.LET(_xlpm.var,◆관리정보!B10,IF(_xlpm.var&lt;&gt;0,_xlpm.var,""))</f>
        <v>스타빌</v>
      </c>
      <c r="C10" s="82">
        <f>_xlfn.LET(_xlpm.var,◆관리정보!C10,IF(_xlpm.var&lt;&gt;0,_xlpm.var,""))</f>
        <v>102</v>
      </c>
      <c r="D10" s="83" t="s">
        <v>71</v>
      </c>
      <c r="E10" s="84" t="str">
        <f t="shared" si="1"/>
        <v>스타빌102</v>
      </c>
      <c r="F10" s="85">
        <v>46109</v>
      </c>
      <c r="G10" s="229"/>
      <c r="H10" s="229"/>
      <c r="I10" s="229"/>
      <c r="J10" s="229"/>
      <c r="K10" s="218"/>
      <c r="L10" s="87">
        <v>46050</v>
      </c>
      <c r="M10" s="87">
        <v>46139</v>
      </c>
      <c r="N10" s="82" t="s">
        <v>72</v>
      </c>
      <c r="O10" s="82" t="s">
        <v>73</v>
      </c>
      <c r="P10" s="241">
        <v>700000</v>
      </c>
      <c r="Q10" s="241">
        <v>650000</v>
      </c>
      <c r="R10" s="82"/>
      <c r="S10" s="241">
        <v>80000</v>
      </c>
      <c r="T10" s="82" t="s">
        <v>40</v>
      </c>
      <c r="U10" s="241">
        <v>25000</v>
      </c>
      <c r="V10" s="82" t="s">
        <v>40</v>
      </c>
      <c r="W10" s="88">
        <v>25000</v>
      </c>
      <c r="X10" s="82" t="s">
        <v>40</v>
      </c>
      <c r="Y10" s="89"/>
      <c r="Z10" s="82"/>
      <c r="AA10" s="220"/>
      <c r="AB10" s="241">
        <v>100000</v>
      </c>
      <c r="AC10" s="241">
        <v>100000</v>
      </c>
      <c r="AD10" s="241"/>
      <c r="AE10" s="82" t="s">
        <v>74</v>
      </c>
      <c r="AF10" s="82" t="s">
        <v>75</v>
      </c>
      <c r="AG10" s="90"/>
      <c r="AH10" s="90"/>
      <c r="AI10" s="90"/>
      <c r="AJ10" s="90"/>
      <c r="AK10" s="82"/>
      <c r="AL10" s="82" t="str" cm="1">
        <f t="array" aca="1" ref="AL10" ca="1">_xlfn.IFS(
 AND($AK10&lt;&gt;"", M10&lt;&gt;0, M10&lt;=EDATE(TODAY(),2)),"도래",
 AND($AK10&lt;&gt;"", M10&lt;&gt;0, M10&lt;=EDATE(TODAY(),3)),"예정",
 AND($AK10&lt;&gt;"", M10&lt;&gt;0, M10&lt;=EDATE(TODAY(),6)),"관심",
 TRUE,""
)</f>
        <v/>
      </c>
      <c r="AM10" s="198">
        <f t="shared" si="2"/>
        <v>28</v>
      </c>
    </row>
    <row r="11" spans="1:39" ht="18" customHeight="1">
      <c r="A11" s="81"/>
      <c r="B11" s="205" t="str">
        <f>_xlfn.LET(_xlpm.var,◆관리정보!B11,IF(_xlpm.var&lt;&gt;0,_xlpm.var,""))</f>
        <v>스타빌</v>
      </c>
      <c r="C11" s="82">
        <f>_xlfn.LET(_xlpm.var,◆관리정보!C11,IF(_xlpm.var&lt;&gt;0,_xlpm.var,""))</f>
        <v>103</v>
      </c>
      <c r="D11" s="83" t="s">
        <v>76</v>
      </c>
      <c r="E11" s="84" t="str">
        <f t="shared" si="1"/>
        <v>스타빌103</v>
      </c>
      <c r="F11" s="85">
        <v>46130</v>
      </c>
      <c r="G11" s="229"/>
      <c r="H11" s="229"/>
      <c r="I11" s="229"/>
      <c r="J11" s="229"/>
      <c r="K11" s="218"/>
      <c r="L11" s="87">
        <v>45856</v>
      </c>
      <c r="M11" s="87">
        <v>45947</v>
      </c>
      <c r="N11" s="82" t="s">
        <v>77</v>
      </c>
      <c r="O11" s="82" t="s">
        <v>78</v>
      </c>
      <c r="P11" s="241">
        <v>600000</v>
      </c>
      <c r="Q11" s="241">
        <v>600000</v>
      </c>
      <c r="R11" s="82"/>
      <c r="S11" s="241">
        <v>80000</v>
      </c>
      <c r="T11" s="82" t="s">
        <v>40</v>
      </c>
      <c r="U11" s="241">
        <v>25000</v>
      </c>
      <c r="V11" s="82" t="s">
        <v>40</v>
      </c>
      <c r="W11" s="88">
        <v>25000</v>
      </c>
      <c r="X11" s="82" t="s">
        <v>40</v>
      </c>
      <c r="Y11" s="89"/>
      <c r="Z11" s="82"/>
      <c r="AA11" s="220"/>
      <c r="AB11" s="241">
        <v>100000</v>
      </c>
      <c r="AC11" s="241">
        <v>100000</v>
      </c>
      <c r="AD11" s="241"/>
      <c r="AE11" s="82" t="s">
        <v>79</v>
      </c>
      <c r="AF11" s="82" t="s">
        <v>80</v>
      </c>
      <c r="AG11" s="90"/>
      <c r="AH11" s="90"/>
      <c r="AI11" s="90" t="s">
        <v>81</v>
      </c>
      <c r="AJ11" s="90"/>
      <c r="AK11" s="82"/>
      <c r="AL11" s="82" t="str" cm="1">
        <f t="array" aca="1" ref="AL11" ca="1">_xlfn.IFS(
 AND($AK11&lt;&gt;"", M11&lt;&gt;0, M11&lt;=EDATE(TODAY(),2)),"도래",
 AND($AK11&lt;&gt;"", M11&lt;&gt;0, M11&lt;=EDATE(TODAY(),3)),"예정",
 AND($AK11&lt;&gt;"", M11&lt;&gt;0, M11&lt;=EDATE(TODAY(),6)),"관심",
 TRUE,""
)</f>
        <v/>
      </c>
      <c r="AM11" s="198">
        <f t="shared" si="2"/>
        <v>18</v>
      </c>
    </row>
    <row r="12" spans="1:39" ht="18" customHeight="1">
      <c r="A12" s="81"/>
      <c r="B12" s="205" t="str">
        <f>_xlfn.LET(_xlpm.var,◆관리정보!B12,IF(_xlpm.var&lt;&gt;0,_xlpm.var,""))</f>
        <v>스타빌</v>
      </c>
      <c r="C12" s="82">
        <f>_xlfn.LET(_xlpm.var,◆관리정보!C12,IF(_xlpm.var&lt;&gt;0,_xlpm.var,""))</f>
        <v>105</v>
      </c>
      <c r="D12" s="83" t="s">
        <v>82</v>
      </c>
      <c r="E12" s="84" t="str">
        <f t="shared" si="1"/>
        <v>스타빌105</v>
      </c>
      <c r="F12" s="85">
        <v>46116</v>
      </c>
      <c r="G12" s="229"/>
      <c r="H12" s="229"/>
      <c r="I12" s="229"/>
      <c r="J12" s="229"/>
      <c r="K12" s="218"/>
      <c r="L12" s="87">
        <v>46057</v>
      </c>
      <c r="M12" s="87">
        <v>46145</v>
      </c>
      <c r="N12" s="82" t="s">
        <v>83</v>
      </c>
      <c r="O12" s="82" t="s">
        <v>84</v>
      </c>
      <c r="P12" s="241">
        <v>650000</v>
      </c>
      <c r="Q12" s="241">
        <v>650000</v>
      </c>
      <c r="R12" s="82"/>
      <c r="S12" s="241">
        <v>80000</v>
      </c>
      <c r="T12" s="82" t="s">
        <v>40</v>
      </c>
      <c r="U12" s="241">
        <v>25000</v>
      </c>
      <c r="V12" s="82" t="s">
        <v>40</v>
      </c>
      <c r="W12" s="88">
        <v>25000</v>
      </c>
      <c r="X12" s="82" t="s">
        <v>40</v>
      </c>
      <c r="Y12" s="89"/>
      <c r="Z12" s="82"/>
      <c r="AA12" s="220"/>
      <c r="AB12" s="241">
        <v>100000</v>
      </c>
      <c r="AC12" s="241">
        <v>100000</v>
      </c>
      <c r="AD12" s="241"/>
      <c r="AE12" s="82" t="s">
        <v>85</v>
      </c>
      <c r="AF12" s="82" t="s">
        <v>86</v>
      </c>
      <c r="AG12" s="90"/>
      <c r="AH12" s="90"/>
      <c r="AI12" s="90"/>
      <c r="AJ12" s="90"/>
      <c r="AK12" s="82"/>
      <c r="AL12" s="82" t="str" cm="1">
        <f t="array" aca="1" ref="AL12" ca="1">_xlfn.IFS(
 AND($AK12&lt;&gt;"", M12&lt;&gt;0, M12&lt;=EDATE(TODAY(),2)),"도래",
 AND($AK12&lt;&gt;"", M12&lt;&gt;0, M12&lt;=EDATE(TODAY(),3)),"예정",
 AND($AK12&lt;&gt;"", M12&lt;&gt;0, M12&lt;=EDATE(TODAY(),6)),"관심",
 TRUE,""
)</f>
        <v/>
      </c>
      <c r="AM12" s="198">
        <f t="shared" si="2"/>
        <v>4</v>
      </c>
    </row>
    <row r="13" spans="1:39" ht="18" customHeight="1">
      <c r="A13" s="81"/>
      <c r="B13" s="205" t="str">
        <f>_xlfn.LET(_xlpm.var,◆관리정보!B13,IF(_xlpm.var&lt;&gt;0,_xlpm.var,""))</f>
        <v>스타빌</v>
      </c>
      <c r="C13" s="82">
        <f>_xlfn.LET(_xlpm.var,◆관리정보!C13,IF(_xlpm.var&lt;&gt;0,_xlpm.var,""))</f>
        <v>201</v>
      </c>
      <c r="D13" s="83" t="s">
        <v>87</v>
      </c>
      <c r="E13" s="84" t="str">
        <f t="shared" si="1"/>
        <v>스타빌201</v>
      </c>
      <c r="F13" s="85">
        <v>46116</v>
      </c>
      <c r="G13" s="229"/>
      <c r="H13" s="229"/>
      <c r="I13" s="229"/>
      <c r="J13" s="229"/>
      <c r="K13" s="218"/>
      <c r="L13" s="87">
        <v>43955</v>
      </c>
      <c r="M13" s="87">
        <v>44046</v>
      </c>
      <c r="N13" s="82" t="s">
        <v>88</v>
      </c>
      <c r="O13" s="82" t="s">
        <v>89</v>
      </c>
      <c r="P13" s="241">
        <v>650000</v>
      </c>
      <c r="Q13" s="241">
        <v>650000</v>
      </c>
      <c r="R13" s="82"/>
      <c r="S13" s="241">
        <v>60000</v>
      </c>
      <c r="T13" s="82" t="s">
        <v>40</v>
      </c>
      <c r="U13" s="241">
        <v>20000</v>
      </c>
      <c r="V13" s="82" t="s">
        <v>40</v>
      </c>
      <c r="W13" s="88">
        <v>25000</v>
      </c>
      <c r="X13" s="82" t="s">
        <v>40</v>
      </c>
      <c r="Y13" s="89"/>
      <c r="Z13" s="82"/>
      <c r="AA13" s="220"/>
      <c r="AB13" s="241">
        <v>100000</v>
      </c>
      <c r="AC13" s="241">
        <v>100000</v>
      </c>
      <c r="AD13" s="241">
        <v>50000</v>
      </c>
      <c r="AE13" s="82" t="s">
        <v>63</v>
      </c>
      <c r="AF13" s="82" t="s">
        <v>90</v>
      </c>
      <c r="AG13" s="90"/>
      <c r="AH13" s="90"/>
      <c r="AI13" s="90" t="s">
        <v>91</v>
      </c>
      <c r="AJ13" s="90"/>
      <c r="AK13" s="82"/>
      <c r="AL13" s="82" t="str" cm="1">
        <f t="array" aca="1" ref="AL13" ca="1">_xlfn.IFS(
 AND($AK13&lt;&gt;"", M13&lt;&gt;0, M13&lt;=EDATE(TODAY(),2)),"도래",
 AND($AK13&lt;&gt;"", M13&lt;&gt;0, M13&lt;=EDATE(TODAY(),3)),"예정",
 AND($AK13&lt;&gt;"", M13&lt;&gt;0, M13&lt;=EDATE(TODAY(),6)),"관심",
 TRUE,""
)</f>
        <v/>
      </c>
      <c r="AM13" s="198">
        <f t="shared" si="2"/>
        <v>4</v>
      </c>
    </row>
    <row r="14" spans="1:39" ht="18" customHeight="1">
      <c r="A14" s="81"/>
      <c r="B14" s="205" t="str">
        <f>_xlfn.LET(_xlpm.var,◆관리정보!B14,IF(_xlpm.var&lt;&gt;0,_xlpm.var,""))</f>
        <v>스타빌</v>
      </c>
      <c r="C14" s="82">
        <f>_xlfn.LET(_xlpm.var,◆관리정보!C14,IF(_xlpm.var&lt;&gt;0,_xlpm.var,""))</f>
        <v>202</v>
      </c>
      <c r="D14" s="83" t="s">
        <v>92</v>
      </c>
      <c r="E14" s="84" t="str">
        <f t="shared" si="1"/>
        <v>스타빌202</v>
      </c>
      <c r="F14" s="85">
        <v>46110</v>
      </c>
      <c r="G14" s="229"/>
      <c r="H14" s="229"/>
      <c r="I14" s="229"/>
      <c r="J14" s="229"/>
      <c r="K14" s="218"/>
      <c r="L14" s="87">
        <v>45594</v>
      </c>
      <c r="M14" s="87">
        <v>45685</v>
      </c>
      <c r="N14" s="82" t="s">
        <v>93</v>
      </c>
      <c r="O14" s="82" t="s">
        <v>94</v>
      </c>
      <c r="P14" s="241">
        <v>750000</v>
      </c>
      <c r="Q14" s="241">
        <v>750000</v>
      </c>
      <c r="R14" s="82"/>
      <c r="S14" s="241">
        <v>80000</v>
      </c>
      <c r="T14" s="82" t="s">
        <v>40</v>
      </c>
      <c r="U14" s="241">
        <v>25000</v>
      </c>
      <c r="V14" s="82" t="s">
        <v>40</v>
      </c>
      <c r="W14" s="88">
        <v>25000</v>
      </c>
      <c r="X14" s="82" t="s">
        <v>40</v>
      </c>
      <c r="Y14" s="89"/>
      <c r="Z14" s="82"/>
      <c r="AA14" s="220"/>
      <c r="AB14" s="241">
        <v>100000</v>
      </c>
      <c r="AC14" s="241">
        <v>100000</v>
      </c>
      <c r="AD14" s="241"/>
      <c r="AE14" s="82" t="s">
        <v>95</v>
      </c>
      <c r="AF14" s="82" t="s">
        <v>96</v>
      </c>
      <c r="AG14" s="90"/>
      <c r="AH14" s="90"/>
      <c r="AI14" s="90"/>
      <c r="AJ14" s="90"/>
      <c r="AK14" s="82"/>
      <c r="AL14" s="82" t="str" cm="1">
        <f t="array" aca="1" ref="AL14" ca="1">_xlfn.IFS(
 AND($AK14&lt;&gt;"", M14&lt;&gt;0, M14&lt;=EDATE(TODAY(),2)),"도래",
 AND($AK14&lt;&gt;"", M14&lt;&gt;0, M14&lt;=EDATE(TODAY(),3)),"예정",
 AND($AK14&lt;&gt;"", M14&lt;&gt;0, M14&lt;=EDATE(TODAY(),6)),"관심",
 TRUE,""
)</f>
        <v/>
      </c>
      <c r="AM14" s="198">
        <f t="shared" si="2"/>
        <v>29</v>
      </c>
    </row>
    <row r="15" spans="1:39" ht="18" customHeight="1">
      <c r="A15" s="81"/>
      <c r="B15" s="205" t="str">
        <f>_xlfn.LET(_xlpm.var,◆관리정보!B15,IF(_xlpm.var&lt;&gt;0,_xlpm.var,""))</f>
        <v>스타빌</v>
      </c>
      <c r="C15" s="82">
        <f>_xlfn.LET(_xlpm.var,◆관리정보!C15,IF(_xlpm.var&lt;&gt;0,_xlpm.var,""))</f>
        <v>203</v>
      </c>
      <c r="D15" s="83" t="s">
        <v>97</v>
      </c>
      <c r="E15" s="84" t="str">
        <f t="shared" si="1"/>
        <v>스타빌203</v>
      </c>
      <c r="F15" s="85">
        <v>46108</v>
      </c>
      <c r="G15" s="229"/>
      <c r="H15" s="229"/>
      <c r="I15" s="229"/>
      <c r="J15" s="229"/>
      <c r="K15" s="218"/>
      <c r="L15" s="87">
        <v>45743</v>
      </c>
      <c r="M15" s="87">
        <v>45834</v>
      </c>
      <c r="N15" s="82" t="s">
        <v>98</v>
      </c>
      <c r="O15" s="82" t="s">
        <v>99</v>
      </c>
      <c r="P15" s="241">
        <v>750000</v>
      </c>
      <c r="Q15" s="241">
        <v>700000</v>
      </c>
      <c r="R15" s="82"/>
      <c r="S15" s="241">
        <v>80000</v>
      </c>
      <c r="T15" s="82" t="s">
        <v>40</v>
      </c>
      <c r="U15" s="241">
        <v>25000</v>
      </c>
      <c r="V15" s="82" t="s">
        <v>40</v>
      </c>
      <c r="W15" s="88">
        <v>25000</v>
      </c>
      <c r="X15" s="82" t="s">
        <v>40</v>
      </c>
      <c r="Y15" s="89"/>
      <c r="Z15" s="82"/>
      <c r="AA15" s="220"/>
      <c r="AB15" s="241">
        <v>100000</v>
      </c>
      <c r="AC15" s="241">
        <v>100000</v>
      </c>
      <c r="AD15" s="241"/>
      <c r="AE15" s="82" t="s">
        <v>79</v>
      </c>
      <c r="AF15" s="82" t="s">
        <v>100</v>
      </c>
      <c r="AG15" s="90"/>
      <c r="AH15" s="90"/>
      <c r="AI15" s="90"/>
      <c r="AJ15" s="90"/>
      <c r="AK15" s="82"/>
      <c r="AL15" s="82" t="str" cm="1">
        <f t="array" aca="1" ref="AL15" ca="1">_xlfn.IFS(
 AND($AK15&lt;&gt;"", M15&lt;&gt;0, M15&lt;=EDATE(TODAY(),2)),"도래",
 AND($AK15&lt;&gt;"", M15&lt;&gt;0, M15&lt;=EDATE(TODAY(),3)),"예정",
 AND($AK15&lt;&gt;"", M15&lt;&gt;0, M15&lt;=EDATE(TODAY(),6)),"관심",
 TRUE,""
)</f>
        <v/>
      </c>
      <c r="AM15" s="198">
        <f t="shared" si="2"/>
        <v>27</v>
      </c>
    </row>
    <row r="16" spans="1:39" ht="18" customHeight="1">
      <c r="A16" s="81"/>
      <c r="B16" s="205" t="str">
        <f>_xlfn.LET(_xlpm.var,◆관리정보!B16,IF(_xlpm.var&lt;&gt;0,_xlpm.var,""))</f>
        <v>스타빌</v>
      </c>
      <c r="C16" s="82">
        <f>_xlfn.LET(_xlpm.var,◆관리정보!C16,IF(_xlpm.var&lt;&gt;0,_xlpm.var,""))</f>
        <v>205</v>
      </c>
      <c r="D16" s="83" t="s">
        <v>101</v>
      </c>
      <c r="E16" s="84" t="str">
        <f t="shared" si="1"/>
        <v>스타빌205</v>
      </c>
      <c r="F16" s="85">
        <v>46123</v>
      </c>
      <c r="G16" s="229"/>
      <c r="H16" s="229"/>
      <c r="I16" s="229"/>
      <c r="J16" s="229"/>
      <c r="K16" s="318"/>
      <c r="L16" s="87">
        <v>45393</v>
      </c>
      <c r="M16" s="87">
        <v>45483</v>
      </c>
      <c r="N16" s="82" t="s">
        <v>102</v>
      </c>
      <c r="O16" s="82" t="s">
        <v>103</v>
      </c>
      <c r="P16" s="241">
        <v>700000</v>
      </c>
      <c r="Q16" s="241">
        <v>700000</v>
      </c>
      <c r="R16" s="82"/>
      <c r="S16" s="241">
        <v>80000</v>
      </c>
      <c r="T16" s="82" t="s">
        <v>40</v>
      </c>
      <c r="U16" s="241">
        <v>20000</v>
      </c>
      <c r="V16" s="82" t="s">
        <v>40</v>
      </c>
      <c r="W16" s="88">
        <v>25000</v>
      </c>
      <c r="X16" s="82" t="s">
        <v>40</v>
      </c>
      <c r="Y16" s="89"/>
      <c r="Z16" s="82"/>
      <c r="AA16" s="220"/>
      <c r="AB16" s="241">
        <v>100000</v>
      </c>
      <c r="AC16" s="241">
        <v>100000</v>
      </c>
      <c r="AD16" s="241"/>
      <c r="AE16" s="82" t="s">
        <v>63</v>
      </c>
      <c r="AF16" s="82" t="s">
        <v>104</v>
      </c>
      <c r="AG16" s="90"/>
      <c r="AH16" s="90"/>
      <c r="AI16" s="90"/>
      <c r="AJ16" s="90"/>
      <c r="AK16" s="82"/>
      <c r="AL16" s="82" t="str" cm="1">
        <f t="array" aca="1" ref="AL16" ca="1">_xlfn.IFS(
 AND($AK16&lt;&gt;"", M16&lt;&gt;0, M16&lt;=EDATE(TODAY(),2)),"도래",
 AND($AK16&lt;&gt;"", M16&lt;&gt;0, M16&lt;=EDATE(TODAY(),3)),"예정",
 AND($AK16&lt;&gt;"", M16&lt;&gt;0, M16&lt;=EDATE(TODAY(),6)),"관심",
 TRUE,""
)</f>
        <v/>
      </c>
      <c r="AM16" s="198">
        <f t="shared" si="2"/>
        <v>11</v>
      </c>
    </row>
    <row r="17" spans="1:39" ht="18" customHeight="1">
      <c r="A17" s="81"/>
      <c r="B17" s="205" t="str">
        <f>_xlfn.LET(_xlpm.var,◆관리정보!B17,IF(_xlpm.var&lt;&gt;0,_xlpm.var,""))</f>
        <v>스타빌</v>
      </c>
      <c r="C17" s="82">
        <f>_xlfn.LET(_xlpm.var,◆관리정보!C17,IF(_xlpm.var&lt;&gt;0,_xlpm.var,""))</f>
        <v>301</v>
      </c>
      <c r="D17" s="83" t="s">
        <v>105</v>
      </c>
      <c r="E17" s="84" t="str">
        <f t="shared" si="1"/>
        <v>스타빌301</v>
      </c>
      <c r="F17" s="85">
        <v>46128</v>
      </c>
      <c r="G17" s="229"/>
      <c r="H17" s="229"/>
      <c r="I17" s="229"/>
      <c r="J17" s="229"/>
      <c r="K17" s="218"/>
      <c r="L17" s="87">
        <v>46007</v>
      </c>
      <c r="M17" s="87">
        <v>46096</v>
      </c>
      <c r="N17" s="82" t="s">
        <v>106</v>
      </c>
      <c r="O17" s="82" t="s">
        <v>107</v>
      </c>
      <c r="P17" s="241">
        <v>700000</v>
      </c>
      <c r="Q17" s="241">
        <v>700000</v>
      </c>
      <c r="R17" s="82"/>
      <c r="S17" s="241">
        <v>80000</v>
      </c>
      <c r="T17" s="82" t="s">
        <v>40</v>
      </c>
      <c r="U17" s="241">
        <v>25000</v>
      </c>
      <c r="V17" s="82" t="s">
        <v>40</v>
      </c>
      <c r="W17" s="88">
        <v>25000</v>
      </c>
      <c r="X17" s="82" t="s">
        <v>40</v>
      </c>
      <c r="Y17" s="89"/>
      <c r="Z17" s="82"/>
      <c r="AA17" s="220"/>
      <c r="AB17" s="241">
        <v>100000</v>
      </c>
      <c r="AC17" s="241">
        <v>100000</v>
      </c>
      <c r="AD17" s="241"/>
      <c r="AE17" s="82" t="s">
        <v>108</v>
      </c>
      <c r="AF17" s="82" t="s">
        <v>109</v>
      </c>
      <c r="AG17" s="90"/>
      <c r="AH17" s="90"/>
      <c r="AI17" s="90"/>
      <c r="AJ17" s="90"/>
      <c r="AK17" s="82"/>
      <c r="AL17" s="82" t="str" cm="1">
        <f t="array" aca="1" ref="AL17" ca="1">_xlfn.IFS(
 AND($AK17&lt;&gt;"", M17&lt;&gt;0, M17&lt;=EDATE(TODAY(),2)),"도래",
 AND($AK17&lt;&gt;"", M17&lt;&gt;0, M17&lt;=EDATE(TODAY(),3)),"예정",
 AND($AK17&lt;&gt;"", M17&lt;&gt;0, M17&lt;=EDATE(TODAY(),6)),"관심",
 TRUE,""
)</f>
        <v/>
      </c>
      <c r="AM17" s="198">
        <f t="shared" si="2"/>
        <v>16</v>
      </c>
    </row>
    <row r="18" spans="1:39" ht="18" customHeight="1">
      <c r="A18" s="81"/>
      <c r="B18" s="205" t="str">
        <f>_xlfn.LET(_xlpm.var,◆관리정보!B18,IF(_xlpm.var&lt;&gt;0,_xlpm.var,""))</f>
        <v>스타빌</v>
      </c>
      <c r="C18" s="82">
        <f>_xlfn.LET(_xlpm.var,◆관리정보!C18,IF(_xlpm.var&lt;&gt;0,_xlpm.var,""))</f>
        <v>302</v>
      </c>
      <c r="D18" s="83" t="s">
        <v>110</v>
      </c>
      <c r="E18" s="84" t="str">
        <f t="shared" si="1"/>
        <v>스타빌302</v>
      </c>
      <c r="F18" s="85">
        <v>46125</v>
      </c>
      <c r="G18" s="229"/>
      <c r="H18" s="229"/>
      <c r="I18" s="229"/>
      <c r="J18" s="229"/>
      <c r="K18" s="218"/>
      <c r="L18" s="87">
        <v>44299</v>
      </c>
      <c r="M18" s="87">
        <v>44481</v>
      </c>
      <c r="N18" s="82" t="s">
        <v>111</v>
      </c>
      <c r="O18" s="82" t="s">
        <v>112</v>
      </c>
      <c r="P18" s="241">
        <v>650000</v>
      </c>
      <c r="Q18" s="241">
        <v>650000</v>
      </c>
      <c r="R18" s="82"/>
      <c r="S18" s="241">
        <v>60000</v>
      </c>
      <c r="T18" s="82" t="s">
        <v>40</v>
      </c>
      <c r="U18" s="241">
        <v>15000</v>
      </c>
      <c r="V18" s="82" t="s">
        <v>40</v>
      </c>
      <c r="W18" s="88">
        <v>25000</v>
      </c>
      <c r="X18" s="82" t="s">
        <v>40</v>
      </c>
      <c r="Y18" s="89"/>
      <c r="Z18" s="82"/>
      <c r="AA18" s="220"/>
      <c r="AB18" s="241">
        <v>100000</v>
      </c>
      <c r="AC18" s="241">
        <v>100000</v>
      </c>
      <c r="AD18" s="241">
        <v>50000</v>
      </c>
      <c r="AE18" s="82" t="s">
        <v>113</v>
      </c>
      <c r="AF18" s="82" t="s">
        <v>114</v>
      </c>
      <c r="AG18" s="90"/>
      <c r="AH18" s="90"/>
      <c r="AI18" s="90"/>
      <c r="AJ18" s="90"/>
      <c r="AK18" s="82"/>
      <c r="AL18" s="82" t="str" cm="1">
        <f t="array" aca="1" ref="AL18" ca="1">_xlfn.IFS(
 AND($AK18&lt;&gt;"", M18&lt;&gt;0, M18&lt;=EDATE(TODAY(),2)),"도래",
 AND($AK18&lt;&gt;"", M18&lt;&gt;0, M18&lt;=EDATE(TODAY(),3)),"예정",
 AND($AK18&lt;&gt;"", M18&lt;&gt;0, M18&lt;=EDATE(TODAY(),6)),"관심",
 TRUE,""
)</f>
        <v/>
      </c>
      <c r="AM18" s="198">
        <f t="shared" si="2"/>
        <v>13</v>
      </c>
    </row>
    <row r="19" spans="1:39" ht="18" customHeight="1">
      <c r="A19" s="81"/>
      <c r="B19" s="205" t="str">
        <f>_xlfn.LET(_xlpm.var,◆관리정보!B19,IF(_xlpm.var&lt;&gt;0,_xlpm.var,""))</f>
        <v>스타빌</v>
      </c>
      <c r="C19" s="82">
        <f>_xlfn.LET(_xlpm.var,◆관리정보!C19,IF(_xlpm.var&lt;&gt;0,_xlpm.var,""))</f>
        <v>303</v>
      </c>
      <c r="D19" s="83" t="s">
        <v>115</v>
      </c>
      <c r="E19" s="84" t="str">
        <f t="shared" si="1"/>
        <v>스타빌303</v>
      </c>
      <c r="F19" s="85">
        <v>46103</v>
      </c>
      <c r="G19" s="229"/>
      <c r="H19" s="229"/>
      <c r="I19" s="229"/>
      <c r="J19" s="229">
        <v>902720</v>
      </c>
      <c r="K19" s="218"/>
      <c r="L19" s="87">
        <v>46044</v>
      </c>
      <c r="M19" s="87">
        <v>46133</v>
      </c>
      <c r="N19" s="82" t="s">
        <v>116</v>
      </c>
      <c r="O19" s="82" t="s">
        <v>117</v>
      </c>
      <c r="P19" s="241">
        <v>700000</v>
      </c>
      <c r="Q19" s="241">
        <v>700000</v>
      </c>
      <c r="R19" s="82"/>
      <c r="S19" s="241">
        <v>80000</v>
      </c>
      <c r="T19" s="82" t="s">
        <v>40</v>
      </c>
      <c r="U19" s="241">
        <v>25000</v>
      </c>
      <c r="V19" s="82" t="s">
        <v>40</v>
      </c>
      <c r="W19" s="88">
        <v>25000</v>
      </c>
      <c r="X19" s="82" t="s">
        <v>40</v>
      </c>
      <c r="Y19" s="89"/>
      <c r="Z19" s="82"/>
      <c r="AA19" s="220"/>
      <c r="AB19" s="241">
        <v>100000</v>
      </c>
      <c r="AC19" s="241">
        <v>100000</v>
      </c>
      <c r="AD19" s="241"/>
      <c r="AE19" s="82" t="s">
        <v>85</v>
      </c>
      <c r="AF19" s="82" t="s">
        <v>64</v>
      </c>
      <c r="AG19" s="90"/>
      <c r="AH19" s="90"/>
      <c r="AI19" s="90"/>
      <c r="AJ19" s="90"/>
      <c r="AK19" s="82"/>
      <c r="AL19" s="82" t="str" cm="1">
        <f t="array" aca="1" ref="AL19" ca="1">_xlfn.IFS(
 AND($AK19&lt;&gt;"", M19&lt;&gt;0, M19&lt;=EDATE(TODAY(),2)),"도래",
 AND($AK19&lt;&gt;"", M19&lt;&gt;0, M19&lt;=EDATE(TODAY(),3)),"예정",
 AND($AK19&lt;&gt;"", M19&lt;&gt;0, M19&lt;=EDATE(TODAY(),6)),"관심",
 TRUE,""
)</f>
        <v/>
      </c>
      <c r="AM19" s="198">
        <f t="shared" si="2"/>
        <v>22</v>
      </c>
    </row>
    <row r="20" spans="1:39" ht="18" customHeight="1">
      <c r="A20" s="81"/>
      <c r="B20" s="205" t="str">
        <f>_xlfn.LET(_xlpm.var,◆관리정보!B20,IF(_xlpm.var&lt;&gt;0,_xlpm.var,""))</f>
        <v>스타빌</v>
      </c>
      <c r="C20" s="82">
        <f>_xlfn.LET(_xlpm.var,◆관리정보!C20,IF(_xlpm.var&lt;&gt;0,_xlpm.var,""))</f>
        <v>305</v>
      </c>
      <c r="D20" s="83" t="s">
        <v>118</v>
      </c>
      <c r="E20" s="84" t="str">
        <f t="shared" si="1"/>
        <v>스타빌305</v>
      </c>
      <c r="F20" s="85">
        <v>46106</v>
      </c>
      <c r="G20" s="229"/>
      <c r="H20" s="229"/>
      <c r="I20" s="229"/>
      <c r="J20" s="229">
        <v>947080</v>
      </c>
      <c r="K20" s="218"/>
      <c r="L20" s="87">
        <v>45802</v>
      </c>
      <c r="M20" s="87">
        <v>45893</v>
      </c>
      <c r="N20" s="82" t="s">
        <v>119</v>
      </c>
      <c r="O20" s="82" t="s">
        <v>120</v>
      </c>
      <c r="P20" s="241">
        <v>700000</v>
      </c>
      <c r="Q20" s="241">
        <v>700000</v>
      </c>
      <c r="R20" s="82"/>
      <c r="S20" s="241">
        <v>80000</v>
      </c>
      <c r="T20" s="82" t="s">
        <v>40</v>
      </c>
      <c r="U20" s="241">
        <v>25000</v>
      </c>
      <c r="V20" s="82" t="s">
        <v>40</v>
      </c>
      <c r="W20" s="88">
        <v>25000</v>
      </c>
      <c r="X20" s="82" t="s">
        <v>40</v>
      </c>
      <c r="Y20" s="89"/>
      <c r="Z20" s="82"/>
      <c r="AA20" s="220"/>
      <c r="AB20" s="241">
        <v>100000</v>
      </c>
      <c r="AC20" s="241">
        <v>100000</v>
      </c>
      <c r="AD20" s="241"/>
      <c r="AE20" s="82" t="s">
        <v>121</v>
      </c>
      <c r="AF20" s="82" t="s">
        <v>122</v>
      </c>
      <c r="AG20" s="90"/>
      <c r="AH20" s="90"/>
      <c r="AI20" s="90"/>
      <c r="AJ20" s="90"/>
      <c r="AK20" s="82"/>
      <c r="AL20" s="82" t="str" cm="1">
        <f t="array" aca="1" ref="AL20" ca="1">_xlfn.IFS(
 AND($AK20&lt;&gt;"", M20&lt;&gt;0, M20&lt;=EDATE(TODAY(),2)),"도래",
 AND($AK20&lt;&gt;"", M20&lt;&gt;0, M20&lt;=EDATE(TODAY(),3)),"예정",
 AND($AK20&lt;&gt;"", M20&lt;&gt;0, M20&lt;=EDATE(TODAY(),6)),"관심",
 TRUE,""
)</f>
        <v/>
      </c>
      <c r="AM20" s="198">
        <f t="shared" si="2"/>
        <v>25</v>
      </c>
    </row>
    <row r="21" spans="1:39" ht="18" customHeight="1">
      <c r="A21" s="81"/>
      <c r="B21" s="205" t="str">
        <f>_xlfn.LET(_xlpm.var,◆관리정보!B21,IF(_xlpm.var&lt;&gt;0,_xlpm.var,""))</f>
        <v>스타빌</v>
      </c>
      <c r="C21" s="82">
        <f>_xlfn.LET(_xlpm.var,◆관리정보!C21,IF(_xlpm.var&lt;&gt;0,_xlpm.var,""))</f>
        <v>401</v>
      </c>
      <c r="D21" s="83" t="s">
        <v>123</v>
      </c>
      <c r="E21" s="84" t="str">
        <f t="shared" si="1"/>
        <v>스타빌401</v>
      </c>
      <c r="F21" s="85">
        <v>46121</v>
      </c>
      <c r="G21" s="229"/>
      <c r="H21" s="229"/>
      <c r="I21" s="229"/>
      <c r="J21" s="229"/>
      <c r="K21" s="318"/>
      <c r="L21" s="87">
        <v>45208</v>
      </c>
      <c r="M21" s="87">
        <v>45299</v>
      </c>
      <c r="N21" s="82" t="s">
        <v>124</v>
      </c>
      <c r="O21" s="82" t="s">
        <v>125</v>
      </c>
      <c r="P21" s="241">
        <v>700000</v>
      </c>
      <c r="Q21" s="241">
        <v>700000</v>
      </c>
      <c r="R21" s="82"/>
      <c r="S21" s="241">
        <v>80000</v>
      </c>
      <c r="T21" s="82" t="s">
        <v>40</v>
      </c>
      <c r="U21" s="241">
        <v>20000</v>
      </c>
      <c r="V21" s="82" t="s">
        <v>40</v>
      </c>
      <c r="W21" s="88">
        <v>25000</v>
      </c>
      <c r="X21" s="82" t="s">
        <v>40</v>
      </c>
      <c r="Y21" s="89"/>
      <c r="Z21" s="82"/>
      <c r="AA21" s="220"/>
      <c r="AB21" s="241">
        <v>100000</v>
      </c>
      <c r="AC21" s="241">
        <v>100000</v>
      </c>
      <c r="AD21" s="241"/>
      <c r="AE21" s="82" t="s">
        <v>63</v>
      </c>
      <c r="AF21" s="82" t="s">
        <v>126</v>
      </c>
      <c r="AG21" s="90"/>
      <c r="AH21" s="90"/>
      <c r="AI21" s="90"/>
      <c r="AJ21" s="90"/>
      <c r="AK21" s="82"/>
      <c r="AL21" s="82" t="str" cm="1">
        <f t="array" aca="1" ref="AL21" ca="1">_xlfn.IFS(
 AND($AK21&lt;&gt;"", M21&lt;&gt;0, M21&lt;=EDATE(TODAY(),2)),"도래",
 AND($AK21&lt;&gt;"", M21&lt;&gt;0, M21&lt;=EDATE(TODAY(),3)),"예정",
 AND($AK21&lt;&gt;"", M21&lt;&gt;0, M21&lt;=EDATE(TODAY(),6)),"관심",
 TRUE,""
)</f>
        <v/>
      </c>
      <c r="AM21" s="198">
        <f t="shared" si="2"/>
        <v>9</v>
      </c>
    </row>
    <row r="22" spans="1:39" ht="18" customHeight="1">
      <c r="A22" s="81"/>
      <c r="B22" s="205" t="str">
        <f>_xlfn.LET(_xlpm.var,◆관리정보!B22,IF(_xlpm.var&lt;&gt;0,_xlpm.var,""))</f>
        <v>스타빌</v>
      </c>
      <c r="C22" s="82">
        <f>_xlfn.LET(_xlpm.var,◆관리정보!C22,IF(_xlpm.var&lt;&gt;0,_xlpm.var,""))</f>
        <v>402</v>
      </c>
      <c r="D22" s="83" t="s">
        <v>127</v>
      </c>
      <c r="E22" s="84" t="str">
        <f t="shared" si="1"/>
        <v>스타빌402</v>
      </c>
      <c r="F22" s="85">
        <v>46115</v>
      </c>
      <c r="G22" s="229"/>
      <c r="H22" s="229"/>
      <c r="I22" s="229"/>
      <c r="J22" s="229"/>
      <c r="K22" s="218"/>
      <c r="L22" s="87">
        <v>46056</v>
      </c>
      <c r="M22" s="87">
        <v>46144</v>
      </c>
      <c r="N22" s="82" t="s">
        <v>128</v>
      </c>
      <c r="O22" s="82" t="s">
        <v>129</v>
      </c>
      <c r="P22" s="241">
        <v>750000</v>
      </c>
      <c r="Q22" s="241">
        <v>750000</v>
      </c>
      <c r="R22" s="82"/>
      <c r="S22" s="241">
        <v>80000</v>
      </c>
      <c r="T22" s="82" t="s">
        <v>40</v>
      </c>
      <c r="U22" s="241">
        <v>25000</v>
      </c>
      <c r="V22" s="82" t="s">
        <v>40</v>
      </c>
      <c r="W22" s="88">
        <v>25000</v>
      </c>
      <c r="X22" s="82" t="s">
        <v>40</v>
      </c>
      <c r="Y22" s="89"/>
      <c r="Z22" s="82"/>
      <c r="AA22" s="220"/>
      <c r="AB22" s="241">
        <v>100000</v>
      </c>
      <c r="AC22" s="241">
        <v>100000</v>
      </c>
      <c r="AD22" s="241"/>
      <c r="AE22" s="82" t="s">
        <v>121</v>
      </c>
      <c r="AF22" s="82" t="s">
        <v>130</v>
      </c>
      <c r="AG22" s="90"/>
      <c r="AH22" s="90"/>
      <c r="AI22" s="90"/>
      <c r="AJ22" s="90"/>
      <c r="AK22" s="82"/>
      <c r="AL22" s="82" t="str" cm="1">
        <f t="array" aca="1" ref="AL22" ca="1">_xlfn.IFS(
 AND($AK22&lt;&gt;"", M22&lt;&gt;0, M22&lt;=EDATE(TODAY(),2)),"도래",
 AND($AK22&lt;&gt;"", M22&lt;&gt;0, M22&lt;=EDATE(TODAY(),3)),"예정",
 AND($AK22&lt;&gt;"", M22&lt;&gt;0, M22&lt;=EDATE(TODAY(),6)),"관심",
 TRUE,""
)</f>
        <v/>
      </c>
      <c r="AM22" s="198">
        <f t="shared" si="2"/>
        <v>3</v>
      </c>
    </row>
    <row r="23" spans="1:39" ht="18" customHeight="1">
      <c r="A23" s="81"/>
      <c r="B23" s="205" t="str">
        <f>_xlfn.LET(_xlpm.var,◆관리정보!B23,IF(_xlpm.var&lt;&gt;0,_xlpm.var,""))</f>
        <v>스타빌</v>
      </c>
      <c r="C23" s="82">
        <f>_xlfn.LET(_xlpm.var,◆관리정보!C23,IF(_xlpm.var&lt;&gt;0,_xlpm.var,""))</f>
        <v>403</v>
      </c>
      <c r="D23" s="83" t="s">
        <v>131</v>
      </c>
      <c r="E23" s="84" t="str">
        <f t="shared" si="1"/>
        <v>스타빌403</v>
      </c>
      <c r="F23" s="85">
        <v>46104</v>
      </c>
      <c r="G23" s="229"/>
      <c r="H23" s="229"/>
      <c r="I23" s="229"/>
      <c r="J23" s="229">
        <v>991510</v>
      </c>
      <c r="K23" s="218"/>
      <c r="L23" s="87">
        <v>45923</v>
      </c>
      <c r="M23" s="87">
        <v>46013</v>
      </c>
      <c r="N23" s="82" t="s">
        <v>132</v>
      </c>
      <c r="O23" s="82" t="s">
        <v>133</v>
      </c>
      <c r="P23" s="241">
        <v>750000</v>
      </c>
      <c r="Q23" s="241">
        <v>750000</v>
      </c>
      <c r="R23" s="82"/>
      <c r="S23" s="241">
        <v>80000</v>
      </c>
      <c r="T23" s="82" t="s">
        <v>40</v>
      </c>
      <c r="U23" s="241">
        <v>25000</v>
      </c>
      <c r="V23" s="82" t="s">
        <v>40</v>
      </c>
      <c r="W23" s="88">
        <v>25000</v>
      </c>
      <c r="X23" s="82" t="s">
        <v>40</v>
      </c>
      <c r="Y23" s="89"/>
      <c r="Z23" s="82"/>
      <c r="AA23" s="220"/>
      <c r="AB23" s="241">
        <v>100000</v>
      </c>
      <c r="AC23" s="241">
        <v>100000</v>
      </c>
      <c r="AD23" s="241"/>
      <c r="AE23" s="82" t="s">
        <v>121</v>
      </c>
      <c r="AF23" s="82" t="s">
        <v>134</v>
      </c>
      <c r="AG23" s="90"/>
      <c r="AH23" s="90"/>
      <c r="AI23" s="90"/>
      <c r="AJ23" s="90"/>
      <c r="AK23" s="82"/>
      <c r="AL23" s="82" t="str" cm="1">
        <f t="array" aca="1" ref="AL23" ca="1">_xlfn.IFS(
 AND($AK23&lt;&gt;"", M23&lt;&gt;0, M23&lt;=EDATE(TODAY(),2)),"도래",
 AND($AK23&lt;&gt;"", M23&lt;&gt;0, M23&lt;=EDATE(TODAY(),3)),"예정",
 AND($AK23&lt;&gt;"", M23&lt;&gt;0, M23&lt;=EDATE(TODAY(),6)),"관심",
 TRUE,""
)</f>
        <v/>
      </c>
      <c r="AM23" s="198">
        <f t="shared" si="2"/>
        <v>23</v>
      </c>
    </row>
    <row r="24" spans="1:39" ht="18" customHeight="1">
      <c r="A24" s="81"/>
      <c r="B24" s="205" t="str">
        <f>_xlfn.LET(_xlpm.var,◆관리정보!B24,IF(_xlpm.var&lt;&gt;0,_xlpm.var,""))</f>
        <v>스타빌</v>
      </c>
      <c r="C24" s="82">
        <f>_xlfn.LET(_xlpm.var,◆관리정보!C24,IF(_xlpm.var&lt;&gt;0,_xlpm.var,""))</f>
        <v>405</v>
      </c>
      <c r="D24" s="236" t="s">
        <v>135</v>
      </c>
      <c r="E24" s="84" t="str">
        <f t="shared" si="1"/>
        <v>스타빌405</v>
      </c>
      <c r="F24" s="85">
        <v>46097</v>
      </c>
      <c r="G24" s="229"/>
      <c r="H24" s="229"/>
      <c r="I24" s="229"/>
      <c r="J24" s="229">
        <f>1006030-1370</f>
        <v>1004660</v>
      </c>
      <c r="K24" s="218"/>
      <c r="L24" s="87">
        <v>46007</v>
      </c>
      <c r="M24" s="87">
        <v>46096</v>
      </c>
      <c r="N24" s="82" t="s">
        <v>136</v>
      </c>
      <c r="O24" s="82" t="s">
        <v>137</v>
      </c>
      <c r="P24" s="241">
        <v>750000</v>
      </c>
      <c r="Q24" s="241">
        <v>700000</v>
      </c>
      <c r="R24" s="82"/>
      <c r="S24" s="241">
        <v>80000</v>
      </c>
      <c r="T24" s="82" t="s">
        <v>40</v>
      </c>
      <c r="U24" s="241">
        <v>25000</v>
      </c>
      <c r="V24" s="82" t="s">
        <v>40</v>
      </c>
      <c r="W24" s="88">
        <v>25000</v>
      </c>
      <c r="X24" s="82" t="s">
        <v>40</v>
      </c>
      <c r="Y24" s="89"/>
      <c r="Z24" s="82"/>
      <c r="AA24" s="220"/>
      <c r="AB24" s="241">
        <v>100000</v>
      </c>
      <c r="AC24" s="241">
        <v>100000</v>
      </c>
      <c r="AD24" s="241"/>
      <c r="AE24" s="82" t="s">
        <v>74</v>
      </c>
      <c r="AF24" s="82" t="s">
        <v>75</v>
      </c>
      <c r="AG24" s="90"/>
      <c r="AH24" s="90"/>
      <c r="AI24" s="90"/>
      <c r="AJ24" s="90"/>
      <c r="AK24" s="82"/>
      <c r="AL24" s="82" t="str" cm="1">
        <f t="array" aca="1" ref="AL24" ca="1">_xlfn.IFS(
 AND($AK24&lt;&gt;"", M24&lt;&gt;0, M24&lt;=EDATE(TODAY(),2)),"도래",
 AND($AK24&lt;&gt;"", M24&lt;&gt;0, M24&lt;=EDATE(TODAY(),3)),"예정",
 AND($AK24&lt;&gt;"", M24&lt;&gt;0, M24&lt;=EDATE(TODAY(),6)),"관심",
 TRUE,""
)</f>
        <v/>
      </c>
      <c r="AM24" s="198">
        <f t="shared" si="2"/>
        <v>16</v>
      </c>
    </row>
    <row r="25" spans="1:39" ht="18" customHeight="1">
      <c r="A25" s="81"/>
      <c r="B25" s="205" t="str">
        <f>_xlfn.LET(_xlpm.var,◆관리정보!B25,IF(_xlpm.var&lt;&gt;0,_xlpm.var,""))</f>
        <v>아페이론</v>
      </c>
      <c r="C25" s="82">
        <f>_xlfn.LET(_xlpm.var,◆관리정보!C25,IF(_xlpm.var&lt;&gt;0,_xlpm.var,""))</f>
        <v>101</v>
      </c>
      <c r="D25" s="83" t="s">
        <v>138</v>
      </c>
      <c r="E25" s="84" t="str">
        <f t="shared" si="1"/>
        <v>아페이론101</v>
      </c>
      <c r="F25" s="85">
        <v>46116</v>
      </c>
      <c r="G25" s="229"/>
      <c r="H25" s="229"/>
      <c r="I25" s="229"/>
      <c r="J25" s="229"/>
      <c r="K25" s="218"/>
      <c r="L25" s="87">
        <v>45781</v>
      </c>
      <c r="M25" s="87">
        <v>45872</v>
      </c>
      <c r="N25" s="82" t="s">
        <v>139</v>
      </c>
      <c r="O25" s="82" t="s">
        <v>140</v>
      </c>
      <c r="P25" s="241">
        <v>1200000</v>
      </c>
      <c r="Q25" s="241">
        <v>1200000</v>
      </c>
      <c r="R25" s="82"/>
      <c r="S25" s="241">
        <v>80000</v>
      </c>
      <c r="T25" s="82" t="s">
        <v>40</v>
      </c>
      <c r="U25" s="241">
        <v>25000</v>
      </c>
      <c r="V25" s="82" t="s">
        <v>40</v>
      </c>
      <c r="W25" s="88">
        <v>25000</v>
      </c>
      <c r="X25" s="82" t="s">
        <v>40</v>
      </c>
      <c r="Y25" s="89"/>
      <c r="Z25" s="82"/>
      <c r="AA25" s="220"/>
      <c r="AB25" s="241">
        <v>180000</v>
      </c>
      <c r="AC25" s="241">
        <v>200000</v>
      </c>
      <c r="AD25" s="241"/>
      <c r="AE25" s="82" t="s">
        <v>141</v>
      </c>
      <c r="AF25" s="82" t="s">
        <v>142</v>
      </c>
      <c r="AG25" s="90"/>
      <c r="AH25" s="90"/>
      <c r="AI25" s="90"/>
      <c r="AJ25" s="90"/>
      <c r="AK25" s="82"/>
      <c r="AL25" s="82" t="str" cm="1">
        <f t="array" aca="1" ref="AL25" ca="1">_xlfn.IFS(
 AND($AK25&lt;&gt;"", M25&lt;&gt;0, M25&lt;=EDATE(TODAY(),2)),"도래",
 AND($AK25&lt;&gt;"", M25&lt;&gt;0, M25&lt;=EDATE(TODAY(),3)),"예정",
 AND($AK25&lt;&gt;"", M25&lt;&gt;0, M25&lt;=EDATE(TODAY(),6)),"관심",
 TRUE,""
)</f>
        <v/>
      </c>
      <c r="AM25" s="198">
        <f t="shared" si="2"/>
        <v>4</v>
      </c>
    </row>
    <row r="26" spans="1:39" ht="18" customHeight="1">
      <c r="A26" s="81"/>
      <c r="B26" s="205" t="str">
        <f>_xlfn.LET(_xlpm.var,◆관리정보!B26,IF(_xlpm.var&lt;&gt;0,_xlpm.var,""))</f>
        <v>아페이론</v>
      </c>
      <c r="C26" s="82">
        <f>_xlfn.LET(_xlpm.var,◆관리정보!C26,IF(_xlpm.var&lt;&gt;0,_xlpm.var,""))</f>
        <v>102</v>
      </c>
      <c r="D26" s="83" t="s">
        <v>143</v>
      </c>
      <c r="E26" s="84" t="str">
        <f t="shared" si="1"/>
        <v>아페이론102</v>
      </c>
      <c r="F26" s="85">
        <v>46121</v>
      </c>
      <c r="G26" s="229"/>
      <c r="H26" s="229"/>
      <c r="I26" s="229"/>
      <c r="J26" s="229"/>
      <c r="K26" s="318"/>
      <c r="L26" s="87">
        <v>45147</v>
      </c>
      <c r="M26" s="87">
        <v>45238</v>
      </c>
      <c r="N26" s="82" t="s">
        <v>144</v>
      </c>
      <c r="O26" s="82" t="s">
        <v>145</v>
      </c>
      <c r="P26" s="241">
        <v>1250000</v>
      </c>
      <c r="Q26" s="241">
        <v>1250000</v>
      </c>
      <c r="R26" s="82"/>
      <c r="S26" s="241">
        <v>100000</v>
      </c>
      <c r="T26" s="82" t="s">
        <v>40</v>
      </c>
      <c r="U26" s="241">
        <v>25000</v>
      </c>
      <c r="V26" s="82" t="s">
        <v>40</v>
      </c>
      <c r="W26" s="88">
        <v>25000</v>
      </c>
      <c r="X26" s="82" t="s">
        <v>40</v>
      </c>
      <c r="Y26" s="89"/>
      <c r="Z26" s="82"/>
      <c r="AA26" s="220" t="s">
        <v>146</v>
      </c>
      <c r="AB26" s="241">
        <v>150000</v>
      </c>
      <c r="AC26" s="241">
        <v>200000</v>
      </c>
      <c r="AD26" s="241"/>
      <c r="AE26" s="82" t="s">
        <v>63</v>
      </c>
      <c r="AF26" s="82" t="s">
        <v>147</v>
      </c>
      <c r="AG26" s="90"/>
      <c r="AH26" s="90"/>
      <c r="AI26" s="90"/>
      <c r="AJ26" s="90"/>
      <c r="AK26" s="82"/>
      <c r="AL26" s="82" t="str" cm="1">
        <f t="array" aca="1" ref="AL26" ca="1">_xlfn.IFS(
 AND($AK26&lt;&gt;"", M26&lt;&gt;0, M26&lt;=EDATE(TODAY(),2)),"도래",
 AND($AK26&lt;&gt;"", M26&lt;&gt;0, M26&lt;=EDATE(TODAY(),3)),"예정",
 AND($AK26&lt;&gt;"", M26&lt;&gt;0, M26&lt;=EDATE(TODAY(),6)),"관심",
 TRUE,""
)</f>
        <v/>
      </c>
      <c r="AM26" s="198">
        <f t="shared" si="2"/>
        <v>9</v>
      </c>
    </row>
    <row r="27" spans="1:39" ht="18" customHeight="1">
      <c r="A27" s="81"/>
      <c r="B27" s="205" t="str">
        <f>_xlfn.LET(_xlpm.var,◆관리정보!B27,IF(_xlpm.var&lt;&gt;0,_xlpm.var,""))</f>
        <v>아페이론</v>
      </c>
      <c r="C27" s="82">
        <f>_xlfn.LET(_xlpm.var,◆관리정보!C27,IF(_xlpm.var&lt;&gt;0,_xlpm.var,""))</f>
        <v>103</v>
      </c>
      <c r="D27" s="83" t="s">
        <v>148</v>
      </c>
      <c r="E27" s="84" t="str">
        <f t="shared" si="1"/>
        <v>아페이론103</v>
      </c>
      <c r="F27" s="85">
        <v>46098</v>
      </c>
      <c r="G27" s="229"/>
      <c r="H27" s="229"/>
      <c r="I27" s="229"/>
      <c r="J27" s="308">
        <f>1474460-700000</f>
        <v>774460</v>
      </c>
      <c r="K27" s="218"/>
      <c r="L27" s="87">
        <v>45308</v>
      </c>
      <c r="M27" s="87">
        <v>45398</v>
      </c>
      <c r="N27" s="82" t="s">
        <v>149</v>
      </c>
      <c r="O27" s="82" t="s">
        <v>150</v>
      </c>
      <c r="P27" s="241">
        <v>1200000</v>
      </c>
      <c r="Q27" s="241">
        <v>1200000</v>
      </c>
      <c r="R27" s="82"/>
      <c r="S27" s="241">
        <v>80000</v>
      </c>
      <c r="T27" s="82" t="s">
        <v>40</v>
      </c>
      <c r="U27" s="241">
        <v>25000</v>
      </c>
      <c r="V27" s="82" t="s">
        <v>40</v>
      </c>
      <c r="W27" s="88">
        <v>25000</v>
      </c>
      <c r="X27" s="82" t="s">
        <v>40</v>
      </c>
      <c r="Y27" s="89"/>
      <c r="Z27" s="82"/>
      <c r="AA27" s="220"/>
      <c r="AB27" s="241">
        <v>150000</v>
      </c>
      <c r="AC27" s="241">
        <v>200000</v>
      </c>
      <c r="AD27" s="241"/>
      <c r="AE27" s="82" t="s">
        <v>151</v>
      </c>
      <c r="AF27" s="82" t="s">
        <v>152</v>
      </c>
      <c r="AG27" s="90"/>
      <c r="AH27" s="90"/>
      <c r="AI27" s="90" t="s">
        <v>153</v>
      </c>
      <c r="AJ27" s="90"/>
      <c r="AK27" s="82"/>
      <c r="AL27" s="82" t="str" cm="1">
        <f t="array" aca="1" ref="AL27" ca="1">_xlfn.IFS(
 AND($AK27&lt;&gt;"", M27&lt;&gt;0, M27&lt;=EDATE(TODAY(),2)),"도래",
 AND($AK27&lt;&gt;"", M27&lt;&gt;0, M27&lt;=EDATE(TODAY(),3)),"예정",
 AND($AK27&lt;&gt;"", M27&lt;&gt;0, M27&lt;=EDATE(TODAY(),6)),"관심",
 TRUE,""
)</f>
        <v/>
      </c>
      <c r="AM27" s="198">
        <f t="shared" si="2"/>
        <v>17</v>
      </c>
    </row>
    <row r="28" spans="1:39" ht="18" customHeight="1">
      <c r="A28" s="81"/>
      <c r="B28" s="205" t="str">
        <f>_xlfn.LET(_xlpm.var,◆관리정보!B28,IF(_xlpm.var&lt;&gt;0,_xlpm.var,""))</f>
        <v>아페이론</v>
      </c>
      <c r="C28" s="82">
        <f>_xlfn.LET(_xlpm.var,◆관리정보!C28,IF(_xlpm.var&lt;&gt;0,_xlpm.var,""))</f>
        <v>104</v>
      </c>
      <c r="D28" s="83" t="s">
        <v>154</v>
      </c>
      <c r="E28" s="84" t="str">
        <f t="shared" si="1"/>
        <v>아페이론104</v>
      </c>
      <c r="F28" s="85">
        <v>46114</v>
      </c>
      <c r="G28" s="229"/>
      <c r="H28" s="229"/>
      <c r="I28" s="229"/>
      <c r="J28" s="229"/>
      <c r="K28" s="218"/>
      <c r="L28" s="87">
        <v>42157</v>
      </c>
      <c r="M28" s="87">
        <v>42248</v>
      </c>
      <c r="N28" s="82" t="s">
        <v>155</v>
      </c>
      <c r="O28" s="82" t="s">
        <v>156</v>
      </c>
      <c r="P28" s="241">
        <v>1300000</v>
      </c>
      <c r="Q28" s="241">
        <v>1300000</v>
      </c>
      <c r="R28" s="82"/>
      <c r="S28" s="241">
        <v>100000</v>
      </c>
      <c r="T28" s="82" t="s">
        <v>40</v>
      </c>
      <c r="U28" s="241">
        <v>20000</v>
      </c>
      <c r="V28" s="82" t="s">
        <v>157</v>
      </c>
      <c r="W28" s="88">
        <v>25000</v>
      </c>
      <c r="X28" s="82" t="s">
        <v>157</v>
      </c>
      <c r="Y28" s="89"/>
      <c r="Z28" s="82"/>
      <c r="AA28" s="220"/>
      <c r="AB28" s="241">
        <v>80000</v>
      </c>
      <c r="AC28" s="241">
        <v>200000</v>
      </c>
      <c r="AD28" s="241">
        <v>100000</v>
      </c>
      <c r="AE28" s="82" t="s">
        <v>158</v>
      </c>
      <c r="AF28" s="82" t="s">
        <v>159</v>
      </c>
      <c r="AG28" s="90"/>
      <c r="AH28" s="90"/>
      <c r="AI28" s="90" t="s">
        <v>160</v>
      </c>
      <c r="AJ28" s="90"/>
      <c r="AK28" s="82"/>
      <c r="AL28" s="82" t="str" cm="1">
        <f t="array" aca="1" ref="AL28" ca="1">_xlfn.IFS(
 AND($AK28&lt;&gt;"", M28&lt;&gt;0, M28&lt;=EDATE(TODAY(),2)),"도래",
 AND($AK28&lt;&gt;"", M28&lt;&gt;0, M28&lt;=EDATE(TODAY(),3)),"예정",
 AND($AK28&lt;&gt;"", M28&lt;&gt;0, M28&lt;=EDATE(TODAY(),6)),"관심",
 TRUE,""
)</f>
        <v/>
      </c>
      <c r="AM28" s="198">
        <f t="shared" si="2"/>
        <v>2</v>
      </c>
    </row>
    <row r="29" spans="1:39" ht="18" customHeight="1">
      <c r="A29" s="81"/>
      <c r="B29" s="205" t="str">
        <f>_xlfn.LET(_xlpm.var,◆관리정보!B29,IF(_xlpm.var&lt;&gt;0,_xlpm.var,""))</f>
        <v>아페이론</v>
      </c>
      <c r="C29" s="82">
        <f>_xlfn.LET(_xlpm.var,◆관리정보!C29,IF(_xlpm.var&lt;&gt;0,_xlpm.var,""))</f>
        <v>105</v>
      </c>
      <c r="D29" s="83" t="s">
        <v>161</v>
      </c>
      <c r="E29" s="84" t="str">
        <f t="shared" si="1"/>
        <v>아페이론105</v>
      </c>
      <c r="F29" s="85">
        <v>46127</v>
      </c>
      <c r="G29" s="229"/>
      <c r="H29" s="229"/>
      <c r="I29" s="229"/>
      <c r="J29" s="229">
        <f>1581110-(500000+500000+500000+90000)</f>
        <v>-8890</v>
      </c>
      <c r="K29" s="218"/>
      <c r="L29" s="87">
        <v>45672</v>
      </c>
      <c r="M29" s="87">
        <v>45761</v>
      </c>
      <c r="N29" s="82" t="s">
        <v>162</v>
      </c>
      <c r="O29" s="82" t="s">
        <v>163</v>
      </c>
      <c r="P29" s="241">
        <v>1250000</v>
      </c>
      <c r="Q29" s="241">
        <v>1250000</v>
      </c>
      <c r="R29" s="82"/>
      <c r="S29" s="241">
        <v>80000</v>
      </c>
      <c r="T29" s="82" t="s">
        <v>40</v>
      </c>
      <c r="U29" s="241">
        <v>25000</v>
      </c>
      <c r="V29" s="82" t="s">
        <v>40</v>
      </c>
      <c r="W29" s="88">
        <v>25000</v>
      </c>
      <c r="X29" s="82" t="s">
        <v>40</v>
      </c>
      <c r="Y29" s="89"/>
      <c r="Z29" s="82"/>
      <c r="AA29" s="220"/>
      <c r="AB29" s="241">
        <v>180000</v>
      </c>
      <c r="AC29" s="241">
        <v>200000</v>
      </c>
      <c r="AD29" s="241"/>
      <c r="AE29" s="82" t="s">
        <v>164</v>
      </c>
      <c r="AF29" s="82" t="s">
        <v>165</v>
      </c>
      <c r="AG29" s="90"/>
      <c r="AH29" s="90"/>
      <c r="AI29" s="90"/>
      <c r="AJ29" s="90"/>
      <c r="AK29" s="82"/>
      <c r="AL29" s="82" t="str" cm="1">
        <f t="array" aca="1" ref="AL29" ca="1">_xlfn.IFS(
 AND($AK29&lt;&gt;"", M29&lt;&gt;0, M29&lt;=EDATE(TODAY(),2)),"도래",
 AND($AK29&lt;&gt;"", M29&lt;&gt;0, M29&lt;=EDATE(TODAY(),3)),"예정",
 AND($AK29&lt;&gt;"", M29&lt;&gt;0, M29&lt;=EDATE(TODAY(),6)),"관심",
 TRUE,""
)</f>
        <v/>
      </c>
      <c r="AM29" s="198">
        <f t="shared" si="2"/>
        <v>15</v>
      </c>
    </row>
    <row r="30" spans="1:39" ht="18" customHeight="1">
      <c r="A30" s="81"/>
      <c r="B30" s="205" t="str">
        <f>_xlfn.LET(_xlpm.var,◆관리정보!B30,IF(_xlpm.var&lt;&gt;0,_xlpm.var,""))</f>
        <v>아페이론</v>
      </c>
      <c r="C30" s="82">
        <f>_xlfn.LET(_xlpm.var,◆관리정보!C30,IF(_xlpm.var&lt;&gt;0,_xlpm.var,""))</f>
        <v>201</v>
      </c>
      <c r="D30" s="83" t="s">
        <v>166</v>
      </c>
      <c r="E30" s="84" t="str">
        <f t="shared" si="1"/>
        <v>아페이론201</v>
      </c>
      <c r="F30" s="85">
        <v>46091</v>
      </c>
      <c r="G30" s="229"/>
      <c r="H30" s="229"/>
      <c r="I30" s="229"/>
      <c r="J30" s="229">
        <f>1467900-750000</f>
        <v>717900</v>
      </c>
      <c r="K30" s="318">
        <v>22500</v>
      </c>
      <c r="L30" s="87">
        <v>46001</v>
      </c>
      <c r="M30" s="87">
        <v>46090</v>
      </c>
      <c r="N30" s="82" t="s">
        <v>167</v>
      </c>
      <c r="O30" s="82" t="s">
        <v>168</v>
      </c>
      <c r="P30" s="241">
        <v>1200000</v>
      </c>
      <c r="Q30" s="241">
        <v>1200000</v>
      </c>
      <c r="R30" s="82"/>
      <c r="S30" s="241">
        <v>80000</v>
      </c>
      <c r="T30" s="82" t="s">
        <v>40</v>
      </c>
      <c r="U30" s="241">
        <v>25000</v>
      </c>
      <c r="V30" s="82" t="s">
        <v>40</v>
      </c>
      <c r="W30" s="88">
        <v>25000</v>
      </c>
      <c r="X30" s="82" t="s">
        <v>40</v>
      </c>
      <c r="Y30" s="89"/>
      <c r="Z30" s="82"/>
      <c r="AA30" s="220"/>
      <c r="AB30" s="241">
        <v>180000</v>
      </c>
      <c r="AC30" s="241">
        <v>200000</v>
      </c>
      <c r="AD30" s="241"/>
      <c r="AE30" s="82" t="s">
        <v>151</v>
      </c>
      <c r="AF30" s="82" t="s">
        <v>169</v>
      </c>
      <c r="AG30" s="90"/>
      <c r="AH30" s="90"/>
      <c r="AI30" s="90"/>
      <c r="AJ30" s="90"/>
      <c r="AK30" s="82"/>
      <c r="AL30" s="82" t="str" cm="1">
        <f t="array" aca="1" ref="AL30" ca="1">_xlfn.IFS(
 AND($AK30&lt;&gt;"", M30&lt;&gt;0, M30&lt;=EDATE(TODAY(),2)),"도래",
 AND($AK30&lt;&gt;"", M30&lt;&gt;0, M30&lt;=EDATE(TODAY(),3)),"예정",
 AND($AK30&lt;&gt;"", M30&lt;&gt;0, M30&lt;=EDATE(TODAY(),6)),"관심",
 TRUE,""
)</f>
        <v/>
      </c>
      <c r="AM30" s="198">
        <f t="shared" si="2"/>
        <v>10</v>
      </c>
    </row>
    <row r="31" spans="1:39" ht="18" customHeight="1">
      <c r="A31" s="81"/>
      <c r="B31" s="378" t="str">
        <f>_xlfn.LET(_xlpm.var,◆관리정보!B31,IF(_xlpm.var&lt;&gt;0,_xlpm.var,""))</f>
        <v>아페이론</v>
      </c>
      <c r="C31" s="379">
        <f>_xlfn.LET(_xlpm.var,◆관리정보!C31,IF(_xlpm.var&lt;&gt;0,_xlpm.var,""))</f>
        <v>202</v>
      </c>
      <c r="D31" s="383" t="s">
        <v>170</v>
      </c>
      <c r="E31" s="84" t="str">
        <f t="shared" si="1"/>
        <v>아페이론202</v>
      </c>
      <c r="F31" s="372">
        <v>46128</v>
      </c>
      <c r="G31" s="229"/>
      <c r="H31" s="229"/>
      <c r="I31" s="229"/>
      <c r="J31" s="229"/>
      <c r="K31" s="218"/>
      <c r="L31" s="87">
        <v>46097</v>
      </c>
      <c r="M31" s="87">
        <v>46188</v>
      </c>
      <c r="N31" s="82" t="s">
        <v>171</v>
      </c>
      <c r="O31" s="82" t="s">
        <v>172</v>
      </c>
      <c r="P31" s="241">
        <v>1250000</v>
      </c>
      <c r="Q31" s="241">
        <v>1200000</v>
      </c>
      <c r="R31" s="82"/>
      <c r="S31" s="241">
        <v>80000</v>
      </c>
      <c r="T31" s="82" t="s">
        <v>40</v>
      </c>
      <c r="U31" s="241">
        <v>25000</v>
      </c>
      <c r="V31" s="82" t="s">
        <v>40</v>
      </c>
      <c r="W31" s="88">
        <v>25000</v>
      </c>
      <c r="X31" s="82" t="s">
        <v>40</v>
      </c>
      <c r="Y31" s="89"/>
      <c r="Z31" s="82"/>
      <c r="AA31" s="220"/>
      <c r="AB31" s="241">
        <v>180000</v>
      </c>
      <c r="AC31" s="241">
        <v>200000</v>
      </c>
      <c r="AD31" s="241"/>
      <c r="AE31" s="82" t="s">
        <v>63</v>
      </c>
      <c r="AF31" s="82" t="s">
        <v>126</v>
      </c>
      <c r="AG31" s="90"/>
      <c r="AH31" s="90"/>
      <c r="AI31" s="90"/>
      <c r="AJ31" s="90"/>
      <c r="AK31" s="82"/>
      <c r="AL31" s="82" t="str" cm="1">
        <f t="array" aca="1" ref="AL31" ca="1">_xlfn.IFS(
 AND($AK31&lt;&gt;"", M31&lt;&gt;0, M31&lt;=EDATE(TODAY(),2)),"도래",
 AND($AK31&lt;&gt;"", M31&lt;&gt;0, M31&lt;=EDATE(TODAY(),3)),"예정",
 AND($AK31&lt;&gt;"", M31&lt;&gt;0, M31&lt;=EDATE(TODAY(),6)),"관심",
 TRUE,""
)</f>
        <v/>
      </c>
      <c r="AM31" s="198">
        <f t="shared" si="2"/>
        <v>16</v>
      </c>
    </row>
    <row r="32" spans="1:39" ht="18" customHeight="1">
      <c r="A32" s="81"/>
      <c r="B32" s="205" t="str">
        <f>_xlfn.LET(_xlpm.var,◆관리정보!B32,IF(_xlpm.var&lt;&gt;0,_xlpm.var,""))</f>
        <v>아페이론</v>
      </c>
      <c r="C32" s="82">
        <f>_xlfn.LET(_xlpm.var,◆관리정보!C32,IF(_xlpm.var&lt;&gt;0,_xlpm.var,""))</f>
        <v>203</v>
      </c>
      <c r="D32" s="83" t="s">
        <v>173</v>
      </c>
      <c r="E32" s="84" t="str">
        <f t="shared" si="1"/>
        <v>아페이론203</v>
      </c>
      <c r="F32" s="85">
        <v>46095</v>
      </c>
      <c r="G32" s="229"/>
      <c r="H32" s="229"/>
      <c r="I32" s="229"/>
      <c r="J32" s="229">
        <f>1540100-540100-200000-200000-100000</f>
        <v>500000</v>
      </c>
      <c r="K32" s="218">
        <v>15000</v>
      </c>
      <c r="L32" s="87">
        <v>45579</v>
      </c>
      <c r="M32" s="87">
        <v>45670</v>
      </c>
      <c r="N32" s="82" t="s">
        <v>174</v>
      </c>
      <c r="O32" s="82" t="s">
        <v>175</v>
      </c>
      <c r="P32" s="241">
        <v>1300000</v>
      </c>
      <c r="Q32" s="241">
        <v>1300000</v>
      </c>
      <c r="R32" s="82"/>
      <c r="S32" s="241">
        <v>80000</v>
      </c>
      <c r="T32" s="82" t="s">
        <v>40</v>
      </c>
      <c r="U32" s="241">
        <v>25000</v>
      </c>
      <c r="V32" s="82" t="s">
        <v>40</v>
      </c>
      <c r="W32" s="88">
        <v>25000</v>
      </c>
      <c r="X32" s="82" t="s">
        <v>40</v>
      </c>
      <c r="Y32" s="89"/>
      <c r="Z32" s="82"/>
      <c r="AA32" s="220"/>
      <c r="AB32" s="241">
        <v>180000</v>
      </c>
      <c r="AC32" s="241">
        <v>200000</v>
      </c>
      <c r="AD32" s="241"/>
      <c r="AE32" s="82" t="s">
        <v>176</v>
      </c>
      <c r="AF32" s="82" t="s">
        <v>104</v>
      </c>
      <c r="AG32" s="90"/>
      <c r="AH32" s="90"/>
      <c r="AI32" s="90" t="s">
        <v>177</v>
      </c>
      <c r="AJ32" s="90"/>
      <c r="AK32" s="82"/>
      <c r="AL32" s="82" t="str" cm="1">
        <f t="array" aca="1" ref="AL32" ca="1">_xlfn.IFS(
 AND($AK32&lt;&gt;"", M32&lt;&gt;0, M32&lt;=EDATE(TODAY(),2)),"도래",
 AND($AK32&lt;&gt;"", M32&lt;&gt;0, M32&lt;=EDATE(TODAY(),3)),"예정",
 AND($AK32&lt;&gt;"", M32&lt;&gt;0, M32&lt;=EDATE(TODAY(),6)),"관심",
 TRUE,""
)</f>
        <v/>
      </c>
      <c r="AM32" s="198">
        <f t="shared" si="2"/>
        <v>14</v>
      </c>
    </row>
    <row r="33" spans="1:39" ht="18" customHeight="1">
      <c r="A33" s="81"/>
      <c r="B33" s="205" t="str">
        <f>_xlfn.LET(_xlpm.var,◆관리정보!B33,IF(_xlpm.var&lt;&gt;0,_xlpm.var,""))</f>
        <v>아페이론</v>
      </c>
      <c r="C33" s="82">
        <f>_xlfn.LET(_xlpm.var,◆관리정보!C33,IF(_xlpm.var&lt;&gt;0,_xlpm.var,""))</f>
        <v>204</v>
      </c>
      <c r="D33" s="83" t="s">
        <v>178</v>
      </c>
      <c r="E33" s="84" t="str">
        <f t="shared" si="1"/>
        <v>아페이론204</v>
      </c>
      <c r="F33" s="85">
        <v>46100</v>
      </c>
      <c r="G33" s="229"/>
      <c r="H33" s="229"/>
      <c r="I33" s="229"/>
      <c r="J33" s="229">
        <v>1385850</v>
      </c>
      <c r="K33" s="218"/>
      <c r="L33" s="87">
        <v>45796</v>
      </c>
      <c r="M33" s="87">
        <v>45887</v>
      </c>
      <c r="N33" s="82" t="s">
        <v>179</v>
      </c>
      <c r="O33" s="82" t="s">
        <v>180</v>
      </c>
      <c r="P33" s="241">
        <v>1200000</v>
      </c>
      <c r="Q33" s="241">
        <v>1200000</v>
      </c>
      <c r="R33" s="82"/>
      <c r="S33" s="241">
        <v>100000</v>
      </c>
      <c r="T33" s="82" t="s">
        <v>40</v>
      </c>
      <c r="U33" s="241">
        <v>25000</v>
      </c>
      <c r="V33" s="82" t="s">
        <v>40</v>
      </c>
      <c r="W33" s="88">
        <v>25000</v>
      </c>
      <c r="X33" s="82" t="s">
        <v>40</v>
      </c>
      <c r="Y33" s="89"/>
      <c r="Z33" s="82"/>
      <c r="AA33" s="220" t="s">
        <v>181</v>
      </c>
      <c r="AB33" s="241">
        <v>180000</v>
      </c>
      <c r="AC33" s="241">
        <v>200000</v>
      </c>
      <c r="AD33" s="241"/>
      <c r="AE33" s="82" t="s">
        <v>182</v>
      </c>
      <c r="AF33" s="82" t="s">
        <v>183</v>
      </c>
      <c r="AG33" s="90"/>
      <c r="AH33" s="90"/>
      <c r="AI33" s="90" t="s">
        <v>184</v>
      </c>
      <c r="AJ33" s="90"/>
      <c r="AK33" s="82"/>
      <c r="AL33" s="82" t="str" cm="1">
        <f t="array" aca="1" ref="AL33" ca="1">_xlfn.IFS(
 AND($AK33&lt;&gt;"", M33&lt;&gt;0, M33&lt;=EDATE(TODAY(),2)),"도래",
 AND($AK33&lt;&gt;"", M33&lt;&gt;0, M33&lt;=EDATE(TODAY(),3)),"예정",
 AND($AK33&lt;&gt;"", M33&lt;&gt;0, M33&lt;=EDATE(TODAY(),6)),"관심",
 TRUE,""
)</f>
        <v/>
      </c>
      <c r="AM33" s="198">
        <f t="shared" si="2"/>
        <v>19</v>
      </c>
    </row>
    <row r="34" spans="1:39" ht="18" customHeight="1">
      <c r="A34" s="81"/>
      <c r="B34" s="205" t="str">
        <f>_xlfn.LET(_xlpm.var,◆관리정보!B34,IF(_xlpm.var&lt;&gt;0,_xlpm.var,""))</f>
        <v>아페이론</v>
      </c>
      <c r="C34" s="82">
        <f>_xlfn.LET(_xlpm.var,◆관리정보!C34,IF(_xlpm.var&lt;&gt;0,_xlpm.var,""))</f>
        <v>205</v>
      </c>
      <c r="D34" s="83" t="s">
        <v>185</v>
      </c>
      <c r="E34" s="84" t="str">
        <f t="shared" si="1"/>
        <v>아페이론205</v>
      </c>
      <c r="F34" s="85">
        <v>46101</v>
      </c>
      <c r="G34" s="229"/>
      <c r="H34" s="229"/>
      <c r="I34" s="229"/>
      <c r="J34" s="229">
        <v>1438800</v>
      </c>
      <c r="K34" s="218"/>
      <c r="L34" s="87">
        <v>46042</v>
      </c>
      <c r="M34" s="87">
        <v>46131</v>
      </c>
      <c r="N34" s="82" t="s">
        <v>186</v>
      </c>
      <c r="O34" s="82" t="s">
        <v>187</v>
      </c>
      <c r="P34" s="241">
        <v>1200000</v>
      </c>
      <c r="Q34" s="241">
        <v>1200000</v>
      </c>
      <c r="R34" s="82"/>
      <c r="S34" s="241">
        <v>80000</v>
      </c>
      <c r="T34" s="82" t="s">
        <v>40</v>
      </c>
      <c r="U34" s="241">
        <v>25000</v>
      </c>
      <c r="V34" s="82" t="s">
        <v>40</v>
      </c>
      <c r="W34" s="88">
        <v>25000</v>
      </c>
      <c r="X34" s="82" t="s">
        <v>40</v>
      </c>
      <c r="Y34" s="89"/>
      <c r="Z34" s="82"/>
      <c r="AA34" s="220" t="s">
        <v>188</v>
      </c>
      <c r="AB34" s="241">
        <v>180000</v>
      </c>
      <c r="AC34" s="241">
        <v>200000</v>
      </c>
      <c r="AD34" s="241"/>
      <c r="AE34" s="82" t="s">
        <v>74</v>
      </c>
      <c r="AF34" s="82" t="s">
        <v>189</v>
      </c>
      <c r="AG34" s="90"/>
      <c r="AH34" s="90"/>
      <c r="AI34" s="90"/>
      <c r="AJ34" s="90"/>
      <c r="AK34" s="82"/>
      <c r="AL34" s="82" t="str" cm="1">
        <f t="array" aca="1" ref="AL34" ca="1">_xlfn.IFS(
 AND($AK34&lt;&gt;"", M34&lt;&gt;0, M34&lt;=EDATE(TODAY(),2)),"도래",
 AND($AK34&lt;&gt;"", M34&lt;&gt;0, M34&lt;=EDATE(TODAY(),3)),"예정",
 AND($AK34&lt;&gt;"", M34&lt;&gt;0, M34&lt;=EDATE(TODAY(),6)),"관심",
 TRUE,""
)</f>
        <v/>
      </c>
      <c r="AM34" s="198">
        <f t="shared" si="2"/>
        <v>20</v>
      </c>
    </row>
    <row r="35" spans="1:39" ht="18" customHeight="1">
      <c r="A35" s="81"/>
      <c r="B35" s="205" t="str">
        <f>_xlfn.LET(_xlpm.var,◆관리정보!B35,IF(_xlpm.var&lt;&gt;0,_xlpm.var,""))</f>
        <v>다존하우스</v>
      </c>
      <c r="C35" s="82">
        <f>_xlfn.LET(_xlpm.var,◆관리정보!C35,IF(_xlpm.var&lt;&gt;0,_xlpm.var,""))</f>
        <v>201</v>
      </c>
      <c r="D35" s="83" t="s">
        <v>190</v>
      </c>
      <c r="E35" s="84" t="str">
        <f t="shared" si="1"/>
        <v>다존하우스201</v>
      </c>
      <c r="F35" s="85">
        <v>46101</v>
      </c>
      <c r="G35" s="229"/>
      <c r="H35" s="229"/>
      <c r="I35" s="229"/>
      <c r="J35" s="229">
        <v>619310</v>
      </c>
      <c r="K35" s="218"/>
      <c r="L35" s="87">
        <v>45950</v>
      </c>
      <c r="M35" s="87">
        <v>46010</v>
      </c>
      <c r="N35" s="82" t="s">
        <v>191</v>
      </c>
      <c r="O35" s="82" t="s">
        <v>192</v>
      </c>
      <c r="P35" s="241">
        <v>500000</v>
      </c>
      <c r="Q35" s="241">
        <v>500000</v>
      </c>
      <c r="R35" s="82"/>
      <c r="S35" s="241">
        <v>70000</v>
      </c>
      <c r="T35" s="82" t="s">
        <v>40</v>
      </c>
      <c r="U35" s="241"/>
      <c r="V35" s="82"/>
      <c r="W35" s="88"/>
      <c r="X35" s="82"/>
      <c r="Y35" s="89"/>
      <c r="Z35" s="82"/>
      <c r="AA35" s="220"/>
      <c r="AB35" s="241">
        <v>80000</v>
      </c>
      <c r="AC35" s="241">
        <v>100000</v>
      </c>
      <c r="AD35" s="241"/>
      <c r="AE35" s="82" t="s">
        <v>193</v>
      </c>
      <c r="AF35" s="82" t="s">
        <v>194</v>
      </c>
      <c r="AG35" s="90"/>
      <c r="AH35" s="90"/>
      <c r="AI35" s="90"/>
      <c r="AJ35" s="90"/>
      <c r="AK35" s="82"/>
      <c r="AL35" s="82" t="str" cm="1">
        <f t="array" aca="1" ref="AL35" ca="1">_xlfn.IFS(
 AND($AK35&lt;&gt;"", M35&lt;&gt;0, M35&lt;=EDATE(TODAY(),2)),"도래",
 AND($AK35&lt;&gt;"", M35&lt;&gt;0, M35&lt;=EDATE(TODAY(),3)),"예정",
 AND($AK35&lt;&gt;"", M35&lt;&gt;0, M35&lt;=EDATE(TODAY(),6)),"관심",
 TRUE,""
)</f>
        <v/>
      </c>
      <c r="AM35" s="198">
        <f t="shared" si="2"/>
        <v>20</v>
      </c>
    </row>
    <row r="36" spans="1:39" ht="18" customHeight="1">
      <c r="A36" s="81"/>
      <c r="B36" s="237" t="str">
        <f>_xlfn.LET(_xlpm.var,◆관리정보!B36,IF(_xlpm.var&lt;&gt;0,_xlpm.var,""))</f>
        <v>다존하우스</v>
      </c>
      <c r="C36" s="238">
        <f>_xlfn.LET(_xlpm.var,◆관리정보!C36,IF(_xlpm.var&lt;&gt;0,_xlpm.var,""))</f>
        <v>202</v>
      </c>
      <c r="D36" s="239" t="s">
        <v>195</v>
      </c>
      <c r="E36" s="84" t="str">
        <f t="shared" si="1"/>
        <v>다존하우스202</v>
      </c>
      <c r="F36" s="85"/>
      <c r="G36" s="229"/>
      <c r="H36" s="229"/>
      <c r="I36" s="229"/>
      <c r="J36" s="229"/>
      <c r="K36" s="218"/>
      <c r="L36" s="87"/>
      <c r="M36" s="87"/>
      <c r="N36" s="82"/>
      <c r="O36" s="82"/>
      <c r="P36" s="241"/>
      <c r="Q36" s="241"/>
      <c r="R36" s="82"/>
      <c r="S36" s="241"/>
      <c r="T36" s="82"/>
      <c r="U36" s="241"/>
      <c r="V36" s="82"/>
      <c r="W36" s="88"/>
      <c r="X36" s="82"/>
      <c r="Y36" s="89"/>
      <c r="Z36" s="82"/>
      <c r="AA36" s="220"/>
      <c r="AB36" s="241"/>
      <c r="AC36" s="241"/>
      <c r="AD36" s="241"/>
      <c r="AE36" s="82"/>
      <c r="AF36" s="82"/>
      <c r="AG36" s="90"/>
      <c r="AH36" s="90"/>
      <c r="AI36" s="90" t="s">
        <v>196</v>
      </c>
      <c r="AJ36" s="90"/>
      <c r="AK36" s="82"/>
      <c r="AL36" s="82" t="str" cm="1">
        <f t="array" aca="1" ref="AL36" ca="1">_xlfn.IFS(
 AND($AK36&lt;&gt;"", M36&lt;&gt;0, M36&lt;=EDATE(TODAY(),2)),"도래",
 AND($AK36&lt;&gt;"", M36&lt;&gt;0, M36&lt;=EDATE(TODAY(),3)),"예정",
 AND($AK36&lt;&gt;"", M36&lt;&gt;0, M36&lt;=EDATE(TODAY(),6)),"관심",
 TRUE,""
)</f>
        <v/>
      </c>
      <c r="AM36" s="198">
        <f t="shared" si="2"/>
        <v>0</v>
      </c>
    </row>
    <row r="37" spans="1:39" ht="18" customHeight="1">
      <c r="A37" s="81"/>
      <c r="B37" s="205" t="str">
        <f>_xlfn.LET(_xlpm.var,◆관리정보!B37,IF(_xlpm.var&lt;&gt;0,_xlpm.var,""))</f>
        <v>다존하우스</v>
      </c>
      <c r="C37" s="82">
        <f>_xlfn.LET(_xlpm.var,◆관리정보!C37,IF(_xlpm.var&lt;&gt;0,_xlpm.var,""))</f>
        <v>203</v>
      </c>
      <c r="D37" s="83" t="s">
        <v>197</v>
      </c>
      <c r="E37" s="84" t="str">
        <f t="shared" si="1"/>
        <v>다존하우스203</v>
      </c>
      <c r="F37" s="85">
        <v>46130</v>
      </c>
      <c r="G37" s="229"/>
      <c r="H37" s="229"/>
      <c r="I37" s="229"/>
      <c r="J37" s="229"/>
      <c r="K37" s="218"/>
      <c r="L37" s="87">
        <v>46009</v>
      </c>
      <c r="M37" s="87">
        <v>46098</v>
      </c>
      <c r="N37" s="82" t="s">
        <v>198</v>
      </c>
      <c r="O37" s="82" t="s">
        <v>199</v>
      </c>
      <c r="P37" s="241">
        <v>500000</v>
      </c>
      <c r="Q37" s="241">
        <v>400000</v>
      </c>
      <c r="R37" s="82"/>
      <c r="S37" s="241">
        <v>70000</v>
      </c>
      <c r="T37" s="82" t="s">
        <v>40</v>
      </c>
      <c r="U37" s="241"/>
      <c r="V37" s="82"/>
      <c r="W37" s="88"/>
      <c r="X37" s="82"/>
      <c r="Y37" s="89"/>
      <c r="Z37" s="82"/>
      <c r="AA37" s="220"/>
      <c r="AB37" s="241">
        <v>80000</v>
      </c>
      <c r="AC37" s="241">
        <v>100000</v>
      </c>
      <c r="AD37" s="241"/>
      <c r="AE37" s="82" t="s">
        <v>200</v>
      </c>
      <c r="AF37" s="82" t="s">
        <v>201</v>
      </c>
      <c r="AG37" s="90"/>
      <c r="AH37" s="90"/>
      <c r="AI37" s="90"/>
      <c r="AJ37" s="90"/>
      <c r="AK37" s="82"/>
      <c r="AL37" s="82" t="str" cm="1">
        <f t="array" aca="1" ref="AL37" ca="1">_xlfn.IFS(
 AND($AK37&lt;&gt;"", M37&lt;&gt;0, M37&lt;=EDATE(TODAY(),2)),"도래",
 AND($AK37&lt;&gt;"", M37&lt;&gt;0, M37&lt;=EDATE(TODAY(),3)),"예정",
 AND($AK37&lt;&gt;"", M37&lt;&gt;0, M37&lt;=EDATE(TODAY(),6)),"관심",
 TRUE,""
)</f>
        <v/>
      </c>
      <c r="AM37" s="198">
        <f t="shared" si="2"/>
        <v>18</v>
      </c>
    </row>
    <row r="38" spans="1:39" ht="18" customHeight="1">
      <c r="A38" s="81"/>
      <c r="B38" s="366" t="str">
        <f>_xlfn.LET(_xlpm.var,◆관리정보!B38,IF(_xlpm.var&lt;&gt;0,_xlpm.var,""))</f>
        <v>다존하우스</v>
      </c>
      <c r="C38" s="367">
        <f>_xlfn.LET(_xlpm.var,◆관리정보!C38,IF(_xlpm.var&lt;&gt;0,_xlpm.var,""))</f>
        <v>205</v>
      </c>
      <c r="D38" s="368" t="s">
        <v>202</v>
      </c>
      <c r="E38" s="84" t="str">
        <f t="shared" si="1"/>
        <v>다존하우스205</v>
      </c>
      <c r="F38" s="85"/>
      <c r="G38" s="229"/>
      <c r="H38" s="229"/>
      <c r="I38" s="229"/>
      <c r="J38" s="229"/>
      <c r="K38" s="218"/>
      <c r="L38" s="87"/>
      <c r="M38" s="87"/>
      <c r="N38" s="82"/>
      <c r="O38" s="82"/>
      <c r="P38" s="241"/>
      <c r="Q38" s="241"/>
      <c r="R38" s="82"/>
      <c r="S38" s="241"/>
      <c r="T38" s="82"/>
      <c r="U38" s="241"/>
      <c r="V38" s="82"/>
      <c r="W38" s="88"/>
      <c r="X38" s="82"/>
      <c r="Y38" s="89"/>
      <c r="Z38" s="82"/>
      <c r="AA38" s="220"/>
      <c r="AB38" s="241"/>
      <c r="AC38" s="241"/>
      <c r="AD38" s="241"/>
      <c r="AE38" s="82"/>
      <c r="AF38" s="82"/>
      <c r="AG38" s="90"/>
      <c r="AH38" s="90"/>
      <c r="AI38" s="90" t="s">
        <v>203</v>
      </c>
      <c r="AJ38" s="90"/>
      <c r="AK38" s="82"/>
      <c r="AL38" s="82" t="str" cm="1">
        <f t="array" aca="1" ref="AL38" ca="1">_xlfn.IFS(
 AND($AK38&lt;&gt;"", M38&lt;&gt;0, M38&lt;=EDATE(TODAY(),2)),"도래",
 AND($AK38&lt;&gt;"", M38&lt;&gt;0, M38&lt;=EDATE(TODAY(),3)),"예정",
 AND($AK38&lt;&gt;"", M38&lt;&gt;0, M38&lt;=EDATE(TODAY(),6)),"관심",
 TRUE,""
)</f>
        <v/>
      </c>
      <c r="AM38" s="198">
        <f t="shared" si="2"/>
        <v>0</v>
      </c>
    </row>
    <row r="39" spans="1:39" ht="18" customHeight="1">
      <c r="A39" s="81"/>
      <c r="B39" s="205" t="str">
        <f>_xlfn.LET(_xlpm.var,◆관리정보!B39,IF(_xlpm.var&lt;&gt;0,_xlpm.var,""))</f>
        <v>다존하우스</v>
      </c>
      <c r="C39" s="82">
        <f>_xlfn.LET(_xlpm.var,◆관리정보!C39,IF(_xlpm.var&lt;&gt;0,_xlpm.var,""))</f>
        <v>206</v>
      </c>
      <c r="D39" s="83" t="s">
        <v>204</v>
      </c>
      <c r="E39" s="84" t="str">
        <f t="shared" si="1"/>
        <v>다존하우스206</v>
      </c>
      <c r="F39" s="85">
        <v>46089</v>
      </c>
      <c r="G39" s="229"/>
      <c r="H39" s="229"/>
      <c r="I39" s="229"/>
      <c r="J39" s="229">
        <v>593470</v>
      </c>
      <c r="K39" s="218">
        <v>20000</v>
      </c>
      <c r="L39" s="87">
        <v>45999</v>
      </c>
      <c r="M39" s="87">
        <v>46088</v>
      </c>
      <c r="N39" s="82" t="s">
        <v>205</v>
      </c>
      <c r="O39" s="82" t="s">
        <v>206</v>
      </c>
      <c r="P39" s="241">
        <v>500000</v>
      </c>
      <c r="Q39" s="241">
        <v>400000</v>
      </c>
      <c r="R39" s="82"/>
      <c r="S39" s="241">
        <v>70000</v>
      </c>
      <c r="T39" s="82" t="s">
        <v>40</v>
      </c>
      <c r="U39" s="241"/>
      <c r="V39" s="82"/>
      <c r="W39" s="88"/>
      <c r="X39" s="82"/>
      <c r="Y39" s="89"/>
      <c r="Z39" s="82"/>
      <c r="AA39" s="220"/>
      <c r="AB39" s="241">
        <v>80000</v>
      </c>
      <c r="AC39" s="241">
        <v>100000</v>
      </c>
      <c r="AD39" s="241"/>
      <c r="AE39" s="82" t="s">
        <v>200</v>
      </c>
      <c r="AF39" s="82" t="s">
        <v>207</v>
      </c>
      <c r="AG39" s="90"/>
      <c r="AH39" s="90"/>
      <c r="AI39" s="90" t="s">
        <v>208</v>
      </c>
      <c r="AJ39" s="90"/>
      <c r="AK39" s="82"/>
      <c r="AL39" s="82" t="str" cm="1">
        <f t="array" aca="1" ref="AL39" ca="1">_xlfn.IFS(
 AND($AK39&lt;&gt;"", M39&lt;&gt;0, M39&lt;=EDATE(TODAY(),2)),"도래",
 AND($AK39&lt;&gt;"", M39&lt;&gt;0, M39&lt;=EDATE(TODAY(),3)),"예정",
 AND($AK39&lt;&gt;"", M39&lt;&gt;0, M39&lt;=EDATE(TODAY(),6)),"관심",
 TRUE,""
)</f>
        <v/>
      </c>
      <c r="AM39" s="198">
        <f t="shared" si="2"/>
        <v>8</v>
      </c>
    </row>
    <row r="40" spans="1:39" ht="18" customHeight="1">
      <c r="A40" s="81"/>
      <c r="B40" s="242" t="str">
        <f>_xlfn.LET(_xlpm.var,◆관리정보!B40,IF(_xlpm.var&lt;&gt;0,_xlpm.var,""))</f>
        <v>다존하우스</v>
      </c>
      <c r="C40" s="243">
        <f>_xlfn.LET(_xlpm.var,◆관리정보!C40,IF(_xlpm.var&lt;&gt;0,_xlpm.var,""))</f>
        <v>207</v>
      </c>
      <c r="D40" s="244" t="s">
        <v>209</v>
      </c>
      <c r="E40" s="84" t="str">
        <f t="shared" si="1"/>
        <v>다존하우스207</v>
      </c>
      <c r="F40" s="85"/>
      <c r="G40" s="229"/>
      <c r="H40" s="229"/>
      <c r="I40" s="229"/>
      <c r="J40" s="229"/>
      <c r="K40" s="218"/>
      <c r="L40" s="87"/>
      <c r="M40" s="87"/>
      <c r="N40" s="82"/>
      <c r="O40" s="82"/>
      <c r="P40" s="241"/>
      <c r="Q40" s="241"/>
      <c r="R40" s="82"/>
      <c r="S40" s="241"/>
      <c r="T40" s="82"/>
      <c r="U40" s="241"/>
      <c r="V40" s="82"/>
      <c r="W40" s="88"/>
      <c r="X40" s="82"/>
      <c r="Y40" s="89"/>
      <c r="Z40" s="82"/>
      <c r="AA40" s="220"/>
      <c r="AB40" s="241"/>
      <c r="AC40" s="241"/>
      <c r="AD40" s="241"/>
      <c r="AE40" s="82"/>
      <c r="AF40" s="82"/>
      <c r="AG40" s="90"/>
      <c r="AH40" s="90"/>
      <c r="AI40" s="90"/>
      <c r="AJ40" s="90"/>
      <c r="AK40" s="82"/>
      <c r="AL40" s="82" t="str" cm="1">
        <f t="array" aca="1" ref="AL40" ca="1">_xlfn.IFS(
 AND($AK40&lt;&gt;"", M40&lt;&gt;0, M40&lt;=EDATE(TODAY(),2)),"도래",
 AND($AK40&lt;&gt;"", M40&lt;&gt;0, M40&lt;=EDATE(TODAY(),3)),"예정",
 AND($AK40&lt;&gt;"", M40&lt;&gt;0, M40&lt;=EDATE(TODAY(),6)),"관심",
 TRUE,""
)</f>
        <v/>
      </c>
      <c r="AM40" s="198">
        <f t="shared" si="2"/>
        <v>0</v>
      </c>
    </row>
    <row r="41" spans="1:39" ht="18" customHeight="1">
      <c r="A41" s="81"/>
      <c r="B41" s="237" t="str">
        <f>_xlfn.LET(_xlpm.var,◆관리정보!B41,IF(_xlpm.var&lt;&gt;0,_xlpm.var,""))</f>
        <v>다존하우스</v>
      </c>
      <c r="C41" s="238">
        <f>_xlfn.LET(_xlpm.var,◆관리정보!C41,IF(_xlpm.var&lt;&gt;0,_xlpm.var,""))</f>
        <v>208</v>
      </c>
      <c r="D41" s="239" t="s">
        <v>202</v>
      </c>
      <c r="E41" s="84" t="str">
        <f t="shared" si="1"/>
        <v>다존하우스208</v>
      </c>
      <c r="F41" s="85"/>
      <c r="G41" s="229"/>
      <c r="H41" s="229"/>
      <c r="I41" s="229"/>
      <c r="J41" s="229"/>
      <c r="K41" s="218"/>
      <c r="L41" s="87"/>
      <c r="M41" s="87"/>
      <c r="N41" s="82"/>
      <c r="O41" s="82"/>
      <c r="P41" s="241"/>
      <c r="Q41" s="241"/>
      <c r="R41" s="82"/>
      <c r="S41" s="241"/>
      <c r="T41" s="82"/>
      <c r="U41" s="241"/>
      <c r="V41" s="82"/>
      <c r="W41" s="88"/>
      <c r="X41" s="82"/>
      <c r="Y41" s="89"/>
      <c r="Z41" s="82"/>
      <c r="AA41" s="220"/>
      <c r="AB41" s="241"/>
      <c r="AC41" s="241"/>
      <c r="AD41" s="241"/>
      <c r="AE41" s="82"/>
      <c r="AF41" s="82"/>
      <c r="AG41" s="90"/>
      <c r="AH41" s="90"/>
      <c r="AI41" s="90"/>
      <c r="AJ41" s="90"/>
      <c r="AK41" s="82"/>
      <c r="AL41" s="82" t="str" cm="1">
        <f t="array" aca="1" ref="AL41" ca="1">_xlfn.IFS(
 AND($AK41&lt;&gt;"", M41&lt;&gt;0, M41&lt;=EDATE(TODAY(),2)),"도래",
 AND($AK41&lt;&gt;"", M41&lt;&gt;0, M41&lt;=EDATE(TODAY(),3)),"예정",
 AND($AK41&lt;&gt;"", M41&lt;&gt;0, M41&lt;=EDATE(TODAY(),6)),"관심",
 TRUE,""
)</f>
        <v/>
      </c>
      <c r="AM41" s="198">
        <f t="shared" si="2"/>
        <v>0</v>
      </c>
    </row>
    <row r="42" spans="1:39" ht="18" customHeight="1">
      <c r="A42" s="81"/>
      <c r="B42" s="205" t="str">
        <f>_xlfn.LET(_xlpm.var,◆관리정보!B42,IF(_xlpm.var&lt;&gt;0,_xlpm.var,""))</f>
        <v>다존하우스</v>
      </c>
      <c r="C42" s="82">
        <f>_xlfn.LET(_xlpm.var,◆관리정보!C42,IF(_xlpm.var&lt;&gt;0,_xlpm.var,""))</f>
        <v>209</v>
      </c>
      <c r="D42" s="83" t="s">
        <v>210</v>
      </c>
      <c r="E42" s="84" t="str">
        <f t="shared" si="1"/>
        <v>다존하우스209</v>
      </c>
      <c r="F42" s="85">
        <v>46127</v>
      </c>
      <c r="G42" s="229"/>
      <c r="H42" s="229"/>
      <c r="I42" s="229"/>
      <c r="J42" s="229"/>
      <c r="K42" s="218"/>
      <c r="L42" s="87">
        <v>44454</v>
      </c>
      <c r="M42" s="87">
        <v>44634</v>
      </c>
      <c r="N42" s="82" t="s">
        <v>211</v>
      </c>
      <c r="O42" s="82" t="s">
        <v>212</v>
      </c>
      <c r="P42" s="241">
        <v>500000</v>
      </c>
      <c r="Q42" s="241">
        <v>400000</v>
      </c>
      <c r="R42" s="82"/>
      <c r="S42" s="241">
        <v>70000</v>
      </c>
      <c r="T42" s="82" t="s">
        <v>40</v>
      </c>
      <c r="U42" s="241"/>
      <c r="V42" s="82"/>
      <c r="W42" s="88"/>
      <c r="X42" s="82"/>
      <c r="Y42" s="89"/>
      <c r="Z42" s="82"/>
      <c r="AA42" s="220"/>
      <c r="AB42" s="241">
        <v>70000</v>
      </c>
      <c r="AC42" s="241">
        <v>100000</v>
      </c>
      <c r="AD42" s="241"/>
      <c r="AE42" s="82" t="s">
        <v>213</v>
      </c>
      <c r="AF42" s="82" t="s">
        <v>214</v>
      </c>
      <c r="AG42" s="90"/>
      <c r="AH42" s="90"/>
      <c r="AI42" s="90" t="s">
        <v>215</v>
      </c>
      <c r="AJ42" s="90"/>
      <c r="AK42" s="82"/>
      <c r="AL42" s="82" t="str" cm="1">
        <f t="array" aca="1" ref="AL42" ca="1">_xlfn.IFS(
 AND($AK42&lt;&gt;"", M42&lt;&gt;0, M42&lt;=EDATE(TODAY(),2)),"도래",
 AND($AK42&lt;&gt;"", M42&lt;&gt;0, M42&lt;=EDATE(TODAY(),3)),"예정",
 AND($AK42&lt;&gt;"", M42&lt;&gt;0, M42&lt;=EDATE(TODAY(),6)),"관심",
 TRUE,""
)</f>
        <v/>
      </c>
      <c r="AM42" s="198">
        <f t="shared" si="2"/>
        <v>15</v>
      </c>
    </row>
    <row r="43" spans="1:39" ht="18" customHeight="1">
      <c r="A43" s="81"/>
      <c r="B43" s="242" t="str">
        <f>_xlfn.LET(_xlpm.var,◆관리정보!B43,IF(_xlpm.var&lt;&gt;0,_xlpm.var,""))</f>
        <v>다존하우스</v>
      </c>
      <c r="C43" s="243">
        <f>_xlfn.LET(_xlpm.var,◆관리정보!C43,IF(_xlpm.var&lt;&gt;0,_xlpm.var,""))</f>
        <v>210</v>
      </c>
      <c r="D43" s="244" t="s">
        <v>209</v>
      </c>
      <c r="E43" s="84" t="str">
        <f t="shared" si="1"/>
        <v>다존하우스210</v>
      </c>
      <c r="F43" s="85"/>
      <c r="G43" s="229"/>
      <c r="H43" s="229"/>
      <c r="I43" s="229"/>
      <c r="J43" s="229"/>
      <c r="K43" s="218"/>
      <c r="L43" s="87"/>
      <c r="M43" s="87"/>
      <c r="N43" s="82"/>
      <c r="O43" s="82"/>
      <c r="P43" s="241"/>
      <c r="Q43" s="241"/>
      <c r="R43" s="82"/>
      <c r="S43" s="241"/>
      <c r="T43" s="82"/>
      <c r="U43" s="241"/>
      <c r="V43" s="82"/>
      <c r="W43" s="88"/>
      <c r="X43" s="82"/>
      <c r="Y43" s="89"/>
      <c r="Z43" s="82"/>
      <c r="AA43" s="220"/>
      <c r="AB43" s="241"/>
      <c r="AC43" s="241"/>
      <c r="AD43" s="241"/>
      <c r="AE43" s="82"/>
      <c r="AF43" s="82"/>
      <c r="AG43" s="90"/>
      <c r="AH43" s="90"/>
      <c r="AI43" s="90"/>
      <c r="AJ43" s="90"/>
      <c r="AK43" s="82"/>
      <c r="AL43" s="82" t="str" cm="1">
        <f t="array" aca="1" ref="AL43" ca="1">_xlfn.IFS(
 AND($AK43&lt;&gt;"", M43&lt;&gt;0, M43&lt;=EDATE(TODAY(),2)),"도래",
 AND($AK43&lt;&gt;"", M43&lt;&gt;0, M43&lt;=EDATE(TODAY(),3)),"예정",
 AND($AK43&lt;&gt;"", M43&lt;&gt;0, M43&lt;=EDATE(TODAY(),6)),"관심",
 TRUE,""
)</f>
        <v/>
      </c>
      <c r="AM43" s="198">
        <f t="shared" si="2"/>
        <v>0</v>
      </c>
    </row>
    <row r="44" spans="1:39" ht="18" customHeight="1">
      <c r="A44" s="81"/>
      <c r="B44" s="205" t="str">
        <f>_xlfn.LET(_xlpm.var,◆관리정보!B44,IF(_xlpm.var&lt;&gt;0,_xlpm.var,""))</f>
        <v>다존하우스</v>
      </c>
      <c r="C44" s="82">
        <f>_xlfn.LET(_xlpm.var,◆관리정보!C44,IF(_xlpm.var&lt;&gt;0,_xlpm.var,""))</f>
        <v>301</v>
      </c>
      <c r="D44" s="83" t="s">
        <v>216</v>
      </c>
      <c r="E44" s="84" t="str">
        <f t="shared" si="1"/>
        <v>다존하우스301</v>
      </c>
      <c r="F44" s="85">
        <v>46126</v>
      </c>
      <c r="G44" s="229"/>
      <c r="H44" s="229"/>
      <c r="I44" s="229"/>
      <c r="J44" s="229"/>
      <c r="K44" s="218"/>
      <c r="L44" s="87">
        <v>45822</v>
      </c>
      <c r="M44" s="87">
        <v>45913</v>
      </c>
      <c r="N44" s="82" t="s">
        <v>217</v>
      </c>
      <c r="O44" s="82" t="s">
        <v>218</v>
      </c>
      <c r="P44" s="241">
        <v>500000</v>
      </c>
      <c r="Q44" s="241">
        <v>400000</v>
      </c>
      <c r="R44" s="82"/>
      <c r="S44" s="241">
        <v>70000</v>
      </c>
      <c r="T44" s="82" t="s">
        <v>40</v>
      </c>
      <c r="U44" s="241"/>
      <c r="V44" s="82"/>
      <c r="W44" s="88"/>
      <c r="X44" s="82"/>
      <c r="Y44" s="89"/>
      <c r="Z44" s="82"/>
      <c r="AA44" s="220"/>
      <c r="AB44" s="241">
        <v>80000</v>
      </c>
      <c r="AC44" s="241">
        <v>100000</v>
      </c>
      <c r="AD44" s="241"/>
      <c r="AE44" s="82" t="s">
        <v>219</v>
      </c>
      <c r="AF44" s="82" t="s">
        <v>220</v>
      </c>
      <c r="AG44" s="90"/>
      <c r="AH44" s="90"/>
      <c r="AI44" s="90"/>
      <c r="AJ44" s="90"/>
      <c r="AK44" s="82"/>
      <c r="AL44" s="82" t="str" cm="1">
        <f t="array" aca="1" ref="AL44" ca="1">_xlfn.IFS(
 AND($AK44&lt;&gt;"", M44&lt;&gt;0, M44&lt;=EDATE(TODAY(),2)),"도래",
 AND($AK44&lt;&gt;"", M44&lt;&gt;0, M44&lt;=EDATE(TODAY(),3)),"예정",
 AND($AK44&lt;&gt;"", M44&lt;&gt;0, M44&lt;=EDATE(TODAY(),6)),"관심",
 TRUE,""
)</f>
        <v/>
      </c>
      <c r="AM44" s="198">
        <f t="shared" si="2"/>
        <v>14</v>
      </c>
    </row>
    <row r="45" spans="1:39" ht="18" customHeight="1">
      <c r="A45" s="81"/>
      <c r="B45" s="205" t="str">
        <f>_xlfn.LET(_xlpm.var,◆관리정보!B45,IF(_xlpm.var&lt;&gt;0,_xlpm.var,""))</f>
        <v>다존하우스</v>
      </c>
      <c r="C45" s="82">
        <f>_xlfn.LET(_xlpm.var,◆관리정보!C45,IF(_xlpm.var&lt;&gt;0,_xlpm.var,""))</f>
        <v>302</v>
      </c>
      <c r="D45" s="83" t="s">
        <v>221</v>
      </c>
      <c r="E45" s="84" t="str">
        <f t="shared" si="1"/>
        <v>다존하우스302</v>
      </c>
      <c r="F45" s="85">
        <v>46110</v>
      </c>
      <c r="G45" s="229"/>
      <c r="H45" s="229"/>
      <c r="I45" s="229"/>
      <c r="J45" s="229"/>
      <c r="K45" s="218"/>
      <c r="L45" s="87">
        <v>46020</v>
      </c>
      <c r="M45" s="87">
        <v>46109</v>
      </c>
      <c r="N45" s="82" t="s">
        <v>222</v>
      </c>
      <c r="O45" s="82" t="s">
        <v>223</v>
      </c>
      <c r="P45" s="241">
        <v>500000</v>
      </c>
      <c r="Q45" s="241">
        <v>400000</v>
      </c>
      <c r="R45" s="82"/>
      <c r="S45" s="241">
        <v>70000</v>
      </c>
      <c r="T45" s="82" t="s">
        <v>40</v>
      </c>
      <c r="U45" s="241"/>
      <c r="V45" s="82"/>
      <c r="W45" s="88"/>
      <c r="X45" s="82"/>
      <c r="Y45" s="89"/>
      <c r="Z45" s="82"/>
      <c r="AA45" s="220"/>
      <c r="AB45" s="241">
        <v>80000</v>
      </c>
      <c r="AC45" s="241">
        <v>100000</v>
      </c>
      <c r="AD45" s="241"/>
      <c r="AE45" s="82" t="s">
        <v>219</v>
      </c>
      <c r="AF45" s="82" t="s">
        <v>224</v>
      </c>
      <c r="AG45" s="90"/>
      <c r="AH45" s="90"/>
      <c r="AI45" s="90" t="s">
        <v>225</v>
      </c>
      <c r="AJ45" s="90"/>
      <c r="AK45" s="82"/>
      <c r="AL45" s="82" t="str" cm="1">
        <f t="array" aca="1" ref="AL45" ca="1">_xlfn.IFS(
 AND($AK45&lt;&gt;"", M45&lt;&gt;0, M45&lt;=EDATE(TODAY(),2)),"도래",
 AND($AK45&lt;&gt;"", M45&lt;&gt;0, M45&lt;=EDATE(TODAY(),3)),"예정",
 AND($AK45&lt;&gt;"", M45&lt;&gt;0, M45&lt;=EDATE(TODAY(),6)),"관심",
 TRUE,""
)</f>
        <v/>
      </c>
      <c r="AM45" s="198">
        <f t="shared" si="2"/>
        <v>29</v>
      </c>
    </row>
    <row r="46" spans="1:39" ht="18" customHeight="1">
      <c r="A46" s="81"/>
      <c r="B46" s="205" t="str">
        <f>_xlfn.LET(_xlpm.var,◆관리정보!B46,IF(_xlpm.var&lt;&gt;0,_xlpm.var,""))</f>
        <v>다존하우스</v>
      </c>
      <c r="C46" s="82">
        <f>_xlfn.LET(_xlpm.var,◆관리정보!C46,IF(_xlpm.var&lt;&gt;0,_xlpm.var,""))</f>
        <v>303</v>
      </c>
      <c r="D46" s="83" t="s">
        <v>226</v>
      </c>
      <c r="E46" s="84" t="str">
        <f t="shared" si="1"/>
        <v>다존하우스303</v>
      </c>
      <c r="F46" s="85">
        <v>46119</v>
      </c>
      <c r="G46" s="229"/>
      <c r="H46" s="229"/>
      <c r="I46" s="229"/>
      <c r="J46" s="229"/>
      <c r="K46" s="218"/>
      <c r="L46" s="87">
        <v>43046</v>
      </c>
      <c r="M46" s="87">
        <v>43106</v>
      </c>
      <c r="N46" s="82" t="s">
        <v>227</v>
      </c>
      <c r="O46" s="82" t="s">
        <v>228</v>
      </c>
      <c r="P46" s="241">
        <v>700000</v>
      </c>
      <c r="Q46" s="241">
        <v>500000</v>
      </c>
      <c r="R46" s="82"/>
      <c r="S46" s="241">
        <v>70000</v>
      </c>
      <c r="T46" s="82" t="s">
        <v>40</v>
      </c>
      <c r="U46" s="241"/>
      <c r="V46" s="82"/>
      <c r="W46" s="88"/>
      <c r="X46" s="82"/>
      <c r="Y46" s="89"/>
      <c r="Z46" s="82"/>
      <c r="AA46" s="220">
        <v>1</v>
      </c>
      <c r="AB46" s="241">
        <v>80000</v>
      </c>
      <c r="AC46" s="241"/>
      <c r="AD46" s="241"/>
      <c r="AE46" s="82" t="s">
        <v>229</v>
      </c>
      <c r="AF46" s="82"/>
      <c r="AG46" s="90"/>
      <c r="AH46" s="90"/>
      <c r="AI46" s="90" t="s">
        <v>230</v>
      </c>
      <c r="AJ46" s="90"/>
      <c r="AK46" s="82"/>
      <c r="AL46" s="82" t="str" cm="1">
        <f t="array" aca="1" ref="AL46" ca="1">_xlfn.IFS(
 AND($AK46&lt;&gt;"", M46&lt;&gt;0, M46&lt;=EDATE(TODAY(),2)),"도래",
 AND($AK46&lt;&gt;"", M46&lt;&gt;0, M46&lt;=EDATE(TODAY(),3)),"예정",
 AND($AK46&lt;&gt;"", M46&lt;&gt;0, M46&lt;=EDATE(TODAY(),6)),"관심",
 TRUE,""
)</f>
        <v/>
      </c>
      <c r="AM46" s="198">
        <f t="shared" si="2"/>
        <v>7</v>
      </c>
    </row>
    <row r="47" spans="1:39" ht="18" customHeight="1">
      <c r="A47" s="81"/>
      <c r="B47" s="205" t="str">
        <f>_xlfn.LET(_xlpm.var,◆관리정보!B47,IF(_xlpm.var&lt;&gt;0,_xlpm.var,""))</f>
        <v>다존하우스</v>
      </c>
      <c r="C47" s="82">
        <f>_xlfn.LET(_xlpm.var,◆관리정보!C47,IF(_xlpm.var&lt;&gt;0,_xlpm.var,""))</f>
        <v>305</v>
      </c>
      <c r="D47" s="83" t="s">
        <v>231</v>
      </c>
      <c r="E47" s="84" t="str">
        <f t="shared" si="1"/>
        <v>다존하우스305</v>
      </c>
      <c r="F47" s="85">
        <v>46101</v>
      </c>
      <c r="G47" s="229"/>
      <c r="H47" s="229"/>
      <c r="I47" s="229"/>
      <c r="J47" s="229">
        <v>637180</v>
      </c>
      <c r="K47" s="218"/>
      <c r="L47" s="87">
        <v>45677</v>
      </c>
      <c r="M47" s="87">
        <v>45766</v>
      </c>
      <c r="N47" s="82" t="s">
        <v>232</v>
      </c>
      <c r="O47" s="82" t="s">
        <v>233</v>
      </c>
      <c r="P47" s="241">
        <v>500000</v>
      </c>
      <c r="Q47" s="241">
        <v>400000</v>
      </c>
      <c r="R47" s="82"/>
      <c r="S47" s="241">
        <v>170000</v>
      </c>
      <c r="T47" s="82" t="s">
        <v>40</v>
      </c>
      <c r="U47" s="241"/>
      <c r="V47" s="82"/>
      <c r="W47" s="88"/>
      <c r="X47" s="82"/>
      <c r="Y47" s="89"/>
      <c r="Z47" s="82"/>
      <c r="AA47" s="220">
        <v>1</v>
      </c>
      <c r="AB47" s="241">
        <v>80000</v>
      </c>
      <c r="AC47" s="241">
        <v>100000</v>
      </c>
      <c r="AD47" s="241"/>
      <c r="AE47" s="82" t="s">
        <v>219</v>
      </c>
      <c r="AF47" s="82" t="s">
        <v>220</v>
      </c>
      <c r="AG47" s="90"/>
      <c r="AH47" s="90"/>
      <c r="AI47" s="388" t="s">
        <v>234</v>
      </c>
      <c r="AJ47" s="90"/>
      <c r="AK47" s="82"/>
      <c r="AL47" s="82" t="str" cm="1">
        <f t="array" aca="1" ref="AL47" ca="1">_xlfn.IFS(
 AND($AK47&lt;&gt;"", M47&lt;&gt;0, M47&lt;=EDATE(TODAY(),2)),"도래",
 AND($AK47&lt;&gt;"", M47&lt;&gt;0, M47&lt;=EDATE(TODAY(),3)),"예정",
 AND($AK47&lt;&gt;"", M47&lt;&gt;0, M47&lt;=EDATE(TODAY(),6)),"관심",
 TRUE,""
)</f>
        <v/>
      </c>
      <c r="AM47" s="198">
        <f t="shared" si="2"/>
        <v>20</v>
      </c>
    </row>
    <row r="48" spans="1:39" ht="18" customHeight="1">
      <c r="A48" s="81"/>
      <c r="B48" s="205" t="str">
        <f>_xlfn.LET(_xlpm.var,◆관리정보!B48,IF(_xlpm.var&lt;&gt;0,_xlpm.var,""))</f>
        <v>다존하우스</v>
      </c>
      <c r="C48" s="82">
        <f>_xlfn.LET(_xlpm.var,◆관리정보!C48,IF(_xlpm.var&lt;&gt;0,_xlpm.var,""))</f>
        <v>306</v>
      </c>
      <c r="D48" s="83" t="s">
        <v>235</v>
      </c>
      <c r="E48" s="84" t="str">
        <f t="shared" si="1"/>
        <v>다존하우스306</v>
      </c>
      <c r="F48" s="85">
        <v>46092</v>
      </c>
      <c r="G48" s="229"/>
      <c r="H48" s="229"/>
      <c r="I48" s="229"/>
      <c r="J48" s="229">
        <v>614800</v>
      </c>
      <c r="K48" s="318"/>
      <c r="L48" s="87">
        <v>46033</v>
      </c>
      <c r="M48" s="87">
        <v>46122</v>
      </c>
      <c r="N48" s="82" t="s">
        <v>236</v>
      </c>
      <c r="O48" s="82" t="s">
        <v>237</v>
      </c>
      <c r="P48" s="241">
        <v>500000</v>
      </c>
      <c r="Q48" s="241">
        <v>450000</v>
      </c>
      <c r="R48" s="82"/>
      <c r="S48" s="241">
        <v>70000</v>
      </c>
      <c r="T48" s="82" t="s">
        <v>40</v>
      </c>
      <c r="U48" s="241"/>
      <c r="V48" s="82"/>
      <c r="W48" s="88"/>
      <c r="X48" s="82"/>
      <c r="Y48" s="89"/>
      <c r="Z48" s="82"/>
      <c r="AA48" s="220"/>
      <c r="AB48" s="241">
        <v>80000</v>
      </c>
      <c r="AC48" s="241">
        <v>100000</v>
      </c>
      <c r="AD48" s="241"/>
      <c r="AE48" s="82" t="s">
        <v>238</v>
      </c>
      <c r="AF48" s="82" t="s">
        <v>239</v>
      </c>
      <c r="AG48" s="90"/>
      <c r="AH48" s="90"/>
      <c r="AI48" s="90" t="s">
        <v>240</v>
      </c>
      <c r="AJ48" s="90"/>
      <c r="AK48" s="82"/>
      <c r="AL48" s="82" t="str" cm="1">
        <f t="array" aca="1" ref="AL48" ca="1">_xlfn.IFS(
 AND($AK48&lt;&gt;"", M48&lt;&gt;0, M48&lt;=EDATE(TODAY(),2)),"도래",
 AND($AK48&lt;&gt;"", M48&lt;&gt;0, M48&lt;=EDATE(TODAY(),3)),"예정",
 AND($AK48&lt;&gt;"", M48&lt;&gt;0, M48&lt;=EDATE(TODAY(),6)),"관심",
 TRUE,""
)</f>
        <v/>
      </c>
      <c r="AM48" s="198">
        <f t="shared" si="2"/>
        <v>11</v>
      </c>
    </row>
    <row r="49" spans="1:39" ht="18" customHeight="1">
      <c r="A49" s="81"/>
      <c r="B49" s="242" t="str">
        <f>_xlfn.LET(_xlpm.var,◆관리정보!B49,IF(_xlpm.var&lt;&gt;0,_xlpm.var,""))</f>
        <v>다존하우스</v>
      </c>
      <c r="C49" s="243">
        <f>_xlfn.LET(_xlpm.var,◆관리정보!C49,IF(_xlpm.var&lt;&gt;0,_xlpm.var,""))</f>
        <v>307</v>
      </c>
      <c r="D49" s="244" t="s">
        <v>209</v>
      </c>
      <c r="E49" s="84" t="str">
        <f t="shared" si="1"/>
        <v>다존하우스307</v>
      </c>
      <c r="F49" s="85"/>
      <c r="G49" s="229"/>
      <c r="H49" s="229"/>
      <c r="I49" s="229"/>
      <c r="J49" s="229"/>
      <c r="K49" s="218"/>
      <c r="L49" s="87"/>
      <c r="M49" s="87"/>
      <c r="N49" s="82"/>
      <c r="O49" s="82"/>
      <c r="P49" s="241"/>
      <c r="Q49" s="241"/>
      <c r="R49" s="82"/>
      <c r="S49" s="241"/>
      <c r="T49" s="82"/>
      <c r="U49" s="241"/>
      <c r="V49" s="82"/>
      <c r="W49" s="88"/>
      <c r="X49" s="82"/>
      <c r="Y49" s="89"/>
      <c r="Z49" s="82"/>
      <c r="AA49" s="220"/>
      <c r="AB49" s="241"/>
      <c r="AC49" s="241"/>
      <c r="AD49" s="241"/>
      <c r="AE49" s="82"/>
      <c r="AF49" s="82"/>
      <c r="AG49" s="90"/>
      <c r="AH49" s="90"/>
      <c r="AI49" s="90"/>
      <c r="AJ49" s="90"/>
      <c r="AK49" s="82"/>
      <c r="AL49" s="82" t="str" cm="1">
        <f t="array" aca="1" ref="AL49" ca="1">_xlfn.IFS(
 AND($AK49&lt;&gt;"", M49&lt;&gt;0, M49&lt;=EDATE(TODAY(),2)),"도래",
 AND($AK49&lt;&gt;"", M49&lt;&gt;0, M49&lt;=EDATE(TODAY(),3)),"예정",
 AND($AK49&lt;&gt;"", M49&lt;&gt;0, M49&lt;=EDATE(TODAY(),6)),"관심",
 TRUE,""
)</f>
        <v/>
      </c>
      <c r="AM49" s="198">
        <f t="shared" si="2"/>
        <v>0</v>
      </c>
    </row>
    <row r="50" spans="1:39" ht="18" customHeight="1">
      <c r="A50" s="81"/>
      <c r="B50" s="205" t="str">
        <f>_xlfn.LET(_xlpm.var,◆관리정보!B50,IF(_xlpm.var&lt;&gt;0,_xlpm.var,""))</f>
        <v>다존하우스</v>
      </c>
      <c r="C50" s="82">
        <f>_xlfn.LET(_xlpm.var,◆관리정보!C50,IF(_xlpm.var&lt;&gt;0,_xlpm.var,""))</f>
        <v>308</v>
      </c>
      <c r="D50" s="83" t="s">
        <v>241</v>
      </c>
      <c r="E50" s="84" t="str">
        <f t="shared" si="1"/>
        <v>다존하우스308</v>
      </c>
      <c r="F50" s="85">
        <v>46113</v>
      </c>
      <c r="G50" s="229"/>
      <c r="H50" s="229"/>
      <c r="I50" s="229"/>
      <c r="J50" s="229"/>
      <c r="K50" s="218"/>
      <c r="L50" s="87">
        <v>45292</v>
      </c>
      <c r="M50" s="87">
        <v>45382</v>
      </c>
      <c r="N50" s="82" t="s">
        <v>242</v>
      </c>
      <c r="O50" s="82" t="s">
        <v>243</v>
      </c>
      <c r="P50" s="241">
        <v>500000</v>
      </c>
      <c r="Q50" s="241">
        <v>400000</v>
      </c>
      <c r="R50" s="82"/>
      <c r="S50" s="241">
        <v>70000</v>
      </c>
      <c r="T50" s="82" t="s">
        <v>40</v>
      </c>
      <c r="U50" s="241"/>
      <c r="V50" s="82"/>
      <c r="W50" s="88"/>
      <c r="X50" s="82"/>
      <c r="Y50" s="89"/>
      <c r="Z50" s="82"/>
      <c r="AA50" s="220"/>
      <c r="AB50" s="241">
        <v>80000</v>
      </c>
      <c r="AC50" s="241">
        <v>100000</v>
      </c>
      <c r="AD50" s="241">
        <v>50000</v>
      </c>
      <c r="AE50" s="82" t="s">
        <v>244</v>
      </c>
      <c r="AF50" s="82" t="s">
        <v>245</v>
      </c>
      <c r="AG50" s="90"/>
      <c r="AH50" s="90"/>
      <c r="AI50" s="90"/>
      <c r="AJ50" s="90"/>
      <c r="AK50" s="82"/>
      <c r="AL50" s="82" t="str" cm="1">
        <f t="array" aca="1" ref="AL50" ca="1">_xlfn.IFS(
 AND($AK50&lt;&gt;"", M50&lt;&gt;0, M50&lt;=EDATE(TODAY(),2)),"도래",
 AND($AK50&lt;&gt;"", M50&lt;&gt;0, M50&lt;=EDATE(TODAY(),3)),"예정",
 AND($AK50&lt;&gt;"", M50&lt;&gt;0, M50&lt;=EDATE(TODAY(),6)),"관심",
 TRUE,""
)</f>
        <v/>
      </c>
      <c r="AM50" s="198">
        <f t="shared" si="2"/>
        <v>1</v>
      </c>
    </row>
    <row r="51" spans="1:39" ht="18" customHeight="1">
      <c r="A51" s="81"/>
      <c r="B51" s="205" t="str">
        <f>_xlfn.LET(_xlpm.var,◆관리정보!B51,IF(_xlpm.var&lt;&gt;0,_xlpm.var,""))</f>
        <v>다존하우스</v>
      </c>
      <c r="C51" s="82">
        <f>_xlfn.LET(_xlpm.var,◆관리정보!C51,IF(_xlpm.var&lt;&gt;0,_xlpm.var,""))</f>
        <v>309</v>
      </c>
      <c r="D51" s="83" t="s">
        <v>246</v>
      </c>
      <c r="E51" s="84" t="str">
        <f t="shared" si="1"/>
        <v>다존하우스309</v>
      </c>
      <c r="F51" s="85">
        <v>46105</v>
      </c>
      <c r="G51" s="229"/>
      <c r="H51" s="229"/>
      <c r="I51" s="229"/>
      <c r="J51" s="229">
        <v>526740</v>
      </c>
      <c r="K51" s="218"/>
      <c r="L51" s="87">
        <v>45832</v>
      </c>
      <c r="M51" s="87">
        <v>45953</v>
      </c>
      <c r="N51" s="82" t="s">
        <v>247</v>
      </c>
      <c r="O51" s="82" t="s">
        <v>248</v>
      </c>
      <c r="P51" s="241">
        <v>500000</v>
      </c>
      <c r="Q51" s="241">
        <v>400000</v>
      </c>
      <c r="R51" s="82"/>
      <c r="S51" s="241">
        <v>70000</v>
      </c>
      <c r="T51" s="82" t="s">
        <v>40</v>
      </c>
      <c r="U51" s="241"/>
      <c r="V51" s="82"/>
      <c r="W51" s="88"/>
      <c r="X51" s="82"/>
      <c r="Y51" s="89"/>
      <c r="Z51" s="82"/>
      <c r="AA51" s="220"/>
      <c r="AB51" s="241">
        <v>80000</v>
      </c>
      <c r="AC51" s="241">
        <v>100000</v>
      </c>
      <c r="AD51" s="241"/>
      <c r="AE51" s="82" t="s">
        <v>219</v>
      </c>
      <c r="AF51" s="82" t="s">
        <v>220</v>
      </c>
      <c r="AG51" s="90"/>
      <c r="AH51" s="90"/>
      <c r="AI51" s="90"/>
      <c r="AJ51" s="90"/>
      <c r="AK51" s="82"/>
      <c r="AL51" s="82" t="str" cm="1">
        <f t="array" aca="1" ref="AL51" ca="1">_xlfn.IFS(
 AND($AK51&lt;&gt;"", M51&lt;&gt;0, M51&lt;=EDATE(TODAY(),2)),"도래",
 AND($AK51&lt;&gt;"", M51&lt;&gt;0, M51&lt;=EDATE(TODAY(),3)),"예정",
 AND($AK51&lt;&gt;"", M51&lt;&gt;0, M51&lt;=EDATE(TODAY(),6)),"관심",
 TRUE,""
)</f>
        <v/>
      </c>
      <c r="AM51" s="198">
        <f t="shared" si="2"/>
        <v>24</v>
      </c>
    </row>
    <row r="52" spans="1:39" ht="18" customHeight="1">
      <c r="A52" s="81"/>
      <c r="B52" s="205" t="str">
        <f>_xlfn.LET(_xlpm.var,◆관리정보!B52,IF(_xlpm.var&lt;&gt;0,_xlpm.var,""))</f>
        <v>다존하우스</v>
      </c>
      <c r="C52" s="82">
        <f>_xlfn.LET(_xlpm.var,◆관리정보!C52,IF(_xlpm.var&lt;&gt;0,_xlpm.var,""))</f>
        <v>310</v>
      </c>
      <c r="D52" s="83" t="s">
        <v>249</v>
      </c>
      <c r="E52" s="84" t="str">
        <f t="shared" si="1"/>
        <v>다존하우스310</v>
      </c>
      <c r="F52" s="85">
        <v>46119</v>
      </c>
      <c r="G52" s="229"/>
      <c r="H52" s="229"/>
      <c r="I52" s="229"/>
      <c r="J52" s="229"/>
      <c r="K52" s="218"/>
      <c r="L52" s="87">
        <v>46029</v>
      </c>
      <c r="M52" s="87">
        <v>46118</v>
      </c>
      <c r="N52" s="82" t="s">
        <v>250</v>
      </c>
      <c r="O52" s="82" t="s">
        <v>251</v>
      </c>
      <c r="P52" s="241">
        <v>500000</v>
      </c>
      <c r="Q52" s="241">
        <v>500000</v>
      </c>
      <c r="R52" s="82"/>
      <c r="S52" s="241">
        <v>80000</v>
      </c>
      <c r="T52" s="82" t="s">
        <v>40</v>
      </c>
      <c r="U52" s="241"/>
      <c r="V52" s="82"/>
      <c r="W52" s="88"/>
      <c r="X52" s="82"/>
      <c r="Y52" s="89"/>
      <c r="Z52" s="82"/>
      <c r="AA52" s="220"/>
      <c r="AB52" s="241">
        <v>100000</v>
      </c>
      <c r="AC52" s="241">
        <v>100000</v>
      </c>
      <c r="AD52" s="241"/>
      <c r="AE52" s="82" t="s">
        <v>252</v>
      </c>
      <c r="AF52" s="82" t="s">
        <v>253</v>
      </c>
      <c r="AG52" s="90"/>
      <c r="AH52" s="90"/>
      <c r="AI52" s="90"/>
      <c r="AJ52" s="90"/>
      <c r="AK52" s="82"/>
      <c r="AL52" s="82" t="str" cm="1">
        <f t="array" aca="1" ref="AL52" ca="1">_xlfn.IFS(
 AND($AK52&lt;&gt;"", M52&lt;&gt;0, M52&lt;=EDATE(TODAY(),2)),"도래",
 AND($AK52&lt;&gt;"", M52&lt;&gt;0, M52&lt;=EDATE(TODAY(),3)),"예정",
 AND($AK52&lt;&gt;"", M52&lt;&gt;0, M52&lt;=EDATE(TODAY(),6)),"관심",
 TRUE,""
)</f>
        <v/>
      </c>
      <c r="AM52" s="198">
        <f t="shared" si="2"/>
        <v>7</v>
      </c>
    </row>
    <row r="53" spans="1:39" ht="18" customHeight="1">
      <c r="A53" s="81"/>
      <c r="B53" s="337" t="str">
        <f>_xlfn.LET(_xlpm.var,◆관리정보!B53,IF(_xlpm.var&lt;&gt;0,_xlpm.var,""))</f>
        <v>다존하우스</v>
      </c>
      <c r="C53" s="264">
        <f>_xlfn.LET(_xlpm.var,◆관리정보!C53,IF(_xlpm.var&lt;&gt;0,_xlpm.var,""))</f>
        <v>501</v>
      </c>
      <c r="D53" s="236" t="s">
        <v>254</v>
      </c>
      <c r="E53" s="84" t="str">
        <f t="shared" si="1"/>
        <v>다존하우스501</v>
      </c>
      <c r="F53" s="85">
        <v>46120</v>
      </c>
      <c r="G53" s="229"/>
      <c r="H53" s="229"/>
      <c r="I53" s="229"/>
      <c r="J53" s="229"/>
      <c r="K53" s="218"/>
      <c r="L53" s="87">
        <v>46089</v>
      </c>
      <c r="M53" s="87">
        <v>46272</v>
      </c>
      <c r="N53" s="82" t="s">
        <v>255</v>
      </c>
      <c r="O53" s="82" t="s">
        <v>256</v>
      </c>
      <c r="P53" s="241">
        <v>500000</v>
      </c>
      <c r="Q53" s="241">
        <v>500000</v>
      </c>
      <c r="R53" s="82"/>
      <c r="S53" s="241">
        <v>120000</v>
      </c>
      <c r="T53" s="82" t="s">
        <v>40</v>
      </c>
      <c r="U53" s="241"/>
      <c r="V53" s="82"/>
      <c r="W53" s="88"/>
      <c r="X53" s="82"/>
      <c r="Y53" s="89"/>
      <c r="Z53" s="82"/>
      <c r="AA53" s="220" t="s">
        <v>257</v>
      </c>
      <c r="AB53" s="241">
        <v>80000</v>
      </c>
      <c r="AC53" s="241">
        <v>150000</v>
      </c>
      <c r="AD53" s="241"/>
      <c r="AE53" s="82" t="s">
        <v>258</v>
      </c>
      <c r="AF53" s="82" t="s">
        <v>259</v>
      </c>
      <c r="AG53" s="90"/>
      <c r="AH53" s="90"/>
      <c r="AI53" s="90"/>
      <c r="AJ53" s="90"/>
      <c r="AK53" s="82"/>
      <c r="AL53" s="82" t="str" cm="1">
        <f t="array" aca="1" ref="AL53" ca="1">_xlfn.IFS(
 AND($AK53&lt;&gt;"", M53&lt;&gt;0, M53&lt;=EDATE(TODAY(),2)),"도래",
 AND($AK53&lt;&gt;"", M53&lt;&gt;0, M53&lt;=EDATE(TODAY(),3)),"예정",
 AND($AK53&lt;&gt;"", M53&lt;&gt;0, M53&lt;=EDATE(TODAY(),6)),"관심",
 TRUE,""
)</f>
        <v/>
      </c>
      <c r="AM53" s="198">
        <f t="shared" si="2"/>
        <v>8</v>
      </c>
    </row>
    <row r="54" spans="1:39" ht="18" customHeight="1">
      <c r="A54" s="81"/>
      <c r="B54" s="205" t="str">
        <f>_xlfn.LET(_xlpm.var,◆관리정보!B54,IF(_xlpm.var&lt;&gt;0,_xlpm.var,""))</f>
        <v>다존하우스</v>
      </c>
      <c r="C54" s="82">
        <f>_xlfn.LET(_xlpm.var,◆관리정보!C54,IF(_xlpm.var&lt;&gt;0,_xlpm.var,""))</f>
        <v>502</v>
      </c>
      <c r="D54" s="83" t="s">
        <v>260</v>
      </c>
      <c r="E54" s="84" t="str">
        <f t="shared" si="1"/>
        <v>다존하우스502</v>
      </c>
      <c r="F54" s="85">
        <v>46127</v>
      </c>
      <c r="G54" s="229"/>
      <c r="H54" s="229"/>
      <c r="I54" s="229"/>
      <c r="J54" s="229"/>
      <c r="K54" s="218"/>
      <c r="L54" s="87">
        <v>45823</v>
      </c>
      <c r="M54" s="87">
        <v>45914</v>
      </c>
      <c r="N54" s="82" t="s">
        <v>261</v>
      </c>
      <c r="O54" s="82" t="s">
        <v>262</v>
      </c>
      <c r="P54" s="241">
        <v>500000</v>
      </c>
      <c r="Q54" s="241">
        <v>400000</v>
      </c>
      <c r="R54" s="82"/>
      <c r="S54" s="241">
        <v>70000</v>
      </c>
      <c r="T54" s="82" t="s">
        <v>40</v>
      </c>
      <c r="U54" s="241"/>
      <c r="V54" s="82"/>
      <c r="W54" s="88"/>
      <c r="X54" s="82"/>
      <c r="Y54" s="89"/>
      <c r="Z54" s="82"/>
      <c r="AA54" s="220"/>
      <c r="AB54" s="241">
        <v>80000</v>
      </c>
      <c r="AC54" s="241">
        <v>100000</v>
      </c>
      <c r="AD54" s="241"/>
      <c r="AE54" s="82" t="s">
        <v>219</v>
      </c>
      <c r="AF54" s="82" t="s">
        <v>220</v>
      </c>
      <c r="AG54" s="90"/>
      <c r="AH54" s="90"/>
      <c r="AI54" s="90"/>
      <c r="AJ54" s="90"/>
      <c r="AK54" s="82"/>
      <c r="AL54" s="82" t="str" cm="1">
        <f t="array" aca="1" ref="AL54" ca="1">_xlfn.IFS(
 AND($AK54&lt;&gt;"", M54&lt;&gt;0, M54&lt;=EDATE(TODAY(),2)),"도래",
 AND($AK54&lt;&gt;"", M54&lt;&gt;0, M54&lt;=EDATE(TODAY(),3)),"예정",
 AND($AK54&lt;&gt;"", M54&lt;&gt;0, M54&lt;=EDATE(TODAY(),6)),"관심",
 TRUE,""
)</f>
        <v/>
      </c>
      <c r="AM54" s="198">
        <f t="shared" si="2"/>
        <v>15</v>
      </c>
    </row>
    <row r="55" spans="1:39" ht="18" customHeight="1">
      <c r="A55" s="81"/>
      <c r="B55" s="205" t="str">
        <f>_xlfn.LET(_xlpm.var,◆관리정보!B55,IF(_xlpm.var&lt;&gt;0,_xlpm.var,""))</f>
        <v>다존하우스</v>
      </c>
      <c r="C55" s="82">
        <f>_xlfn.LET(_xlpm.var,◆관리정보!C55,IF(_xlpm.var&lt;&gt;0,_xlpm.var,""))</f>
        <v>503</v>
      </c>
      <c r="D55" s="83" t="s">
        <v>263</v>
      </c>
      <c r="E55" s="84" t="str">
        <f t="shared" si="1"/>
        <v>다존하우스503</v>
      </c>
      <c r="F55" s="85">
        <v>46105</v>
      </c>
      <c r="G55" s="229"/>
      <c r="H55" s="229"/>
      <c r="I55" s="229"/>
      <c r="J55" s="229">
        <v>584240</v>
      </c>
      <c r="K55" s="218"/>
      <c r="L55" s="87">
        <v>45862</v>
      </c>
      <c r="M55" s="87">
        <v>45953</v>
      </c>
      <c r="N55" s="82" t="s">
        <v>264</v>
      </c>
      <c r="O55" s="82" t="s">
        <v>265</v>
      </c>
      <c r="P55" s="241">
        <v>500000</v>
      </c>
      <c r="Q55" s="241">
        <v>400000</v>
      </c>
      <c r="R55" s="82"/>
      <c r="S55" s="241">
        <v>70000</v>
      </c>
      <c r="T55" s="82" t="s">
        <v>40</v>
      </c>
      <c r="U55" s="241"/>
      <c r="V55" s="82"/>
      <c r="W55" s="88"/>
      <c r="X55" s="82"/>
      <c r="Y55" s="89"/>
      <c r="Z55" s="82"/>
      <c r="AA55" s="220"/>
      <c r="AB55" s="241">
        <v>80000</v>
      </c>
      <c r="AC55" s="241">
        <v>100000</v>
      </c>
      <c r="AD55" s="241"/>
      <c r="AE55" s="82" t="s">
        <v>266</v>
      </c>
      <c r="AF55" s="82" t="s">
        <v>267</v>
      </c>
      <c r="AG55" s="90"/>
      <c r="AH55" s="90"/>
      <c r="AI55" s="395" t="s">
        <v>268</v>
      </c>
      <c r="AJ55" s="90"/>
      <c r="AK55" s="82"/>
      <c r="AL55" s="82" t="str" cm="1">
        <f t="array" aca="1" ref="AL55" ca="1">_xlfn.IFS(
 AND($AK55&lt;&gt;"", M55&lt;&gt;0, M55&lt;=EDATE(TODAY(),2)),"도래",
 AND($AK55&lt;&gt;"", M55&lt;&gt;0, M55&lt;=EDATE(TODAY(),3)),"예정",
 AND($AK55&lt;&gt;"", M55&lt;&gt;0, M55&lt;=EDATE(TODAY(),6)),"관심",
 TRUE,""
)</f>
        <v/>
      </c>
      <c r="AM55" s="198">
        <f t="shared" si="2"/>
        <v>24</v>
      </c>
    </row>
    <row r="56" spans="1:39" ht="18" customHeight="1">
      <c r="A56" s="81"/>
      <c r="B56" s="205" t="str">
        <f>_xlfn.LET(_xlpm.var,◆관리정보!B56,IF(_xlpm.var&lt;&gt;0,_xlpm.var,""))</f>
        <v>다존하우스</v>
      </c>
      <c r="C56" s="82">
        <f>_xlfn.LET(_xlpm.var,◆관리정보!C56,IF(_xlpm.var&lt;&gt;0,_xlpm.var,""))</f>
        <v>505</v>
      </c>
      <c r="D56" s="83" t="s">
        <v>269</v>
      </c>
      <c r="E56" s="84" t="str">
        <f t="shared" si="1"/>
        <v>다존하우스505</v>
      </c>
      <c r="F56" s="85">
        <v>46102</v>
      </c>
      <c r="G56" s="229"/>
      <c r="H56" s="229"/>
      <c r="I56" s="229"/>
      <c r="J56" s="229">
        <v>525570</v>
      </c>
      <c r="K56" s="218"/>
      <c r="L56" s="87">
        <v>46012</v>
      </c>
      <c r="M56" s="87">
        <v>46101</v>
      </c>
      <c r="N56" s="82" t="s">
        <v>270</v>
      </c>
      <c r="O56" s="82" t="s">
        <v>271</v>
      </c>
      <c r="P56" s="241">
        <v>500000</v>
      </c>
      <c r="Q56" s="241">
        <v>400000</v>
      </c>
      <c r="R56" s="82"/>
      <c r="S56" s="241">
        <v>70000</v>
      </c>
      <c r="T56" s="82" t="s">
        <v>40</v>
      </c>
      <c r="U56" s="241"/>
      <c r="V56" s="82"/>
      <c r="W56" s="88"/>
      <c r="X56" s="82"/>
      <c r="Y56" s="89"/>
      <c r="Z56" s="82"/>
      <c r="AA56" s="220"/>
      <c r="AB56" s="241">
        <v>80000</v>
      </c>
      <c r="AC56" s="241">
        <v>100000</v>
      </c>
      <c r="AD56" s="241"/>
      <c r="AE56" s="82" t="s">
        <v>200</v>
      </c>
      <c r="AF56" s="82" t="s">
        <v>201</v>
      </c>
      <c r="AG56" s="90"/>
      <c r="AH56" s="90"/>
      <c r="AI56" s="90"/>
      <c r="AJ56" s="90"/>
      <c r="AK56" s="82"/>
      <c r="AL56" s="82" t="str" cm="1">
        <f t="array" aca="1" ref="AL56" ca="1">_xlfn.IFS(
 AND($AK56&lt;&gt;"", M56&lt;&gt;0, M56&lt;=EDATE(TODAY(),2)),"도래",
 AND($AK56&lt;&gt;"", M56&lt;&gt;0, M56&lt;=EDATE(TODAY(),3)),"예정",
 AND($AK56&lt;&gt;"", M56&lt;&gt;0, M56&lt;=EDATE(TODAY(),6)),"관심",
 TRUE,""
)</f>
        <v/>
      </c>
      <c r="AM56" s="198">
        <f t="shared" si="2"/>
        <v>21</v>
      </c>
    </row>
    <row r="57" spans="1:39" ht="18" customHeight="1">
      <c r="A57" s="81"/>
      <c r="B57" s="205" t="str">
        <f>_xlfn.LET(_xlpm.var,◆관리정보!B57,IF(_xlpm.var&lt;&gt;0,_xlpm.var,""))</f>
        <v>다존하우스</v>
      </c>
      <c r="C57" s="82">
        <f>_xlfn.LET(_xlpm.var,◆관리정보!C57,IF(_xlpm.var&lt;&gt;0,_xlpm.var,""))</f>
        <v>506</v>
      </c>
      <c r="D57" s="83" t="s">
        <v>272</v>
      </c>
      <c r="E57" s="84" t="str">
        <f t="shared" si="1"/>
        <v>다존하우스506</v>
      </c>
      <c r="F57" s="85">
        <v>46110</v>
      </c>
      <c r="G57" s="229"/>
      <c r="H57" s="229"/>
      <c r="I57" s="229"/>
      <c r="J57" s="229"/>
      <c r="K57" s="218"/>
      <c r="L57" s="87">
        <v>45776</v>
      </c>
      <c r="M57" s="87">
        <v>45866</v>
      </c>
      <c r="N57" s="82" t="s">
        <v>273</v>
      </c>
      <c r="O57" s="82" t="s">
        <v>274</v>
      </c>
      <c r="P57" s="241">
        <v>500000</v>
      </c>
      <c r="Q57" s="241">
        <v>400000</v>
      </c>
      <c r="R57" s="82"/>
      <c r="S57" s="241">
        <v>70000</v>
      </c>
      <c r="T57" s="82" t="s">
        <v>40</v>
      </c>
      <c r="U57" s="241"/>
      <c r="V57" s="82"/>
      <c r="W57" s="88"/>
      <c r="X57" s="82"/>
      <c r="Y57" s="89"/>
      <c r="Z57" s="82"/>
      <c r="AA57" s="220"/>
      <c r="AB57" s="241">
        <v>80000</v>
      </c>
      <c r="AC57" s="241">
        <v>100000</v>
      </c>
      <c r="AD57" s="241"/>
      <c r="AE57" s="82" t="s">
        <v>219</v>
      </c>
      <c r="AF57" s="82" t="s">
        <v>275</v>
      </c>
      <c r="AG57" s="90"/>
      <c r="AH57" s="90"/>
      <c r="AI57" s="90" t="s">
        <v>276</v>
      </c>
      <c r="AJ57" s="90"/>
      <c r="AK57" s="82"/>
      <c r="AL57" s="82" t="str" cm="1">
        <f t="array" aca="1" ref="AL57" ca="1">_xlfn.IFS(
 AND($AK57&lt;&gt;"", M57&lt;&gt;0, M57&lt;=EDATE(TODAY(),2)),"도래",
 AND($AK57&lt;&gt;"", M57&lt;&gt;0, M57&lt;=EDATE(TODAY(),3)),"예정",
 AND($AK57&lt;&gt;"", M57&lt;&gt;0, M57&lt;=EDATE(TODAY(),6)),"관심",
 TRUE,""
)</f>
        <v/>
      </c>
      <c r="AM57" s="198">
        <f t="shared" si="2"/>
        <v>29</v>
      </c>
    </row>
    <row r="58" spans="1:39" ht="18" customHeight="1">
      <c r="A58" s="81"/>
      <c r="B58" s="242" t="str">
        <f>_xlfn.LET(_xlpm.var,◆관리정보!B58,IF(_xlpm.var&lt;&gt;0,_xlpm.var,""))</f>
        <v>다존하우스</v>
      </c>
      <c r="C58" s="243">
        <f>_xlfn.LET(_xlpm.var,◆관리정보!C58,IF(_xlpm.var&lt;&gt;0,_xlpm.var,""))</f>
        <v>507</v>
      </c>
      <c r="D58" s="244" t="s">
        <v>209</v>
      </c>
      <c r="E58" s="84" t="str">
        <f t="shared" si="1"/>
        <v>다존하우스507</v>
      </c>
      <c r="F58" s="85"/>
      <c r="G58" s="229"/>
      <c r="H58" s="229"/>
      <c r="I58" s="229"/>
      <c r="J58" s="229"/>
      <c r="K58" s="218"/>
      <c r="L58" s="87"/>
      <c r="M58" s="87"/>
      <c r="N58" s="82"/>
      <c r="O58" s="82"/>
      <c r="P58" s="241"/>
      <c r="Q58" s="241"/>
      <c r="R58" s="82"/>
      <c r="S58" s="241"/>
      <c r="T58" s="82"/>
      <c r="U58" s="241"/>
      <c r="V58" s="82"/>
      <c r="W58" s="88"/>
      <c r="X58" s="82"/>
      <c r="Y58" s="89"/>
      <c r="Z58" s="82"/>
      <c r="AA58" s="220"/>
      <c r="AB58" s="241"/>
      <c r="AC58" s="241"/>
      <c r="AD58" s="241"/>
      <c r="AE58" s="82"/>
      <c r="AF58" s="82"/>
      <c r="AG58" s="90"/>
      <c r="AH58" s="90"/>
      <c r="AI58" s="90"/>
      <c r="AJ58" s="90"/>
      <c r="AK58" s="82"/>
      <c r="AL58" s="82" t="str" cm="1">
        <f t="array" aca="1" ref="AL58" ca="1">_xlfn.IFS(
 AND($AK58&lt;&gt;"", M58&lt;&gt;0, M58&lt;=EDATE(TODAY(),2)),"도래",
 AND($AK58&lt;&gt;"", M58&lt;&gt;0, M58&lt;=EDATE(TODAY(),3)),"예정",
 AND($AK58&lt;&gt;"", M58&lt;&gt;0, M58&lt;=EDATE(TODAY(),6)),"관심",
 TRUE,""
)</f>
        <v/>
      </c>
      <c r="AM58" s="198">
        <f t="shared" si="2"/>
        <v>0</v>
      </c>
    </row>
    <row r="59" spans="1:39" ht="18" customHeight="1">
      <c r="A59" s="81"/>
      <c r="B59" s="337" t="str">
        <f>_xlfn.LET(_xlpm.var,◆관리정보!B59,IF(_xlpm.var&lt;&gt;0,_xlpm.var,""))</f>
        <v>다존하우스</v>
      </c>
      <c r="C59" s="264">
        <f>_xlfn.LET(_xlpm.var,◆관리정보!C59,IF(_xlpm.var&lt;&gt;0,_xlpm.var,""))</f>
        <v>508</v>
      </c>
      <c r="D59" s="83" t="s">
        <v>277</v>
      </c>
      <c r="E59" s="84" t="str">
        <f t="shared" si="1"/>
        <v>다존하우스508</v>
      </c>
      <c r="F59" s="85">
        <v>46109</v>
      </c>
      <c r="G59" s="229"/>
      <c r="H59" s="229"/>
      <c r="I59" s="229"/>
      <c r="J59" s="229"/>
      <c r="K59" s="218"/>
      <c r="L59" s="87">
        <v>46081</v>
      </c>
      <c r="M59" s="87">
        <v>46261</v>
      </c>
      <c r="N59" s="82" t="s">
        <v>278</v>
      </c>
      <c r="O59" s="82" t="s">
        <v>279</v>
      </c>
      <c r="P59" s="241">
        <v>500000</v>
      </c>
      <c r="Q59" s="241">
        <v>500000</v>
      </c>
      <c r="R59" s="82"/>
      <c r="S59" s="241">
        <v>70000</v>
      </c>
      <c r="T59" s="82" t="s">
        <v>40</v>
      </c>
      <c r="U59" s="241"/>
      <c r="V59" s="82"/>
      <c r="W59" s="88"/>
      <c r="X59" s="82"/>
      <c r="Y59" s="89"/>
      <c r="Z59" s="82"/>
      <c r="AA59" s="220"/>
      <c r="AB59" s="241">
        <v>80000</v>
      </c>
      <c r="AC59" s="241">
        <v>150000</v>
      </c>
      <c r="AD59" s="241"/>
      <c r="AE59" s="82" t="s">
        <v>200</v>
      </c>
      <c r="AF59" s="82" t="s">
        <v>201</v>
      </c>
      <c r="AG59" s="90"/>
      <c r="AH59" s="90"/>
      <c r="AI59" s="90"/>
      <c r="AJ59" s="90"/>
      <c r="AK59" s="82"/>
      <c r="AL59" s="82" t="str" cm="1">
        <f t="array" aca="1" ref="AL59" ca="1">_xlfn.IFS(
 AND($AK59&lt;&gt;"", M59&lt;&gt;0, M59&lt;=EDATE(TODAY(),2)),"도래",
 AND($AK59&lt;&gt;"", M59&lt;&gt;0, M59&lt;=EDATE(TODAY(),3)),"예정",
 AND($AK59&lt;&gt;"", M59&lt;&gt;0, M59&lt;=EDATE(TODAY(),6)),"관심",
 TRUE,""
)</f>
        <v/>
      </c>
      <c r="AM59" s="198">
        <f t="shared" si="2"/>
        <v>28</v>
      </c>
    </row>
    <row r="60" spans="1:39" ht="18" customHeight="1">
      <c r="A60" s="81"/>
      <c r="B60" s="237" t="str">
        <f>_xlfn.LET(_xlpm.var,◆관리정보!B60,IF(_xlpm.var&lt;&gt;0,_xlpm.var,""))</f>
        <v>다존하우스</v>
      </c>
      <c r="C60" s="238">
        <f>_xlfn.LET(_xlpm.var,◆관리정보!C60,IF(_xlpm.var&lt;&gt;0,_xlpm.var,""))</f>
        <v>509</v>
      </c>
      <c r="D60" s="239" t="s">
        <v>195</v>
      </c>
      <c r="E60" s="84" t="str">
        <f t="shared" si="1"/>
        <v>다존하우스509</v>
      </c>
      <c r="F60" s="85"/>
      <c r="G60" s="229"/>
      <c r="H60" s="229"/>
      <c r="I60" s="229"/>
      <c r="J60" s="229"/>
      <c r="K60" s="218"/>
      <c r="L60" s="87"/>
      <c r="M60" s="87"/>
      <c r="N60" s="82"/>
      <c r="O60" s="82"/>
      <c r="P60" s="241"/>
      <c r="Q60" s="241"/>
      <c r="R60" s="82"/>
      <c r="S60" s="241"/>
      <c r="T60" s="82"/>
      <c r="U60" s="241"/>
      <c r="V60" s="82"/>
      <c r="W60" s="88"/>
      <c r="X60" s="82"/>
      <c r="Y60" s="89"/>
      <c r="Z60" s="82"/>
      <c r="AA60" s="220"/>
      <c r="AB60" s="241"/>
      <c r="AC60" s="241"/>
      <c r="AD60" s="241"/>
      <c r="AE60" s="82"/>
      <c r="AF60" s="82"/>
      <c r="AG60" s="90"/>
      <c r="AH60" s="90"/>
      <c r="AI60" s="90" t="s">
        <v>280</v>
      </c>
      <c r="AJ60" s="90"/>
      <c r="AK60" s="82"/>
      <c r="AL60" s="82" t="str" cm="1">
        <f t="array" aca="1" ref="AL60" ca="1">_xlfn.IFS(
 AND($AK60&lt;&gt;"", M60&lt;&gt;0, M60&lt;=EDATE(TODAY(),2)),"도래",
 AND($AK60&lt;&gt;"", M60&lt;&gt;0, M60&lt;=EDATE(TODAY(),3)),"예정",
 AND($AK60&lt;&gt;"", M60&lt;&gt;0, M60&lt;=EDATE(TODAY(),6)),"관심",
 TRUE,""
)</f>
        <v/>
      </c>
      <c r="AM60" s="198">
        <f t="shared" si="2"/>
        <v>0</v>
      </c>
    </row>
    <row r="61" spans="1:39" ht="18" customHeight="1">
      <c r="A61" s="81"/>
      <c r="B61" s="205" t="str">
        <f>_xlfn.LET(_xlpm.var,◆관리정보!B61,IF(_xlpm.var&lt;&gt;0,_xlpm.var,""))</f>
        <v>다존하우스</v>
      </c>
      <c r="C61" s="82">
        <f>_xlfn.LET(_xlpm.var,◆관리정보!C61,IF(_xlpm.var&lt;&gt;0,_xlpm.var,""))</f>
        <v>510</v>
      </c>
      <c r="D61" s="83" t="s">
        <v>281</v>
      </c>
      <c r="E61" s="84" t="str">
        <f t="shared" si="1"/>
        <v>다존하우스510</v>
      </c>
      <c r="F61" s="85">
        <v>46122</v>
      </c>
      <c r="G61" s="229"/>
      <c r="H61" s="229"/>
      <c r="I61" s="229"/>
      <c r="J61" s="229"/>
      <c r="K61" s="318"/>
      <c r="L61" s="87">
        <v>45910</v>
      </c>
      <c r="M61" s="87">
        <v>45994</v>
      </c>
      <c r="N61" s="82" t="s">
        <v>282</v>
      </c>
      <c r="O61" s="82" t="s">
        <v>283</v>
      </c>
      <c r="P61" s="241">
        <v>550000</v>
      </c>
      <c r="Q61" s="241">
        <v>550000</v>
      </c>
      <c r="R61" s="82"/>
      <c r="S61" s="241">
        <v>130000</v>
      </c>
      <c r="T61" s="82" t="s">
        <v>40</v>
      </c>
      <c r="U61" s="241"/>
      <c r="V61" s="82"/>
      <c r="W61" s="88"/>
      <c r="X61" s="82"/>
      <c r="Y61" s="89"/>
      <c r="Z61" s="82"/>
      <c r="AA61" s="220" t="s">
        <v>284</v>
      </c>
      <c r="AB61" s="241">
        <v>100000</v>
      </c>
      <c r="AC61" s="241">
        <v>100000</v>
      </c>
      <c r="AD61" s="241"/>
      <c r="AE61" s="82" t="s">
        <v>219</v>
      </c>
      <c r="AF61" s="82" t="s">
        <v>220</v>
      </c>
      <c r="AG61" s="90"/>
      <c r="AH61" s="90"/>
      <c r="AI61" s="90" t="s">
        <v>285</v>
      </c>
      <c r="AJ61" s="90"/>
      <c r="AK61" s="82"/>
      <c r="AL61" s="82" t="str" cm="1">
        <f t="array" aca="1" ref="AL61" ca="1">_xlfn.IFS(
 AND($AK61&lt;&gt;"", M61&lt;&gt;0, M61&lt;=EDATE(TODAY(),2)),"도래",
 AND($AK61&lt;&gt;"", M61&lt;&gt;0, M61&lt;=EDATE(TODAY(),3)),"예정",
 AND($AK61&lt;&gt;"", M61&lt;&gt;0, M61&lt;=EDATE(TODAY(),6)),"관심",
 TRUE,""
)</f>
        <v/>
      </c>
      <c r="AM61" s="198">
        <f t="shared" si="2"/>
        <v>10</v>
      </c>
    </row>
    <row r="62" spans="1:39" ht="18" customHeight="1">
      <c r="A62" s="81"/>
      <c r="B62" s="205" t="str">
        <f>_xlfn.LET(_xlpm.var,◆관리정보!B62,IF(_xlpm.var&lt;&gt;0,_xlpm.var,""))</f>
        <v>다존하우스</v>
      </c>
      <c r="C62" s="82">
        <f>_xlfn.LET(_xlpm.var,◆관리정보!C62,IF(_xlpm.var&lt;&gt;0,_xlpm.var,""))</f>
        <v>601</v>
      </c>
      <c r="D62" s="83" t="s">
        <v>286</v>
      </c>
      <c r="E62" s="84" t="str">
        <f t="shared" si="1"/>
        <v>다존하우스601</v>
      </c>
      <c r="F62" s="85">
        <v>46108</v>
      </c>
      <c r="G62" s="229"/>
      <c r="H62" s="229"/>
      <c r="I62" s="229"/>
      <c r="J62" s="229"/>
      <c r="K62" s="218"/>
      <c r="L62" s="87">
        <v>45988</v>
      </c>
      <c r="M62" s="87">
        <v>46079</v>
      </c>
      <c r="N62" s="82" t="s">
        <v>287</v>
      </c>
      <c r="O62" s="82" t="s">
        <v>288</v>
      </c>
      <c r="P62" s="241">
        <v>500000</v>
      </c>
      <c r="Q62" s="241">
        <v>400000</v>
      </c>
      <c r="R62" s="82"/>
      <c r="S62" s="241">
        <v>70000</v>
      </c>
      <c r="T62" s="82" t="s">
        <v>40</v>
      </c>
      <c r="U62" s="241"/>
      <c r="V62" s="82"/>
      <c r="W62" s="88"/>
      <c r="X62" s="82"/>
      <c r="Y62" s="89"/>
      <c r="Z62" s="82"/>
      <c r="AA62" s="220"/>
      <c r="AB62" s="241">
        <v>80000</v>
      </c>
      <c r="AC62" s="241">
        <v>100000</v>
      </c>
      <c r="AD62" s="241"/>
      <c r="AE62" s="82" t="s">
        <v>219</v>
      </c>
      <c r="AF62" s="82" t="s">
        <v>220</v>
      </c>
      <c r="AG62" s="90"/>
      <c r="AH62" s="90"/>
      <c r="AI62" s="90"/>
      <c r="AJ62" s="90"/>
      <c r="AK62" s="82"/>
      <c r="AL62" s="82" t="str" cm="1">
        <f t="array" aca="1" ref="AL62" ca="1">_xlfn.IFS(
 AND($AK62&lt;&gt;"", M62&lt;&gt;0, M62&lt;=EDATE(TODAY(),2)),"도래",
 AND($AK62&lt;&gt;"", M62&lt;&gt;0, M62&lt;=EDATE(TODAY(),3)),"예정",
 AND($AK62&lt;&gt;"", M62&lt;&gt;0, M62&lt;=EDATE(TODAY(),6)),"관심",
 TRUE,""
)</f>
        <v/>
      </c>
      <c r="AM62" s="198">
        <f t="shared" si="2"/>
        <v>27</v>
      </c>
    </row>
    <row r="63" spans="1:39" ht="18" customHeight="1">
      <c r="A63" s="81"/>
      <c r="B63" s="205" t="str">
        <f>_xlfn.LET(_xlpm.var,◆관리정보!B63,IF(_xlpm.var&lt;&gt;0,_xlpm.var,""))</f>
        <v>다존하우스</v>
      </c>
      <c r="C63" s="82">
        <f>_xlfn.LET(_xlpm.var,◆관리정보!C63,IF(_xlpm.var&lt;&gt;0,_xlpm.var,""))</f>
        <v>602</v>
      </c>
      <c r="D63" s="83" t="s">
        <v>289</v>
      </c>
      <c r="E63" s="84" t="str">
        <f t="shared" si="1"/>
        <v>다존하우스602</v>
      </c>
      <c r="F63" s="85">
        <v>46122</v>
      </c>
      <c r="G63" s="229"/>
      <c r="H63" s="229"/>
      <c r="I63" s="229"/>
      <c r="J63" s="229"/>
      <c r="K63" s="318"/>
      <c r="L63" s="87">
        <v>46001</v>
      </c>
      <c r="M63" s="87">
        <v>46182</v>
      </c>
      <c r="N63" s="82" t="s">
        <v>290</v>
      </c>
      <c r="O63" s="82" t="s">
        <v>291</v>
      </c>
      <c r="P63" s="241">
        <v>500000</v>
      </c>
      <c r="Q63" s="241">
        <v>400000</v>
      </c>
      <c r="R63" s="82"/>
      <c r="S63" s="241">
        <v>70000</v>
      </c>
      <c r="T63" s="82" t="s">
        <v>40</v>
      </c>
      <c r="U63" s="241"/>
      <c r="V63" s="82"/>
      <c r="W63" s="88"/>
      <c r="X63" s="82"/>
      <c r="Y63" s="89"/>
      <c r="Z63" s="82"/>
      <c r="AA63" s="220"/>
      <c r="AB63" s="241">
        <v>80000</v>
      </c>
      <c r="AC63" s="241">
        <v>150000</v>
      </c>
      <c r="AD63" s="241"/>
      <c r="AE63" s="82" t="s">
        <v>200</v>
      </c>
      <c r="AF63" s="82" t="s">
        <v>201</v>
      </c>
      <c r="AG63" s="90"/>
      <c r="AH63" s="90"/>
      <c r="AI63" s="90"/>
      <c r="AJ63" s="90"/>
      <c r="AK63" s="82"/>
      <c r="AL63" s="82" t="str" cm="1">
        <f t="array" aca="1" ref="AL63" ca="1">_xlfn.IFS(
 AND($AK63&lt;&gt;"", M63&lt;&gt;0, M63&lt;=EDATE(TODAY(),2)),"도래",
 AND($AK63&lt;&gt;"", M63&lt;&gt;0, M63&lt;=EDATE(TODAY(),3)),"예정",
 AND($AK63&lt;&gt;"", M63&lt;&gt;0, M63&lt;=EDATE(TODAY(),6)),"관심",
 TRUE,""
)</f>
        <v/>
      </c>
      <c r="AM63" s="198">
        <f t="shared" si="2"/>
        <v>10</v>
      </c>
    </row>
    <row r="64" spans="1:39" ht="18" customHeight="1">
      <c r="A64" s="81"/>
      <c r="B64" s="205" t="str">
        <f>_xlfn.LET(_xlpm.var,◆관리정보!B64,IF(_xlpm.var&lt;&gt;0,_xlpm.var,""))</f>
        <v>다존하우스</v>
      </c>
      <c r="C64" s="82">
        <f>_xlfn.LET(_xlpm.var,◆관리정보!C64,IF(_xlpm.var&lt;&gt;0,_xlpm.var,""))</f>
        <v>603</v>
      </c>
      <c r="D64" s="83" t="s">
        <v>292</v>
      </c>
      <c r="E64" s="84" t="str">
        <f t="shared" si="1"/>
        <v>다존하우스603</v>
      </c>
      <c r="F64" s="85">
        <v>46113</v>
      </c>
      <c r="G64" s="229"/>
      <c r="H64" s="229"/>
      <c r="I64" s="229"/>
      <c r="J64" s="229"/>
      <c r="K64" s="218"/>
      <c r="L64" s="87">
        <v>45992</v>
      </c>
      <c r="M64" s="359">
        <v>46081</v>
      </c>
      <c r="N64" s="82" t="s">
        <v>293</v>
      </c>
      <c r="O64" s="82" t="s">
        <v>294</v>
      </c>
      <c r="P64" s="241">
        <v>500000</v>
      </c>
      <c r="Q64" s="241">
        <v>400000</v>
      </c>
      <c r="R64" s="82"/>
      <c r="S64" s="241">
        <v>120000</v>
      </c>
      <c r="T64" s="82" t="s">
        <v>40</v>
      </c>
      <c r="U64" s="241"/>
      <c r="V64" s="82"/>
      <c r="W64" s="88"/>
      <c r="X64" s="82"/>
      <c r="Y64" s="89"/>
      <c r="Z64" s="82"/>
      <c r="AA64" s="220" t="s">
        <v>295</v>
      </c>
      <c r="AB64" s="241">
        <v>80000</v>
      </c>
      <c r="AC64" s="241">
        <v>100000</v>
      </c>
      <c r="AD64" s="241"/>
      <c r="AE64" s="82" t="s">
        <v>296</v>
      </c>
      <c r="AF64" s="82" t="s">
        <v>297</v>
      </c>
      <c r="AG64" s="90"/>
      <c r="AH64" s="90"/>
      <c r="AI64" s="315" t="s">
        <v>298</v>
      </c>
      <c r="AJ64" s="90"/>
      <c r="AK64" s="82"/>
      <c r="AL64" s="82" t="str" cm="1">
        <f t="array" aca="1" ref="AL64" ca="1">_xlfn.IFS(
 AND($AK64&lt;&gt;"", M64&lt;&gt;0, M64&lt;=EDATE(TODAY(),2)),"도래",
 AND($AK64&lt;&gt;"", M64&lt;&gt;0, M64&lt;=EDATE(TODAY(),3)),"예정",
 AND($AK64&lt;&gt;"", M64&lt;&gt;0, M64&lt;=EDATE(TODAY(),6)),"관심",
 TRUE,""
)</f>
        <v/>
      </c>
      <c r="AM64" s="198">
        <f t="shared" si="2"/>
        <v>1</v>
      </c>
    </row>
    <row r="65" spans="1:39" ht="18" customHeight="1">
      <c r="A65" s="81"/>
      <c r="B65" s="237" t="str">
        <f>_xlfn.LET(_xlpm.var,◆관리정보!B65,IF(_xlpm.var&lt;&gt;0,_xlpm.var,""))</f>
        <v>다존하우스</v>
      </c>
      <c r="C65" s="238">
        <f>_xlfn.LET(_xlpm.var,◆관리정보!C65,IF(_xlpm.var&lt;&gt;0,_xlpm.var,""))</f>
        <v>605</v>
      </c>
      <c r="D65" s="239" t="s">
        <v>195</v>
      </c>
      <c r="E65" s="84" t="str">
        <f t="shared" si="1"/>
        <v>다존하우스605</v>
      </c>
      <c r="F65" s="85"/>
      <c r="G65" s="229"/>
      <c r="H65" s="229"/>
      <c r="I65" s="229"/>
      <c r="J65" s="229"/>
      <c r="K65" s="218"/>
      <c r="L65" s="87"/>
      <c r="M65" s="87"/>
      <c r="N65" s="82"/>
      <c r="O65" s="82"/>
      <c r="P65" s="241"/>
      <c r="Q65" s="241"/>
      <c r="R65" s="82"/>
      <c r="S65" s="241"/>
      <c r="T65" s="82"/>
      <c r="U65" s="241"/>
      <c r="V65" s="82"/>
      <c r="W65" s="88"/>
      <c r="X65" s="82"/>
      <c r="Y65" s="89"/>
      <c r="Z65" s="82"/>
      <c r="AA65" s="220"/>
      <c r="AB65" s="241"/>
      <c r="AC65" s="241"/>
      <c r="AD65" s="241"/>
      <c r="AE65" s="82"/>
      <c r="AF65" s="82"/>
      <c r="AG65" s="90"/>
      <c r="AH65" s="90"/>
      <c r="AI65" s="90"/>
      <c r="AJ65" s="90"/>
      <c r="AK65" s="82"/>
      <c r="AL65" s="82" t="str" cm="1">
        <f t="array" aca="1" ref="AL65" ca="1">_xlfn.IFS(
 AND($AK65&lt;&gt;"", M65&lt;&gt;0, M65&lt;=EDATE(TODAY(),2)),"도래",
 AND($AK65&lt;&gt;"", M65&lt;&gt;0, M65&lt;=EDATE(TODAY(),3)),"예정",
 AND($AK65&lt;&gt;"", M65&lt;&gt;0, M65&lt;=EDATE(TODAY(),6)),"관심",
 TRUE,""
)</f>
        <v/>
      </c>
      <c r="AM65" s="198">
        <f t="shared" si="2"/>
        <v>0</v>
      </c>
    </row>
    <row r="66" spans="1:39" ht="18" customHeight="1">
      <c r="A66" s="81"/>
      <c r="B66" s="205" t="str">
        <f>_xlfn.LET(_xlpm.var,◆관리정보!B66,IF(_xlpm.var&lt;&gt;0,_xlpm.var,""))</f>
        <v>다존하우스</v>
      </c>
      <c r="C66" s="82">
        <f>_xlfn.LET(_xlpm.var,◆관리정보!C66,IF(_xlpm.var&lt;&gt;0,_xlpm.var,""))</f>
        <v>606</v>
      </c>
      <c r="D66" s="83" t="s">
        <v>299</v>
      </c>
      <c r="E66" s="84" t="str">
        <f t="shared" si="1"/>
        <v>다존하우스606</v>
      </c>
      <c r="F66" s="85">
        <v>46103</v>
      </c>
      <c r="G66" s="229"/>
      <c r="H66" s="229"/>
      <c r="I66" s="229"/>
      <c r="J66" s="229">
        <v>540140</v>
      </c>
      <c r="K66" s="218"/>
      <c r="L66" s="87">
        <v>46013</v>
      </c>
      <c r="M66" s="87">
        <v>46163</v>
      </c>
      <c r="N66" s="82" t="s">
        <v>300</v>
      </c>
      <c r="O66" s="82" t="s">
        <v>301</v>
      </c>
      <c r="P66" s="241">
        <v>500000</v>
      </c>
      <c r="Q66" s="241">
        <v>400000</v>
      </c>
      <c r="R66" s="82"/>
      <c r="S66" s="241">
        <v>70000</v>
      </c>
      <c r="T66" s="82" t="s">
        <v>40</v>
      </c>
      <c r="U66" s="241"/>
      <c r="V66" s="82"/>
      <c r="W66" s="88"/>
      <c r="X66" s="82"/>
      <c r="Y66" s="89"/>
      <c r="Z66" s="82"/>
      <c r="AA66" s="220" t="s">
        <v>302</v>
      </c>
      <c r="AB66" s="241">
        <v>80000</v>
      </c>
      <c r="AC66" s="241">
        <v>100000</v>
      </c>
      <c r="AD66" s="241"/>
      <c r="AE66" s="82" t="s">
        <v>219</v>
      </c>
      <c r="AF66" s="82" t="s">
        <v>220</v>
      </c>
      <c r="AG66" s="90"/>
      <c r="AH66" s="90"/>
      <c r="AI66" s="90" t="s">
        <v>303</v>
      </c>
      <c r="AJ66" s="90"/>
      <c r="AK66" s="82"/>
      <c r="AL66" s="82" t="str" cm="1">
        <f t="array" aca="1" ref="AL66" ca="1">_xlfn.IFS(
 AND($AK66&lt;&gt;"", M66&lt;&gt;0, M66&lt;=EDATE(TODAY(),2)),"도래",
 AND($AK66&lt;&gt;"", M66&lt;&gt;0, M66&lt;=EDATE(TODAY(),3)),"예정",
 AND($AK66&lt;&gt;"", M66&lt;&gt;0, M66&lt;=EDATE(TODAY(),6)),"관심",
 TRUE,""
)</f>
        <v/>
      </c>
      <c r="AM66" s="198">
        <f t="shared" si="2"/>
        <v>22</v>
      </c>
    </row>
    <row r="67" spans="1:39" ht="18" customHeight="1">
      <c r="A67" s="81"/>
      <c r="B67" s="205" t="str">
        <f>_xlfn.LET(_xlpm.var,◆관리정보!B67,IF(_xlpm.var&lt;&gt;0,_xlpm.var,""))</f>
        <v>다존하우스</v>
      </c>
      <c r="C67" s="82">
        <f>_xlfn.LET(_xlpm.var,◆관리정보!C67,IF(_xlpm.var&lt;&gt;0,_xlpm.var,""))</f>
        <v>607</v>
      </c>
      <c r="D67" s="83" t="s">
        <v>304</v>
      </c>
      <c r="E67" s="84" t="str">
        <f t="shared" si="1"/>
        <v>다존하우스607</v>
      </c>
      <c r="F67" s="85">
        <v>46119</v>
      </c>
      <c r="G67" s="229"/>
      <c r="H67" s="229"/>
      <c r="I67" s="229"/>
      <c r="J67" s="229"/>
      <c r="K67" s="218"/>
      <c r="L67" s="87">
        <v>45633</v>
      </c>
      <c r="M67" s="87">
        <v>45722</v>
      </c>
      <c r="N67" s="82" t="s">
        <v>305</v>
      </c>
      <c r="O67" s="82" t="s">
        <v>306</v>
      </c>
      <c r="P67" s="241">
        <v>500000</v>
      </c>
      <c r="Q67" s="241">
        <v>450000</v>
      </c>
      <c r="R67" s="82"/>
      <c r="S67" s="241">
        <v>80000</v>
      </c>
      <c r="T67" s="82" t="s">
        <v>40</v>
      </c>
      <c r="U67" s="241"/>
      <c r="V67" s="82"/>
      <c r="W67" s="88"/>
      <c r="X67" s="82"/>
      <c r="Y67" s="89"/>
      <c r="Z67" s="82"/>
      <c r="AA67" s="220"/>
      <c r="AB67" s="241">
        <v>100000</v>
      </c>
      <c r="AC67" s="241">
        <v>100000</v>
      </c>
      <c r="AD67" s="241"/>
      <c r="AE67" s="82" t="s">
        <v>219</v>
      </c>
      <c r="AF67" s="82" t="s">
        <v>275</v>
      </c>
      <c r="AG67" s="90"/>
      <c r="AH67" s="90"/>
      <c r="AI67" s="90" t="s">
        <v>307</v>
      </c>
      <c r="AJ67" s="90"/>
      <c r="AK67" s="82"/>
      <c r="AL67" s="82" t="str" cm="1">
        <f t="array" aca="1" ref="AL67" ca="1">_xlfn.IFS(
 AND($AK67&lt;&gt;"", M67&lt;&gt;0, M67&lt;=EDATE(TODAY(),2)),"도래",
 AND($AK67&lt;&gt;"", M67&lt;&gt;0, M67&lt;=EDATE(TODAY(),3)),"예정",
 AND($AK67&lt;&gt;"", M67&lt;&gt;0, M67&lt;=EDATE(TODAY(),6)),"관심",
 TRUE,""
)</f>
        <v/>
      </c>
      <c r="AM67" s="198">
        <f t="shared" si="2"/>
        <v>7</v>
      </c>
    </row>
    <row r="68" spans="1:39" ht="18" customHeight="1">
      <c r="A68" s="81"/>
      <c r="B68" s="205" t="str">
        <f>_xlfn.LET(_xlpm.var,◆관리정보!B68,IF(_xlpm.var&lt;&gt;0,_xlpm.var,""))</f>
        <v>W하우스</v>
      </c>
      <c r="C68" s="82" t="str">
        <f>_xlfn.LET(_xlpm.var,◆관리정보!C68,IF(_xlpm.var&lt;&gt;0,_xlpm.var,""))</f>
        <v>1층</v>
      </c>
      <c r="D68" s="83" t="s">
        <v>308</v>
      </c>
      <c r="E68" s="84" t="str">
        <f t="shared" ref="E68:E131" si="3">_xlfn.CONCAT(B68,C68)</f>
        <v>W하우스1층</v>
      </c>
      <c r="F68" s="85">
        <v>46115</v>
      </c>
      <c r="G68" s="229"/>
      <c r="H68" s="229"/>
      <c r="I68" s="229"/>
      <c r="J68" s="229"/>
      <c r="K68" s="218"/>
      <c r="L68" s="87">
        <v>45019</v>
      </c>
      <c r="M68" s="87">
        <v>46845</v>
      </c>
      <c r="N68" s="82" t="s">
        <v>309</v>
      </c>
      <c r="O68" s="82" t="s">
        <v>310</v>
      </c>
      <c r="P68" s="241">
        <v>40000000</v>
      </c>
      <c r="Q68" s="241">
        <v>4725000</v>
      </c>
      <c r="R68" s="265" t="s">
        <v>311</v>
      </c>
      <c r="S68" s="241">
        <v>200000</v>
      </c>
      <c r="T68" s="82" t="s">
        <v>40</v>
      </c>
      <c r="U68" s="241"/>
      <c r="V68" s="82"/>
      <c r="W68" s="88"/>
      <c r="X68" s="82"/>
      <c r="Y68" s="89"/>
      <c r="Z68" s="82"/>
      <c r="AA68" s="220" t="s">
        <v>312</v>
      </c>
      <c r="AB68" s="241"/>
      <c r="AC68" s="241"/>
      <c r="AD68" s="241"/>
      <c r="AE68" s="82" t="s">
        <v>313</v>
      </c>
      <c r="AF68" s="82"/>
      <c r="AG68" s="90"/>
      <c r="AH68" s="90"/>
      <c r="AI68" s="90"/>
      <c r="AJ68" s="90"/>
      <c r="AK68" s="82" t="s">
        <v>47</v>
      </c>
      <c r="AL68" s="82" t="str" cm="1">
        <f t="array" aca="1" ref="AL68" ca="1">_xlfn.IFS(
 AND($AK68&lt;&gt;"", M68&lt;&gt;0, M68&lt;=EDATE(TODAY(),2)),"도래",
 AND($AK68&lt;&gt;"", M68&lt;&gt;0, M68&lt;=EDATE(TODAY(),3)),"예정",
 AND($AK68&lt;&gt;"", M68&lt;&gt;0, M68&lt;=EDATE(TODAY(),6)),"관심",
 TRUE,""
)</f>
        <v/>
      </c>
      <c r="AM68" s="198">
        <f t="shared" si="2"/>
        <v>3</v>
      </c>
    </row>
    <row r="69" spans="1:39" ht="18" customHeight="1">
      <c r="A69" s="81"/>
      <c r="B69" s="205" t="str">
        <f>_xlfn.LET(_xlpm.var,◆관리정보!B69,IF(_xlpm.var&lt;&gt;0,_xlpm.var,""))</f>
        <v>W하우스</v>
      </c>
      <c r="C69" s="82">
        <f>_xlfn.LET(_xlpm.var,◆관리정보!C69,IF(_xlpm.var&lt;&gt;0,_xlpm.var,""))</f>
        <v>201</v>
      </c>
      <c r="D69" s="83" t="s">
        <v>314</v>
      </c>
      <c r="E69" s="84" t="str">
        <f t="shared" si="3"/>
        <v>W하우스201</v>
      </c>
      <c r="F69" s="85">
        <v>46127</v>
      </c>
      <c r="G69" s="229"/>
      <c r="H69" s="229"/>
      <c r="I69" s="229"/>
      <c r="J69" s="229"/>
      <c r="K69" s="218"/>
      <c r="L69" s="87">
        <v>45915</v>
      </c>
      <c r="M69" s="87">
        <v>46644</v>
      </c>
      <c r="N69" s="82" t="s">
        <v>315</v>
      </c>
      <c r="O69" s="82" t="s">
        <v>316</v>
      </c>
      <c r="P69" s="241">
        <v>20000000</v>
      </c>
      <c r="Q69" s="241">
        <v>2800000</v>
      </c>
      <c r="R69" s="82"/>
      <c r="S69" s="241">
        <v>200000</v>
      </c>
      <c r="T69" s="82" t="s">
        <v>40</v>
      </c>
      <c r="U69" s="241"/>
      <c r="V69" s="82"/>
      <c r="W69" s="88"/>
      <c r="X69" s="82"/>
      <c r="Y69" s="89"/>
      <c r="Z69" s="82"/>
      <c r="AA69" s="220"/>
      <c r="AB69" s="241"/>
      <c r="AC69" s="241">
        <v>2475000</v>
      </c>
      <c r="AD69" s="241"/>
      <c r="AE69" s="82" t="s">
        <v>317</v>
      </c>
      <c r="AF69" s="82" t="s">
        <v>318</v>
      </c>
      <c r="AG69" s="90"/>
      <c r="AH69" s="90"/>
      <c r="AI69" s="90"/>
      <c r="AJ69" s="90"/>
      <c r="AK69" s="82"/>
      <c r="AL69" s="82" t="str" cm="1">
        <f t="array" aca="1" ref="AL69" ca="1">_xlfn.IFS(
 AND($AK69&lt;&gt;"", M69&lt;&gt;0, M69&lt;=EDATE(TODAY(),2)),"도래",
 AND($AK69&lt;&gt;"", M69&lt;&gt;0, M69&lt;=EDATE(TODAY(),3)),"예정",
 AND($AK69&lt;&gt;"", M69&lt;&gt;0, M69&lt;=EDATE(TODAY(),6)),"관심",
 TRUE,""
)</f>
        <v/>
      </c>
      <c r="AM69" s="198">
        <f t="shared" ref="AM69:AM132" si="4">DAY(L69)</f>
        <v>15</v>
      </c>
    </row>
    <row r="70" spans="1:39" ht="18" customHeight="1">
      <c r="A70" s="81"/>
      <c r="B70" s="205" t="str">
        <f>_xlfn.LET(_xlpm.var,◆관리정보!B70,IF(_xlpm.var&lt;&gt;0,_xlpm.var,""))</f>
        <v>W하우스</v>
      </c>
      <c r="C70" s="82">
        <f>_xlfn.LET(_xlpm.var,◆관리정보!C70,IF(_xlpm.var&lt;&gt;0,_xlpm.var,""))</f>
        <v>202</v>
      </c>
      <c r="D70" s="83" t="s">
        <v>319</v>
      </c>
      <c r="E70" s="84" t="str">
        <f t="shared" si="3"/>
        <v>W하우스202</v>
      </c>
      <c r="F70" s="85">
        <v>46108</v>
      </c>
      <c r="G70" s="229"/>
      <c r="H70" s="229"/>
      <c r="I70" s="229"/>
      <c r="J70" s="229"/>
      <c r="K70" s="218"/>
      <c r="L70" s="87">
        <v>44039</v>
      </c>
      <c r="M70" s="87">
        <v>44768</v>
      </c>
      <c r="N70" s="82" t="s">
        <v>320</v>
      </c>
      <c r="O70" s="82" t="s">
        <v>321</v>
      </c>
      <c r="P70" s="241">
        <v>20000000</v>
      </c>
      <c r="Q70" s="241">
        <v>1500000</v>
      </c>
      <c r="R70" s="82"/>
      <c r="S70" s="241">
        <v>200000</v>
      </c>
      <c r="T70" s="82" t="s">
        <v>40</v>
      </c>
      <c r="U70" s="241"/>
      <c r="V70" s="82"/>
      <c r="W70" s="88"/>
      <c r="X70" s="82"/>
      <c r="Y70" s="89"/>
      <c r="Z70" s="82"/>
      <c r="AA70" s="220"/>
      <c r="AB70" s="241"/>
      <c r="AC70" s="241">
        <v>1000000</v>
      </c>
      <c r="AD70" s="241"/>
      <c r="AE70" s="82" t="s">
        <v>258</v>
      </c>
      <c r="AF70" s="82" t="s">
        <v>322</v>
      </c>
      <c r="AG70" s="90"/>
      <c r="AH70" s="90"/>
      <c r="AI70" s="90" t="s">
        <v>323</v>
      </c>
      <c r="AJ70" s="90"/>
      <c r="AK70" s="82"/>
      <c r="AL70" s="82" t="str" cm="1">
        <f t="array" aca="1" ref="AL70" ca="1">_xlfn.IFS(
 AND($AK70&lt;&gt;"", M70&lt;&gt;0, M70&lt;=EDATE(TODAY(),2)),"도래",
 AND($AK70&lt;&gt;"", M70&lt;&gt;0, M70&lt;=EDATE(TODAY(),3)),"예정",
 AND($AK70&lt;&gt;"", M70&lt;&gt;0, M70&lt;=EDATE(TODAY(),6)),"관심",
 TRUE,""
)</f>
        <v/>
      </c>
      <c r="AM70" s="198">
        <f t="shared" si="4"/>
        <v>27</v>
      </c>
    </row>
    <row r="71" spans="1:39" ht="18" customHeight="1">
      <c r="A71" s="81"/>
      <c r="B71" s="237" t="str">
        <f>_xlfn.LET(_xlpm.var,◆관리정보!B71,IF(_xlpm.var&lt;&gt;0,_xlpm.var,""))</f>
        <v>W하우스</v>
      </c>
      <c r="C71" s="238">
        <f>_xlfn.LET(_xlpm.var,◆관리정보!C71,IF(_xlpm.var&lt;&gt;0,_xlpm.var,""))</f>
        <v>301</v>
      </c>
      <c r="D71" s="239" t="s">
        <v>324</v>
      </c>
      <c r="E71" s="84" t="str">
        <f t="shared" si="3"/>
        <v>W하우스301</v>
      </c>
      <c r="F71" s="85">
        <v>46103</v>
      </c>
      <c r="G71" s="229"/>
      <c r="H71" s="229"/>
      <c r="I71" s="229">
        <v>1300000</v>
      </c>
      <c r="J71" s="229">
        <v>377150</v>
      </c>
      <c r="K71" s="218"/>
      <c r="L71" s="87">
        <v>45983</v>
      </c>
      <c r="M71" s="316">
        <v>46074</v>
      </c>
      <c r="N71" s="82" t="s">
        <v>325</v>
      </c>
      <c r="O71" s="82" t="s">
        <v>326</v>
      </c>
      <c r="P71" s="241">
        <v>1300000</v>
      </c>
      <c r="Q71" s="241">
        <v>1300000</v>
      </c>
      <c r="R71" s="82"/>
      <c r="S71" s="241">
        <v>80000</v>
      </c>
      <c r="T71" s="82" t="s">
        <v>40</v>
      </c>
      <c r="U71" s="241">
        <v>25000</v>
      </c>
      <c r="V71" s="82" t="s">
        <v>40</v>
      </c>
      <c r="W71" s="88">
        <v>25000</v>
      </c>
      <c r="X71" s="82" t="s">
        <v>40</v>
      </c>
      <c r="Y71" s="89"/>
      <c r="Z71" s="82"/>
      <c r="AA71" s="220"/>
      <c r="AB71" s="241">
        <v>180000</v>
      </c>
      <c r="AC71" s="241">
        <v>150000</v>
      </c>
      <c r="AD71" s="241"/>
      <c r="AE71" s="82" t="s">
        <v>327</v>
      </c>
      <c r="AF71" s="82" t="s">
        <v>328</v>
      </c>
      <c r="AG71" s="90"/>
      <c r="AH71" s="90"/>
      <c r="AI71" s="90"/>
      <c r="AJ71" s="90"/>
      <c r="AK71" s="82"/>
      <c r="AL71" s="82" t="str" cm="1">
        <f t="array" aca="1" ref="AL71" ca="1">_xlfn.IFS(
 AND($AK71&lt;&gt;"", M71&lt;&gt;0, M71&lt;=EDATE(TODAY(),2)),"도래",
 AND($AK71&lt;&gt;"", M71&lt;&gt;0, M71&lt;=EDATE(TODAY(),3)),"예정",
 AND($AK71&lt;&gt;"", M71&lt;&gt;0, M71&lt;=EDATE(TODAY(),6)),"관심",
 TRUE,""
)</f>
        <v/>
      </c>
      <c r="AM71" s="198">
        <f t="shared" si="4"/>
        <v>22</v>
      </c>
    </row>
    <row r="72" spans="1:39" ht="18" customHeight="1">
      <c r="A72" s="81"/>
      <c r="B72" s="237" t="str">
        <f>_xlfn.LET(_xlpm.var,◆관리정보!B72,IF(_xlpm.var&lt;&gt;0,_xlpm.var,""))</f>
        <v>W하우스</v>
      </c>
      <c r="C72" s="238">
        <f>_xlfn.LET(_xlpm.var,◆관리정보!C72,IF(_xlpm.var&lt;&gt;0,_xlpm.var,""))</f>
        <v>302</v>
      </c>
      <c r="D72" s="239" t="s">
        <v>329</v>
      </c>
      <c r="E72" s="84" t="str">
        <f t="shared" si="3"/>
        <v>W하우스302</v>
      </c>
      <c r="F72" s="85">
        <v>46071</v>
      </c>
      <c r="G72" s="229">
        <v>600000</v>
      </c>
      <c r="H72" s="229">
        <v>266500</v>
      </c>
      <c r="I72" s="229">
        <v>1300000</v>
      </c>
      <c r="J72" s="229">
        <v>249170</v>
      </c>
      <c r="K72" s="218">
        <v>65000</v>
      </c>
      <c r="L72" s="87">
        <v>45948</v>
      </c>
      <c r="M72" s="316">
        <v>46039</v>
      </c>
      <c r="N72" s="82" t="s">
        <v>330</v>
      </c>
      <c r="O72" s="82" t="s">
        <v>331</v>
      </c>
      <c r="P72" s="241">
        <v>1300000</v>
      </c>
      <c r="Q72" s="241">
        <v>1300000</v>
      </c>
      <c r="R72" s="82"/>
      <c r="S72" s="241">
        <v>80000</v>
      </c>
      <c r="T72" s="82" t="s">
        <v>40</v>
      </c>
      <c r="U72" s="241">
        <v>25000</v>
      </c>
      <c r="V72" s="82" t="s">
        <v>40</v>
      </c>
      <c r="W72" s="88">
        <v>25000</v>
      </c>
      <c r="X72" s="82" t="s">
        <v>40</v>
      </c>
      <c r="Y72" s="89"/>
      <c r="Z72" s="82"/>
      <c r="AA72" s="220"/>
      <c r="AB72" s="241">
        <v>180000</v>
      </c>
      <c r="AC72" s="241">
        <v>150000</v>
      </c>
      <c r="AD72" s="241"/>
      <c r="AE72" s="82" t="s">
        <v>332</v>
      </c>
      <c r="AF72" s="82" t="s">
        <v>333</v>
      </c>
      <c r="AG72" s="90"/>
      <c r="AH72" s="90"/>
      <c r="AI72" s="90" t="s">
        <v>334</v>
      </c>
      <c r="AJ72" s="90"/>
      <c r="AK72" s="82"/>
      <c r="AL72" s="82" t="str" cm="1">
        <f t="array" aca="1" ref="AL72" ca="1">_xlfn.IFS(
 AND($AK72&lt;&gt;"", M72&lt;&gt;0, M72&lt;=EDATE(TODAY(),2)),"도래",
 AND($AK72&lt;&gt;"", M72&lt;&gt;0, M72&lt;=EDATE(TODAY(),3)),"예정",
 AND($AK72&lt;&gt;"", M72&lt;&gt;0, M72&lt;=EDATE(TODAY(),6)),"관심",
 TRUE,""
)</f>
        <v/>
      </c>
      <c r="AM72" s="198">
        <f t="shared" si="4"/>
        <v>18</v>
      </c>
    </row>
    <row r="73" spans="1:39" ht="18" customHeight="1">
      <c r="A73" s="81"/>
      <c r="B73" s="205" t="str">
        <f>_xlfn.LET(_xlpm.var,◆관리정보!B73,IF(_xlpm.var&lt;&gt;0,_xlpm.var,""))</f>
        <v>W하우스</v>
      </c>
      <c r="C73" s="82">
        <f>_xlfn.LET(_xlpm.var,◆관리정보!C73,IF(_xlpm.var&lt;&gt;0,_xlpm.var,""))</f>
        <v>303</v>
      </c>
      <c r="D73" s="83" t="s">
        <v>335</v>
      </c>
      <c r="E73" s="84" t="str">
        <f t="shared" si="3"/>
        <v>W하우스303</v>
      </c>
      <c r="F73" s="85">
        <v>46101</v>
      </c>
      <c r="G73" s="229"/>
      <c r="H73" s="229"/>
      <c r="I73" s="229">
        <v>1350000</v>
      </c>
      <c r="J73" s="229">
        <v>202200</v>
      </c>
      <c r="K73" s="218"/>
      <c r="L73" s="87">
        <v>45920</v>
      </c>
      <c r="M73" s="316">
        <v>46010</v>
      </c>
      <c r="N73" s="82" t="s">
        <v>336</v>
      </c>
      <c r="O73" s="82" t="s">
        <v>337</v>
      </c>
      <c r="P73" s="241">
        <v>1350000</v>
      </c>
      <c r="Q73" s="241">
        <v>1350000</v>
      </c>
      <c r="R73" s="82"/>
      <c r="S73" s="241">
        <v>80000</v>
      </c>
      <c r="T73" s="82" t="s">
        <v>40</v>
      </c>
      <c r="U73" s="241">
        <v>25000</v>
      </c>
      <c r="V73" s="82" t="s">
        <v>40</v>
      </c>
      <c r="W73" s="88">
        <v>25000</v>
      </c>
      <c r="X73" s="82" t="s">
        <v>40</v>
      </c>
      <c r="Y73" s="89"/>
      <c r="Z73" s="82"/>
      <c r="AA73" s="220"/>
      <c r="AB73" s="241">
        <v>180000</v>
      </c>
      <c r="AC73" s="241">
        <v>150000</v>
      </c>
      <c r="AD73" s="241"/>
      <c r="AE73" s="82" t="s">
        <v>332</v>
      </c>
      <c r="AF73" s="82" t="s">
        <v>333</v>
      </c>
      <c r="AG73" s="90"/>
      <c r="AH73" s="90"/>
      <c r="AI73" s="90" t="s">
        <v>338</v>
      </c>
      <c r="AJ73" s="90"/>
      <c r="AK73" s="82"/>
      <c r="AL73" s="82" t="str" cm="1">
        <f t="array" aca="1" ref="AL73" ca="1">_xlfn.IFS(
 AND($AK73&lt;&gt;"", M73&lt;&gt;0, M73&lt;=EDATE(TODAY(),2)),"도래",
 AND($AK73&lt;&gt;"", M73&lt;&gt;0, M73&lt;=EDATE(TODAY(),3)),"예정",
 AND($AK73&lt;&gt;"", M73&lt;&gt;0, M73&lt;=EDATE(TODAY(),6)),"관심",
 TRUE,""
)</f>
        <v/>
      </c>
      <c r="AM73" s="198">
        <f t="shared" si="4"/>
        <v>20</v>
      </c>
    </row>
    <row r="74" spans="1:39" ht="18" customHeight="1">
      <c r="A74" s="81"/>
      <c r="B74" s="205" t="str">
        <f>_xlfn.LET(_xlpm.var,◆관리정보!B74,IF(_xlpm.var&lt;&gt;0,_xlpm.var,""))</f>
        <v>W하우스</v>
      </c>
      <c r="C74" s="82">
        <f>_xlfn.LET(_xlpm.var,◆관리정보!C74,IF(_xlpm.var&lt;&gt;0,_xlpm.var,""))</f>
        <v>304</v>
      </c>
      <c r="D74" s="236" t="s">
        <v>339</v>
      </c>
      <c r="E74" s="84" t="str">
        <f t="shared" si="3"/>
        <v>W하우스304</v>
      </c>
      <c r="F74" s="85">
        <v>46122</v>
      </c>
      <c r="G74" s="229"/>
      <c r="H74" s="229"/>
      <c r="I74" s="229"/>
      <c r="J74" s="229"/>
      <c r="K74" s="318"/>
      <c r="L74" s="87">
        <v>46032</v>
      </c>
      <c r="M74" s="316">
        <v>46121</v>
      </c>
      <c r="N74" s="82" t="s">
        <v>340</v>
      </c>
      <c r="O74" s="82" t="s">
        <v>341</v>
      </c>
      <c r="P74" s="241">
        <v>1300000</v>
      </c>
      <c r="Q74" s="241">
        <v>1300000</v>
      </c>
      <c r="R74" s="82"/>
      <c r="S74" s="241">
        <v>80000</v>
      </c>
      <c r="T74" s="82" t="s">
        <v>40</v>
      </c>
      <c r="U74" s="241">
        <v>25000</v>
      </c>
      <c r="V74" s="82" t="s">
        <v>40</v>
      </c>
      <c r="W74" s="88">
        <v>25000</v>
      </c>
      <c r="X74" s="82" t="s">
        <v>40</v>
      </c>
      <c r="Y74" s="89"/>
      <c r="Z74" s="82"/>
      <c r="AA74" s="220"/>
      <c r="AB74" s="241">
        <v>180000</v>
      </c>
      <c r="AC74" s="241">
        <v>150000</v>
      </c>
      <c r="AD74" s="241"/>
      <c r="AE74" s="82" t="s">
        <v>342</v>
      </c>
      <c r="AF74" s="82" t="s">
        <v>343</v>
      </c>
      <c r="AG74" s="90"/>
      <c r="AH74" s="90"/>
      <c r="AI74" s="90" t="s">
        <v>344</v>
      </c>
      <c r="AJ74" s="90"/>
      <c r="AK74" s="82"/>
      <c r="AL74" s="82" t="str" cm="1">
        <f t="array" aca="1" ref="AL74" ca="1">_xlfn.IFS(
 AND($AK74&lt;&gt;"", M74&lt;&gt;0, M74&lt;=EDATE(TODAY(),2)),"도래",
 AND($AK74&lt;&gt;"", M74&lt;&gt;0, M74&lt;=EDATE(TODAY(),3)),"예정",
 AND($AK74&lt;&gt;"", M74&lt;&gt;0, M74&lt;=EDATE(TODAY(),6)),"관심",
 TRUE,""
)</f>
        <v/>
      </c>
      <c r="AM74" s="198">
        <f t="shared" si="4"/>
        <v>10</v>
      </c>
    </row>
    <row r="75" spans="1:39" ht="18" customHeight="1">
      <c r="A75" s="81"/>
      <c r="B75" s="205" t="str">
        <f>_xlfn.LET(_xlpm.var,◆관리정보!B75,IF(_xlpm.var&lt;&gt;0,_xlpm.var,""))</f>
        <v>W하우스</v>
      </c>
      <c r="C75" s="82">
        <f>_xlfn.LET(_xlpm.var,◆관리정보!C75,IF(_xlpm.var&lt;&gt;0,_xlpm.var,""))</f>
        <v>305</v>
      </c>
      <c r="D75" s="83" t="s">
        <v>345</v>
      </c>
      <c r="E75" s="84" t="str">
        <f t="shared" si="3"/>
        <v>W하우스305</v>
      </c>
      <c r="F75" s="85">
        <v>46114</v>
      </c>
      <c r="G75" s="229"/>
      <c r="H75" s="229"/>
      <c r="I75" s="229"/>
      <c r="J75" s="229"/>
      <c r="K75" s="218"/>
      <c r="L75" s="87">
        <v>45902</v>
      </c>
      <c r="M75" s="316">
        <v>45992</v>
      </c>
      <c r="N75" s="82" t="s">
        <v>346</v>
      </c>
      <c r="O75" s="82" t="s">
        <v>347</v>
      </c>
      <c r="P75" s="241">
        <v>1350000</v>
      </c>
      <c r="Q75" s="241">
        <v>1350000</v>
      </c>
      <c r="R75" s="82"/>
      <c r="S75" s="241">
        <v>80000</v>
      </c>
      <c r="T75" s="82" t="s">
        <v>40</v>
      </c>
      <c r="U75" s="241">
        <v>25000</v>
      </c>
      <c r="V75" s="82" t="s">
        <v>40</v>
      </c>
      <c r="W75" s="88">
        <v>25000</v>
      </c>
      <c r="X75" s="82" t="s">
        <v>40</v>
      </c>
      <c r="Y75" s="89"/>
      <c r="Z75" s="82"/>
      <c r="AA75" s="220"/>
      <c r="AB75" s="241">
        <v>180000</v>
      </c>
      <c r="AC75" s="241">
        <v>150000</v>
      </c>
      <c r="AD75" s="241"/>
      <c r="AE75" s="82" t="s">
        <v>63</v>
      </c>
      <c r="AF75" s="82" t="s">
        <v>64</v>
      </c>
      <c r="AG75" s="90"/>
      <c r="AH75" s="90"/>
      <c r="AI75" s="90" t="s">
        <v>348</v>
      </c>
      <c r="AJ75" s="90"/>
      <c r="AK75" s="82"/>
      <c r="AL75" s="82" t="str" cm="1">
        <f t="array" aca="1" ref="AL75" ca="1">_xlfn.IFS(
 AND($AK75&lt;&gt;"", M75&lt;&gt;0, M75&lt;=EDATE(TODAY(),2)),"도래",
 AND($AK75&lt;&gt;"", M75&lt;&gt;0, M75&lt;=EDATE(TODAY(),3)),"예정",
 AND($AK75&lt;&gt;"", M75&lt;&gt;0, M75&lt;=EDATE(TODAY(),6)),"관심",
 TRUE,""
)</f>
        <v/>
      </c>
      <c r="AM75" s="198">
        <f t="shared" si="4"/>
        <v>2</v>
      </c>
    </row>
    <row r="76" spans="1:39" ht="18" customHeight="1">
      <c r="A76" s="81"/>
      <c r="B76" s="205" t="str">
        <f>_xlfn.LET(_xlpm.var,◆관리정보!B76,IF(_xlpm.var&lt;&gt;0,_xlpm.var,""))</f>
        <v>W하우스</v>
      </c>
      <c r="C76" s="82">
        <f>_xlfn.LET(_xlpm.var,◆관리정보!C76,IF(_xlpm.var&lt;&gt;0,_xlpm.var,""))</f>
        <v>401</v>
      </c>
      <c r="D76" s="83" t="s">
        <v>349</v>
      </c>
      <c r="E76" s="84" t="str">
        <f t="shared" si="3"/>
        <v>W하우스401</v>
      </c>
      <c r="F76" s="85">
        <v>46113</v>
      </c>
      <c r="G76" s="229"/>
      <c r="H76" s="229"/>
      <c r="I76" s="229"/>
      <c r="J76" s="229"/>
      <c r="K76" s="218"/>
      <c r="L76" s="309">
        <v>45413</v>
      </c>
      <c r="M76" s="309">
        <v>45504</v>
      </c>
      <c r="N76" s="82" t="s">
        <v>350</v>
      </c>
      <c r="O76" s="82" t="s">
        <v>351</v>
      </c>
      <c r="P76" s="241">
        <v>2250000</v>
      </c>
      <c r="Q76" s="241">
        <v>2250000</v>
      </c>
      <c r="R76" s="82"/>
      <c r="S76" s="241">
        <v>150000</v>
      </c>
      <c r="T76" s="82" t="s">
        <v>40</v>
      </c>
      <c r="U76" s="241">
        <v>25000</v>
      </c>
      <c r="V76" s="82" t="s">
        <v>40</v>
      </c>
      <c r="W76" s="88">
        <v>25000</v>
      </c>
      <c r="X76" s="82" t="s">
        <v>40</v>
      </c>
      <c r="Y76" s="89"/>
      <c r="Z76" s="82"/>
      <c r="AA76" s="220" t="s">
        <v>352</v>
      </c>
      <c r="AB76" s="241">
        <v>250000</v>
      </c>
      <c r="AC76" s="241">
        <v>250000</v>
      </c>
      <c r="AD76" s="241"/>
      <c r="AE76" s="82" t="s">
        <v>353</v>
      </c>
      <c r="AF76" s="82" t="s">
        <v>354</v>
      </c>
      <c r="AG76" s="90"/>
      <c r="AH76" s="90"/>
      <c r="AI76" s="90" t="s">
        <v>355</v>
      </c>
      <c r="AJ76" s="90"/>
      <c r="AK76" s="82"/>
      <c r="AL76" s="82" t="str" cm="1">
        <f t="array" aca="1" ref="AL76" ca="1">_xlfn.IFS(
 AND($AK76&lt;&gt;"", M76&lt;&gt;0, M76&lt;=EDATE(TODAY(),2)),"도래",
 AND($AK76&lt;&gt;"", M76&lt;&gt;0, M76&lt;=EDATE(TODAY(),3)),"예정",
 AND($AK76&lt;&gt;"", M76&lt;&gt;0, M76&lt;=EDATE(TODAY(),6)),"관심",
 TRUE,""
)</f>
        <v/>
      </c>
      <c r="AM76" s="198">
        <f t="shared" si="4"/>
        <v>1</v>
      </c>
    </row>
    <row r="77" spans="1:39" ht="18" customHeight="1">
      <c r="A77" s="81"/>
      <c r="B77" s="205" t="str">
        <f>_xlfn.LET(_xlpm.var,◆관리정보!B77,IF(_xlpm.var&lt;&gt;0,_xlpm.var,""))</f>
        <v>W하우스</v>
      </c>
      <c r="C77" s="82">
        <f>_xlfn.LET(_xlpm.var,◆관리정보!C77,IF(_xlpm.var&lt;&gt;0,_xlpm.var,""))</f>
        <v>402</v>
      </c>
      <c r="D77" s="83" t="s">
        <v>356</v>
      </c>
      <c r="E77" s="84" t="str">
        <f t="shared" si="3"/>
        <v>W하우스402</v>
      </c>
      <c r="F77" s="85">
        <v>46107</v>
      </c>
      <c r="G77" s="229"/>
      <c r="H77" s="229"/>
      <c r="I77" s="229"/>
      <c r="J77" s="229"/>
      <c r="K77" s="218"/>
      <c r="L77" s="87">
        <v>44891</v>
      </c>
      <c r="M77" s="87">
        <v>44982</v>
      </c>
      <c r="N77" s="82" t="s">
        <v>357</v>
      </c>
      <c r="O77" s="82" t="s">
        <v>358</v>
      </c>
      <c r="P77" s="241">
        <v>2100000</v>
      </c>
      <c r="Q77" s="241">
        <v>2100000</v>
      </c>
      <c r="R77" s="82"/>
      <c r="S77" s="241">
        <v>150000</v>
      </c>
      <c r="T77" s="82" t="s">
        <v>40</v>
      </c>
      <c r="U77" s="241">
        <v>25000</v>
      </c>
      <c r="V77" s="82" t="s">
        <v>40</v>
      </c>
      <c r="W77" s="88">
        <v>25000</v>
      </c>
      <c r="X77" s="82" t="s">
        <v>40</v>
      </c>
      <c r="Y77" s="89"/>
      <c r="Z77" s="82"/>
      <c r="AA77" s="220"/>
      <c r="AB77" s="241">
        <v>200000</v>
      </c>
      <c r="AC77" s="241">
        <v>250000</v>
      </c>
      <c r="AD77" s="241"/>
      <c r="AE77" s="82" t="s">
        <v>63</v>
      </c>
      <c r="AF77" s="82" t="s">
        <v>359</v>
      </c>
      <c r="AG77" s="90"/>
      <c r="AH77" s="90"/>
      <c r="AI77" s="90"/>
      <c r="AJ77" s="90"/>
      <c r="AK77" s="82"/>
      <c r="AL77" s="82" t="str" cm="1">
        <f t="array" aca="1" ref="AL77" ca="1">_xlfn.IFS(
 AND($AK77&lt;&gt;"", M77&lt;&gt;0, M77&lt;=EDATE(TODAY(),2)),"도래",
 AND($AK77&lt;&gt;"", M77&lt;&gt;0, M77&lt;=EDATE(TODAY(),3)),"예정",
 AND($AK77&lt;&gt;"", M77&lt;&gt;0, M77&lt;=EDATE(TODAY(),6)),"관심",
 TRUE,""
)</f>
        <v/>
      </c>
      <c r="AM77" s="198">
        <f t="shared" si="4"/>
        <v>26</v>
      </c>
    </row>
    <row r="78" spans="1:39" ht="18" customHeight="1">
      <c r="A78" s="81"/>
      <c r="B78" s="205" t="str">
        <f>_xlfn.LET(_xlpm.var,◆관리정보!B78,IF(_xlpm.var&lt;&gt;0,_xlpm.var,""))</f>
        <v>W하우스</v>
      </c>
      <c r="C78" s="82">
        <f>_xlfn.LET(_xlpm.var,◆관리정보!C78,IF(_xlpm.var&lt;&gt;0,_xlpm.var,""))</f>
        <v>403</v>
      </c>
      <c r="D78" s="83" t="s">
        <v>360</v>
      </c>
      <c r="E78" s="84" t="str">
        <f t="shared" si="3"/>
        <v>W하우스403</v>
      </c>
      <c r="F78" s="85">
        <v>46123</v>
      </c>
      <c r="G78" s="229"/>
      <c r="H78" s="229"/>
      <c r="I78" s="229"/>
      <c r="J78" s="229"/>
      <c r="K78" s="318"/>
      <c r="L78" s="375">
        <v>46064</v>
      </c>
      <c r="M78" s="87">
        <v>46152</v>
      </c>
      <c r="N78" s="82" t="s">
        <v>361</v>
      </c>
      <c r="O78" s="82" t="s">
        <v>362</v>
      </c>
      <c r="P78" s="241">
        <v>2300000</v>
      </c>
      <c r="Q78" s="241">
        <v>2300000</v>
      </c>
      <c r="R78" s="82"/>
      <c r="S78" s="241">
        <v>150000</v>
      </c>
      <c r="T78" s="82" t="s">
        <v>40</v>
      </c>
      <c r="U78" s="241">
        <v>30000</v>
      </c>
      <c r="V78" s="82" t="s">
        <v>40</v>
      </c>
      <c r="W78" s="88">
        <v>25000</v>
      </c>
      <c r="X78" s="82" t="s">
        <v>40</v>
      </c>
      <c r="Y78" s="89"/>
      <c r="Z78" s="82"/>
      <c r="AA78" s="220"/>
      <c r="AB78" s="241">
        <v>250000</v>
      </c>
      <c r="AC78" s="241">
        <v>250000</v>
      </c>
      <c r="AD78" s="241"/>
      <c r="AE78" s="265" t="s">
        <v>332</v>
      </c>
      <c r="AF78" s="82" t="s">
        <v>333</v>
      </c>
      <c r="AG78" s="90"/>
      <c r="AH78" s="90"/>
      <c r="AI78" s="90" t="s">
        <v>363</v>
      </c>
      <c r="AJ78" s="90"/>
      <c r="AK78" s="82"/>
      <c r="AL78" s="82" t="str" cm="1">
        <f t="array" aca="1" ref="AL78" ca="1">_xlfn.IFS(
 AND($AK78&lt;&gt;"", M78&lt;&gt;0, M78&lt;=EDATE(TODAY(),2)),"도래",
 AND($AK78&lt;&gt;"", M78&lt;&gt;0, M78&lt;=EDATE(TODAY(),3)),"예정",
 AND($AK78&lt;&gt;"", M78&lt;&gt;0, M78&lt;=EDATE(TODAY(),6)),"관심",
 TRUE,""
)</f>
        <v/>
      </c>
      <c r="AM78" s="198">
        <f t="shared" si="4"/>
        <v>11</v>
      </c>
    </row>
    <row r="79" spans="1:39" ht="18" customHeight="1">
      <c r="A79" s="81"/>
      <c r="B79" s="205" t="str">
        <f>_xlfn.LET(_xlpm.var,◆관리정보!B79,IF(_xlpm.var&lt;&gt;0,_xlpm.var,""))</f>
        <v>W하우스</v>
      </c>
      <c r="C79" s="82">
        <f>_xlfn.LET(_xlpm.var,◆관리정보!C79,IF(_xlpm.var&lt;&gt;0,_xlpm.var,""))</f>
        <v>501</v>
      </c>
      <c r="D79" s="83" t="s">
        <v>364</v>
      </c>
      <c r="E79" s="84" t="str">
        <f t="shared" si="3"/>
        <v>W하우스501</v>
      </c>
      <c r="F79" s="85">
        <v>46109</v>
      </c>
      <c r="G79" s="229"/>
      <c r="H79" s="229"/>
      <c r="I79" s="229"/>
      <c r="J79" s="229"/>
      <c r="K79" s="218"/>
      <c r="L79" s="87">
        <v>45501</v>
      </c>
      <c r="M79" s="87">
        <v>45592</v>
      </c>
      <c r="N79" s="82" t="s">
        <v>365</v>
      </c>
      <c r="O79" s="82" t="s">
        <v>366</v>
      </c>
      <c r="P79" s="241">
        <v>1200000</v>
      </c>
      <c r="Q79" s="241">
        <v>1150000</v>
      </c>
      <c r="R79" s="82"/>
      <c r="S79" s="241">
        <v>100000</v>
      </c>
      <c r="T79" s="82" t="s">
        <v>40</v>
      </c>
      <c r="U79" s="241">
        <v>25000</v>
      </c>
      <c r="V79" s="82" t="s">
        <v>40</v>
      </c>
      <c r="W79" s="88">
        <v>25000</v>
      </c>
      <c r="X79" s="82" t="s">
        <v>40</v>
      </c>
      <c r="Y79" s="89"/>
      <c r="Z79" s="82"/>
      <c r="AA79" s="220"/>
      <c r="AB79" s="241">
        <v>150000</v>
      </c>
      <c r="AC79" s="241">
        <v>150000</v>
      </c>
      <c r="AD79" s="241"/>
      <c r="AE79" s="82" t="s">
        <v>151</v>
      </c>
      <c r="AF79" s="82" t="s">
        <v>367</v>
      </c>
      <c r="AG79" s="90"/>
      <c r="AH79" s="90"/>
      <c r="AI79" s="90"/>
      <c r="AJ79" s="90"/>
      <c r="AK79" s="82"/>
      <c r="AL79" s="82" t="str" cm="1">
        <f t="array" aca="1" ref="AL79" ca="1">_xlfn.IFS(
 AND($AK79&lt;&gt;"", M79&lt;&gt;0, M79&lt;=EDATE(TODAY(),2)),"도래",
 AND($AK79&lt;&gt;"", M79&lt;&gt;0, M79&lt;=EDATE(TODAY(),3)),"예정",
 AND($AK79&lt;&gt;"", M79&lt;&gt;0, M79&lt;=EDATE(TODAY(),6)),"관심",
 TRUE,""
)</f>
        <v/>
      </c>
      <c r="AM79" s="198">
        <f t="shared" si="4"/>
        <v>28</v>
      </c>
    </row>
    <row r="80" spans="1:39" ht="18" customHeight="1">
      <c r="A80" s="81"/>
      <c r="B80" s="205" t="str">
        <f>_xlfn.LET(_xlpm.var,◆관리정보!B80,IF(_xlpm.var&lt;&gt;0,_xlpm.var,""))</f>
        <v>W하우스</v>
      </c>
      <c r="C80" s="82">
        <f>_xlfn.LET(_xlpm.var,◆관리정보!C80,IF(_xlpm.var&lt;&gt;0,_xlpm.var,""))</f>
        <v>502</v>
      </c>
      <c r="D80" s="83" t="s">
        <v>368</v>
      </c>
      <c r="E80" s="84" t="str">
        <f t="shared" si="3"/>
        <v>W하우스502</v>
      </c>
      <c r="F80" s="85">
        <v>46119</v>
      </c>
      <c r="G80" s="229"/>
      <c r="H80" s="229"/>
      <c r="I80" s="229"/>
      <c r="J80" s="229"/>
      <c r="K80" s="218"/>
      <c r="L80" s="87">
        <v>45815</v>
      </c>
      <c r="M80" s="87">
        <v>45906</v>
      </c>
      <c r="N80" s="82" t="s">
        <v>369</v>
      </c>
      <c r="O80" s="82" t="s">
        <v>370</v>
      </c>
      <c r="P80" s="241">
        <v>2250000</v>
      </c>
      <c r="Q80" s="241">
        <v>2250000</v>
      </c>
      <c r="R80" s="82"/>
      <c r="S80" s="241">
        <v>150000</v>
      </c>
      <c r="T80" s="82" t="s">
        <v>40</v>
      </c>
      <c r="U80" s="241">
        <v>30000</v>
      </c>
      <c r="V80" s="82" t="s">
        <v>40</v>
      </c>
      <c r="W80" s="88">
        <v>25000</v>
      </c>
      <c r="X80" s="82" t="s">
        <v>40</v>
      </c>
      <c r="Y80" s="89"/>
      <c r="Z80" s="82"/>
      <c r="AA80" s="220"/>
      <c r="AB80" s="241">
        <v>250000</v>
      </c>
      <c r="AC80" s="241">
        <v>250000</v>
      </c>
      <c r="AD80" s="241"/>
      <c r="AE80" s="82" t="s">
        <v>108</v>
      </c>
      <c r="AF80" s="82" t="s">
        <v>371</v>
      </c>
      <c r="AG80" s="90"/>
      <c r="AH80" s="90"/>
      <c r="AI80" s="90"/>
      <c r="AJ80" s="90"/>
      <c r="AK80" s="82"/>
      <c r="AL80" s="82" t="str" cm="1">
        <f t="array" aca="1" ref="AL80" ca="1">_xlfn.IFS(
 AND($AK80&lt;&gt;"", M80&lt;&gt;0, M80&lt;=EDATE(TODAY(),2)),"도래",
 AND($AK80&lt;&gt;"", M80&lt;&gt;0, M80&lt;=EDATE(TODAY(),3)),"예정",
 AND($AK80&lt;&gt;"", M80&lt;&gt;0, M80&lt;=EDATE(TODAY(),6)),"관심",
 TRUE,""
)</f>
        <v/>
      </c>
      <c r="AM80" s="198">
        <f t="shared" si="4"/>
        <v>7</v>
      </c>
    </row>
    <row r="81" spans="1:39" ht="18" customHeight="1">
      <c r="A81" s="81"/>
      <c r="B81" s="205" t="str">
        <f>_xlfn.LET(_xlpm.var,◆관리정보!B81,IF(_xlpm.var&lt;&gt;0,_xlpm.var,""))</f>
        <v>W하우스</v>
      </c>
      <c r="C81" s="82">
        <f>_xlfn.LET(_xlpm.var,◆관리정보!C81,IF(_xlpm.var&lt;&gt;0,_xlpm.var,""))</f>
        <v>503</v>
      </c>
      <c r="D81" s="83" t="s">
        <v>372</v>
      </c>
      <c r="E81" s="84" t="str">
        <f t="shared" si="3"/>
        <v>W하우스503</v>
      </c>
      <c r="F81" s="85">
        <v>46096</v>
      </c>
      <c r="G81" s="229"/>
      <c r="H81" s="229"/>
      <c r="I81" s="229">
        <v>2310000</v>
      </c>
      <c r="J81" s="229">
        <v>505960</v>
      </c>
      <c r="K81" s="218">
        <v>115500</v>
      </c>
      <c r="L81" s="87">
        <v>44545</v>
      </c>
      <c r="M81" s="87">
        <v>44634</v>
      </c>
      <c r="N81" s="82" t="s">
        <v>373</v>
      </c>
      <c r="O81" s="82" t="s">
        <v>374</v>
      </c>
      <c r="P81" s="241">
        <v>2200000</v>
      </c>
      <c r="Q81" s="241">
        <v>2310000</v>
      </c>
      <c r="R81" s="82"/>
      <c r="S81" s="241">
        <v>150000</v>
      </c>
      <c r="T81" s="82" t="s">
        <v>40</v>
      </c>
      <c r="U81" s="241">
        <v>25000</v>
      </c>
      <c r="V81" s="82" t="s">
        <v>40</v>
      </c>
      <c r="W81" s="88">
        <v>25000</v>
      </c>
      <c r="X81" s="82" t="s">
        <v>40</v>
      </c>
      <c r="Y81" s="89"/>
      <c r="Z81" s="82"/>
      <c r="AA81" s="220" t="s">
        <v>375</v>
      </c>
      <c r="AB81" s="241">
        <v>200000</v>
      </c>
      <c r="AC81" s="241">
        <v>250000</v>
      </c>
      <c r="AD81" s="241"/>
      <c r="AE81" s="82" t="s">
        <v>376</v>
      </c>
      <c r="AF81" s="82" t="s">
        <v>377</v>
      </c>
      <c r="AG81" s="90"/>
      <c r="AH81" s="90"/>
      <c r="AI81" s="90" t="s">
        <v>378</v>
      </c>
      <c r="AJ81" s="90"/>
      <c r="AK81" s="82"/>
      <c r="AL81" s="82" t="str" cm="1">
        <f t="array" aca="1" ref="AL81" ca="1">_xlfn.IFS(
 AND($AK81&lt;&gt;"", M81&lt;&gt;0, M81&lt;=EDATE(TODAY(),2)),"도래",
 AND($AK81&lt;&gt;"", M81&lt;&gt;0, M81&lt;=EDATE(TODAY(),3)),"예정",
 AND($AK81&lt;&gt;"", M81&lt;&gt;0, M81&lt;=EDATE(TODAY(),6)),"관심",
 TRUE,""
)</f>
        <v/>
      </c>
      <c r="AM81" s="198">
        <f t="shared" si="4"/>
        <v>15</v>
      </c>
    </row>
    <row r="82" spans="1:39" ht="18" customHeight="1">
      <c r="A82" s="81"/>
      <c r="B82" s="205" t="str">
        <f>_xlfn.LET(_xlpm.var,◆관리정보!B82,IF(_xlpm.var&lt;&gt;0,_xlpm.var,""))</f>
        <v>W하우스</v>
      </c>
      <c r="C82" s="82">
        <f>_xlfn.LET(_xlpm.var,◆관리정보!C82,IF(_xlpm.var&lt;&gt;0,_xlpm.var,""))</f>
        <v>601</v>
      </c>
      <c r="D82" s="83" t="s">
        <v>379</v>
      </c>
      <c r="E82" s="84" t="str">
        <f t="shared" si="3"/>
        <v>W하우스601</v>
      </c>
      <c r="F82" s="85">
        <v>46110</v>
      </c>
      <c r="G82" s="229"/>
      <c r="H82" s="229"/>
      <c r="I82" s="229"/>
      <c r="J82" s="229"/>
      <c r="K82" s="218"/>
      <c r="L82" s="375">
        <v>46051</v>
      </c>
      <c r="M82" s="87">
        <v>46140</v>
      </c>
      <c r="N82" s="82" t="s">
        <v>380</v>
      </c>
      <c r="O82" s="82" t="s">
        <v>381</v>
      </c>
      <c r="P82" s="241">
        <v>1950000</v>
      </c>
      <c r="Q82" s="241">
        <v>1950000</v>
      </c>
      <c r="R82" s="82"/>
      <c r="S82" s="241">
        <v>150000</v>
      </c>
      <c r="T82" s="82" t="s">
        <v>40</v>
      </c>
      <c r="U82" s="241">
        <v>30000</v>
      </c>
      <c r="V82" s="82" t="s">
        <v>40</v>
      </c>
      <c r="W82" s="88">
        <v>25000</v>
      </c>
      <c r="X82" s="82" t="s">
        <v>40</v>
      </c>
      <c r="Y82" s="89"/>
      <c r="Z82" s="82"/>
      <c r="AA82" s="220" t="s">
        <v>382</v>
      </c>
      <c r="AB82" s="241">
        <v>250000</v>
      </c>
      <c r="AC82" s="241">
        <v>200000</v>
      </c>
      <c r="AD82" s="241"/>
      <c r="AE82" s="82" t="s">
        <v>383</v>
      </c>
      <c r="AF82" s="82" t="s">
        <v>384</v>
      </c>
      <c r="AG82" s="90"/>
      <c r="AH82" s="90"/>
      <c r="AI82" s="90" t="s">
        <v>385</v>
      </c>
      <c r="AJ82" s="90"/>
      <c r="AK82" s="82"/>
      <c r="AL82" s="82" t="str" cm="1">
        <f t="array" aca="1" ref="AL82" ca="1">_xlfn.IFS(
 AND($AK82&lt;&gt;"", M82&lt;&gt;0, M82&lt;=EDATE(TODAY(),2)),"도래",
 AND($AK82&lt;&gt;"", M82&lt;&gt;0, M82&lt;=EDATE(TODAY(),3)),"예정",
 AND($AK82&lt;&gt;"", M82&lt;&gt;0, M82&lt;=EDATE(TODAY(),6)),"관심",
 TRUE,""
)</f>
        <v/>
      </c>
      <c r="AM82" s="198">
        <f t="shared" si="4"/>
        <v>29</v>
      </c>
    </row>
    <row r="83" spans="1:39" ht="18" customHeight="1">
      <c r="A83" s="81"/>
      <c r="B83" s="205" t="str">
        <f>_xlfn.LET(_xlpm.var,◆관리정보!B83,IF(_xlpm.var&lt;&gt;0,_xlpm.var,""))</f>
        <v>W하우스</v>
      </c>
      <c r="C83" s="82">
        <f>_xlfn.LET(_xlpm.var,◆관리정보!C83,IF(_xlpm.var&lt;&gt;0,_xlpm.var,""))</f>
        <v>602</v>
      </c>
      <c r="D83" s="83" t="s">
        <v>386</v>
      </c>
      <c r="E83" s="84" t="str">
        <f t="shared" si="3"/>
        <v>W하우스602</v>
      </c>
      <c r="F83" s="85">
        <v>46113</v>
      </c>
      <c r="G83" s="229"/>
      <c r="H83" s="229"/>
      <c r="I83" s="229"/>
      <c r="J83" s="229"/>
      <c r="K83" s="218"/>
      <c r="L83" s="87">
        <v>45108</v>
      </c>
      <c r="M83" s="87">
        <v>45199</v>
      </c>
      <c r="N83" s="82" t="s">
        <v>387</v>
      </c>
      <c r="O83" s="82" t="s">
        <v>388</v>
      </c>
      <c r="P83" s="241">
        <v>1600000</v>
      </c>
      <c r="Q83" s="241">
        <v>1600000</v>
      </c>
      <c r="R83" s="82"/>
      <c r="S83" s="241">
        <v>150000</v>
      </c>
      <c r="T83" s="82" t="s">
        <v>40</v>
      </c>
      <c r="U83" s="241">
        <v>25000</v>
      </c>
      <c r="V83" s="82" t="s">
        <v>40</v>
      </c>
      <c r="W83" s="88">
        <v>25000</v>
      </c>
      <c r="X83" s="82" t="s">
        <v>40</v>
      </c>
      <c r="Y83" s="89"/>
      <c r="Z83" s="82"/>
      <c r="AA83" s="220" t="s">
        <v>389</v>
      </c>
      <c r="AB83" s="241">
        <v>200000</v>
      </c>
      <c r="AC83" s="241"/>
      <c r="AD83" s="241"/>
      <c r="AE83" s="82" t="s">
        <v>313</v>
      </c>
      <c r="AF83" s="82"/>
      <c r="AG83" s="90"/>
      <c r="AH83" s="90"/>
      <c r="AI83" s="90" t="s">
        <v>390</v>
      </c>
      <c r="AJ83" s="90"/>
      <c r="AK83" s="82"/>
      <c r="AL83" s="82" t="str" cm="1">
        <f t="array" aca="1" ref="AL83" ca="1">_xlfn.IFS(
 AND($AK83&lt;&gt;"", M83&lt;&gt;0, M83&lt;=EDATE(TODAY(),2)),"도래",
 AND($AK83&lt;&gt;"", M83&lt;&gt;0, M83&lt;=EDATE(TODAY(),3)),"예정",
 AND($AK83&lt;&gt;"", M83&lt;&gt;0, M83&lt;=EDATE(TODAY(),6)),"관심",
 TRUE,""
)</f>
        <v/>
      </c>
      <c r="AM83" s="198">
        <f t="shared" si="4"/>
        <v>1</v>
      </c>
    </row>
    <row r="84" spans="1:39" ht="18" customHeight="1">
      <c r="A84" s="81"/>
      <c r="B84" s="205" t="str">
        <f>_xlfn.LET(_xlpm.var,◆관리정보!B84,IF(_xlpm.var&lt;&gt;0,_xlpm.var,""))</f>
        <v>W하우스</v>
      </c>
      <c r="C84" s="82">
        <f>_xlfn.LET(_xlpm.var,◆관리정보!C84,IF(_xlpm.var&lt;&gt;0,_xlpm.var,""))</f>
        <v>603</v>
      </c>
      <c r="D84" s="83" t="s">
        <v>391</v>
      </c>
      <c r="E84" s="84" t="str">
        <f t="shared" si="3"/>
        <v>W하우스603</v>
      </c>
      <c r="F84" s="85">
        <v>46125</v>
      </c>
      <c r="G84" s="229"/>
      <c r="H84" s="229"/>
      <c r="I84" s="229"/>
      <c r="J84" s="229"/>
      <c r="K84" s="218"/>
      <c r="L84" s="316">
        <v>46004</v>
      </c>
      <c r="M84" s="87">
        <v>46093</v>
      </c>
      <c r="N84" s="82" t="s">
        <v>392</v>
      </c>
      <c r="O84" s="82" t="s">
        <v>393</v>
      </c>
      <c r="P84" s="241">
        <v>1550000</v>
      </c>
      <c r="Q84" s="241">
        <v>1550000</v>
      </c>
      <c r="R84" s="82"/>
      <c r="S84" s="241">
        <v>150000</v>
      </c>
      <c r="T84" s="82" t="s">
        <v>40</v>
      </c>
      <c r="U84" s="241">
        <v>25000</v>
      </c>
      <c r="V84" s="82" t="s">
        <v>40</v>
      </c>
      <c r="W84" s="88">
        <v>25000</v>
      </c>
      <c r="X84" s="82" t="s">
        <v>40</v>
      </c>
      <c r="Y84" s="89"/>
      <c r="Z84" s="82"/>
      <c r="AA84" s="220"/>
      <c r="AB84" s="241">
        <v>200000</v>
      </c>
      <c r="AC84" s="241">
        <v>200000</v>
      </c>
      <c r="AD84" s="241"/>
      <c r="AE84" s="82" t="s">
        <v>41</v>
      </c>
      <c r="AF84" s="82" t="s">
        <v>394</v>
      </c>
      <c r="AG84" s="90"/>
      <c r="AH84" s="90"/>
      <c r="AI84" s="90"/>
      <c r="AJ84" s="90"/>
      <c r="AK84" s="82"/>
      <c r="AL84" s="82" t="str" cm="1">
        <f t="array" aca="1" ref="AL84" ca="1">_xlfn.IFS(
 AND($AK84&lt;&gt;"", M84&lt;&gt;0, M84&lt;=EDATE(TODAY(),2)),"도래",
 AND($AK84&lt;&gt;"", M84&lt;&gt;0, M84&lt;=EDATE(TODAY(),3)),"예정",
 AND($AK84&lt;&gt;"", M84&lt;&gt;0, M84&lt;=EDATE(TODAY(),6)),"관심",
 TRUE,""
)</f>
        <v/>
      </c>
      <c r="AM84" s="198">
        <f t="shared" si="4"/>
        <v>13</v>
      </c>
    </row>
    <row r="85" spans="1:39" ht="18" customHeight="1">
      <c r="A85" s="81"/>
      <c r="B85" s="205" t="str">
        <f>_xlfn.LET(_xlpm.var,◆관리정보!B85,IF(_xlpm.var&lt;&gt;0,_xlpm.var,""))</f>
        <v>W하우스</v>
      </c>
      <c r="C85" s="82" t="str">
        <f>_xlfn.LET(_xlpm.var,◆관리정보!C85,IF(_xlpm.var&lt;&gt;0,_xlpm.var,""))</f>
        <v>7층</v>
      </c>
      <c r="D85" s="83" t="s">
        <v>395</v>
      </c>
      <c r="E85" s="84" t="str">
        <f t="shared" si="3"/>
        <v>W하우스7층</v>
      </c>
      <c r="F85" s="85">
        <v>46126</v>
      </c>
      <c r="G85" s="229"/>
      <c r="H85" s="229"/>
      <c r="I85" s="229"/>
      <c r="J85" s="229"/>
      <c r="K85" s="218"/>
      <c r="L85" s="316">
        <v>46005</v>
      </c>
      <c r="M85" s="87">
        <v>46094</v>
      </c>
      <c r="N85" s="82" t="s">
        <v>396</v>
      </c>
      <c r="O85" s="82" t="s">
        <v>397</v>
      </c>
      <c r="P85" s="241">
        <v>800000</v>
      </c>
      <c r="Q85" s="241">
        <v>800000</v>
      </c>
      <c r="R85" s="82"/>
      <c r="S85" s="241">
        <v>80000</v>
      </c>
      <c r="T85" s="82" t="s">
        <v>40</v>
      </c>
      <c r="U85" s="241">
        <v>25000</v>
      </c>
      <c r="V85" s="82" t="s">
        <v>40</v>
      </c>
      <c r="W85" s="88">
        <v>25000</v>
      </c>
      <c r="X85" s="82" t="s">
        <v>40</v>
      </c>
      <c r="Y85" s="89"/>
      <c r="Z85" s="82"/>
      <c r="AA85" s="220"/>
      <c r="AB85" s="241">
        <v>180000</v>
      </c>
      <c r="AC85" s="241">
        <v>150000</v>
      </c>
      <c r="AD85" s="241"/>
      <c r="AE85" s="82" t="s">
        <v>398</v>
      </c>
      <c r="AF85" s="82" t="s">
        <v>399</v>
      </c>
      <c r="AG85" s="90"/>
      <c r="AH85" s="90"/>
      <c r="AI85" s="90"/>
      <c r="AJ85" s="90"/>
      <c r="AK85" s="82"/>
      <c r="AL85" s="82" t="str" cm="1">
        <f t="array" aca="1" ref="AL85" ca="1">_xlfn.IFS(
 AND($AK85&lt;&gt;"", M85&lt;&gt;0, M85&lt;=EDATE(TODAY(),2)),"도래",
 AND($AK85&lt;&gt;"", M85&lt;&gt;0, M85&lt;=EDATE(TODAY(),3)),"예정",
 AND($AK85&lt;&gt;"", M85&lt;&gt;0, M85&lt;=EDATE(TODAY(),6)),"관심",
 TRUE,""
)</f>
        <v/>
      </c>
      <c r="AM85" s="198">
        <f t="shared" si="4"/>
        <v>14</v>
      </c>
    </row>
    <row r="86" spans="1:39" ht="18" customHeight="1">
      <c r="A86" s="81"/>
      <c r="B86" s="205" t="str">
        <f>_xlfn.LET(_xlpm.var,◆관리정보!B86,IF(_xlpm.var&lt;&gt;0,_xlpm.var,""))</f>
        <v>포유빌</v>
      </c>
      <c r="C86" s="82" t="str">
        <f>_xlfn.LET(_xlpm.var,◆관리정보!C86,IF(_xlpm.var&lt;&gt;0,_xlpm.var,""))</f>
        <v>창고</v>
      </c>
      <c r="D86" s="83" t="s">
        <v>400</v>
      </c>
      <c r="E86" s="84" t="str">
        <f t="shared" si="3"/>
        <v>포유빌창고</v>
      </c>
      <c r="F86" s="85">
        <v>46106</v>
      </c>
      <c r="G86" s="229"/>
      <c r="H86" s="229"/>
      <c r="I86" s="229"/>
      <c r="J86" s="229">
        <v>150000</v>
      </c>
      <c r="K86" s="218"/>
      <c r="L86" s="87">
        <v>44982</v>
      </c>
      <c r="M86" s="87">
        <v>45346</v>
      </c>
      <c r="N86" s="82" t="s">
        <v>401</v>
      </c>
      <c r="O86" s="82" t="s">
        <v>402</v>
      </c>
      <c r="P86" s="241">
        <v>500000</v>
      </c>
      <c r="Q86" s="241">
        <v>120000</v>
      </c>
      <c r="R86" s="82"/>
      <c r="S86" s="241">
        <v>30000</v>
      </c>
      <c r="T86" s="82" t="s">
        <v>40</v>
      </c>
      <c r="U86" s="241"/>
      <c r="V86" s="82"/>
      <c r="W86" s="88"/>
      <c r="X86" s="82"/>
      <c r="Y86" s="89"/>
      <c r="Z86" s="82"/>
      <c r="AA86" s="220"/>
      <c r="AB86" s="241"/>
      <c r="AC86" s="241">
        <v>150000</v>
      </c>
      <c r="AD86" s="241"/>
      <c r="AE86" s="82" t="s">
        <v>403</v>
      </c>
      <c r="AF86" s="82" t="s">
        <v>404</v>
      </c>
      <c r="AG86" s="90"/>
      <c r="AH86" s="90"/>
      <c r="AI86" s="90"/>
      <c r="AJ86" s="90"/>
      <c r="AK86" s="82"/>
      <c r="AL86" s="82" t="str" cm="1">
        <f t="array" aca="1" ref="AL86" ca="1">_xlfn.IFS(
 AND($AK86&lt;&gt;"", M86&lt;&gt;0, M86&lt;=EDATE(TODAY(),2)),"도래",
 AND($AK86&lt;&gt;"", M86&lt;&gt;0, M86&lt;=EDATE(TODAY(),3)),"예정",
 AND($AK86&lt;&gt;"", M86&lt;&gt;0, M86&lt;=EDATE(TODAY(),6)),"관심",
 TRUE,""
)</f>
        <v/>
      </c>
      <c r="AM86" s="198">
        <f t="shared" si="4"/>
        <v>25</v>
      </c>
    </row>
    <row r="87" spans="1:39" ht="18" customHeight="1">
      <c r="A87" s="81"/>
      <c r="B87" s="205" t="str">
        <f>_xlfn.LET(_xlpm.var,◆관리정보!B87,IF(_xlpm.var&lt;&gt;0,_xlpm.var,""))</f>
        <v>포유빌</v>
      </c>
      <c r="C87" s="82">
        <f>_xlfn.LET(_xlpm.var,◆관리정보!C87,IF(_xlpm.var&lt;&gt;0,_xlpm.var,""))</f>
        <v>101</v>
      </c>
      <c r="D87" s="83" t="s">
        <v>405</v>
      </c>
      <c r="E87" s="84" t="str">
        <f t="shared" si="3"/>
        <v>포유빌101</v>
      </c>
      <c r="F87" s="85">
        <v>46123</v>
      </c>
      <c r="G87" s="229"/>
      <c r="H87" s="229"/>
      <c r="I87" s="229"/>
      <c r="J87" s="229">
        <f>1115560-1000000-115560</f>
        <v>0</v>
      </c>
      <c r="K87" s="318"/>
      <c r="L87" s="87">
        <v>44176</v>
      </c>
      <c r="M87" s="87">
        <v>44357</v>
      </c>
      <c r="N87" s="82" t="s">
        <v>406</v>
      </c>
      <c r="O87" s="82" t="s">
        <v>407</v>
      </c>
      <c r="P87" s="241">
        <v>800000</v>
      </c>
      <c r="Q87" s="241">
        <v>800000</v>
      </c>
      <c r="R87" s="82"/>
      <c r="S87" s="241">
        <v>80000</v>
      </c>
      <c r="T87" s="82" t="s">
        <v>40</v>
      </c>
      <c r="U87" s="241">
        <v>15000</v>
      </c>
      <c r="V87" s="82" t="s">
        <v>40</v>
      </c>
      <c r="W87" s="88">
        <v>25000</v>
      </c>
      <c r="X87" s="82" t="s">
        <v>40</v>
      </c>
      <c r="Y87" s="89"/>
      <c r="Z87" s="82"/>
      <c r="AA87" s="220"/>
      <c r="AB87" s="241">
        <v>100000</v>
      </c>
      <c r="AC87" s="241">
        <v>200000</v>
      </c>
      <c r="AD87" s="241">
        <v>50000</v>
      </c>
      <c r="AE87" s="82" t="s">
        <v>376</v>
      </c>
      <c r="AF87" s="82" t="s">
        <v>408</v>
      </c>
      <c r="AG87" s="90"/>
      <c r="AH87" s="90"/>
      <c r="AI87" s="90" t="s">
        <v>409</v>
      </c>
      <c r="AJ87" s="90"/>
      <c r="AK87" s="82"/>
      <c r="AL87" s="82" t="str" cm="1">
        <f t="array" aca="1" ref="AL87" ca="1">_xlfn.IFS(
 AND($AK87&lt;&gt;"", M87&lt;&gt;0, M87&lt;=EDATE(TODAY(),2)),"도래",
 AND($AK87&lt;&gt;"", M87&lt;&gt;0, M87&lt;=EDATE(TODAY(),3)),"예정",
 AND($AK87&lt;&gt;"", M87&lt;&gt;0, M87&lt;=EDATE(TODAY(),6)),"관심",
 TRUE,""
)</f>
        <v/>
      </c>
      <c r="AM87" s="198">
        <f t="shared" si="4"/>
        <v>11</v>
      </c>
    </row>
    <row r="88" spans="1:39" ht="18" customHeight="1">
      <c r="A88" s="81"/>
      <c r="B88" s="205" t="str">
        <f>_xlfn.LET(_xlpm.var,◆관리정보!B88,IF(_xlpm.var&lt;&gt;0,_xlpm.var,""))</f>
        <v>포유빌</v>
      </c>
      <c r="C88" s="82">
        <f>_xlfn.LET(_xlpm.var,◆관리정보!C88,IF(_xlpm.var&lt;&gt;0,_xlpm.var,""))</f>
        <v>201</v>
      </c>
      <c r="D88" s="83" t="s">
        <v>410</v>
      </c>
      <c r="E88" s="84" t="str">
        <f t="shared" si="3"/>
        <v>포유빌201</v>
      </c>
      <c r="F88" s="85">
        <v>46110</v>
      </c>
      <c r="G88" s="229"/>
      <c r="H88" s="229"/>
      <c r="I88" s="229"/>
      <c r="J88" s="229"/>
      <c r="K88" s="218"/>
      <c r="L88" s="87">
        <v>46051</v>
      </c>
      <c r="M88" s="87">
        <v>46140</v>
      </c>
      <c r="N88" s="82" t="s">
        <v>411</v>
      </c>
      <c r="O88" s="265" t="s">
        <v>412</v>
      </c>
      <c r="P88" s="241">
        <v>1200000</v>
      </c>
      <c r="Q88" s="241">
        <v>1150000</v>
      </c>
      <c r="R88" s="82"/>
      <c r="S88" s="241">
        <v>80000</v>
      </c>
      <c r="T88" s="82" t="s">
        <v>40</v>
      </c>
      <c r="U88" s="241">
        <v>25000</v>
      </c>
      <c r="V88" s="82" t="s">
        <v>40</v>
      </c>
      <c r="W88" s="88">
        <v>25000</v>
      </c>
      <c r="X88" s="82" t="s">
        <v>40</v>
      </c>
      <c r="Y88" s="89"/>
      <c r="Z88" s="82"/>
      <c r="AA88" s="220"/>
      <c r="AB88" s="241">
        <v>180000</v>
      </c>
      <c r="AC88" s="241">
        <v>165000</v>
      </c>
      <c r="AD88" s="241"/>
      <c r="AE88" s="82" t="s">
        <v>108</v>
      </c>
      <c r="AF88" s="82" t="s">
        <v>413</v>
      </c>
      <c r="AG88" s="90"/>
      <c r="AH88" s="90"/>
      <c r="AI88" s="90" t="s">
        <v>414</v>
      </c>
      <c r="AJ88" s="90"/>
      <c r="AK88" s="82"/>
      <c r="AL88" s="82" t="str" cm="1">
        <f t="array" aca="1" ref="AL88" ca="1">_xlfn.IFS(
 AND($AK88&lt;&gt;"", M88&lt;&gt;0, M88&lt;=EDATE(TODAY(),2)),"도래",
 AND($AK88&lt;&gt;"", M88&lt;&gt;0, M88&lt;=EDATE(TODAY(),3)),"예정",
 AND($AK88&lt;&gt;"", M88&lt;&gt;0, M88&lt;=EDATE(TODAY(),6)),"관심",
 TRUE,""
)</f>
        <v/>
      </c>
      <c r="AM88" s="198">
        <f t="shared" si="4"/>
        <v>29</v>
      </c>
    </row>
    <row r="89" spans="1:39" ht="18" customHeight="1">
      <c r="A89" s="81"/>
      <c r="B89" s="205" t="str">
        <f>_xlfn.LET(_xlpm.var,◆관리정보!B89,IF(_xlpm.var&lt;&gt;0,_xlpm.var,""))</f>
        <v>포유빌</v>
      </c>
      <c r="C89" s="82">
        <f>_xlfn.LET(_xlpm.var,◆관리정보!C89,IF(_xlpm.var&lt;&gt;0,_xlpm.var,""))</f>
        <v>202</v>
      </c>
      <c r="D89" s="83" t="s">
        <v>415</v>
      </c>
      <c r="E89" s="84" t="str">
        <f t="shared" si="3"/>
        <v>포유빌202</v>
      </c>
      <c r="F89" s="85">
        <v>46125</v>
      </c>
      <c r="G89" s="229"/>
      <c r="H89" s="229"/>
      <c r="I89" s="229"/>
      <c r="J89" s="229"/>
      <c r="K89" s="218"/>
      <c r="L89" s="87">
        <v>45913</v>
      </c>
      <c r="M89" s="87">
        <v>46003</v>
      </c>
      <c r="N89" s="82" t="s">
        <v>416</v>
      </c>
      <c r="O89" s="82" t="s">
        <v>417</v>
      </c>
      <c r="P89" s="241">
        <v>1100000</v>
      </c>
      <c r="Q89" s="241">
        <v>1100000</v>
      </c>
      <c r="R89" s="82"/>
      <c r="S89" s="241">
        <v>80000</v>
      </c>
      <c r="T89" s="82" t="s">
        <v>40</v>
      </c>
      <c r="U89" s="241">
        <v>25000</v>
      </c>
      <c r="V89" s="82" t="s">
        <v>40</v>
      </c>
      <c r="W89" s="88">
        <v>25000</v>
      </c>
      <c r="X89" s="82" t="s">
        <v>40</v>
      </c>
      <c r="Y89" s="89"/>
      <c r="Z89" s="82"/>
      <c r="AA89" s="220"/>
      <c r="AB89" s="241">
        <v>180000</v>
      </c>
      <c r="AC89" s="241">
        <v>165000</v>
      </c>
      <c r="AD89" s="241"/>
      <c r="AE89" s="82" t="s">
        <v>74</v>
      </c>
      <c r="AF89" s="82" t="s">
        <v>418</v>
      </c>
      <c r="AG89" s="90"/>
      <c r="AH89" s="90"/>
      <c r="AI89" s="90"/>
      <c r="AJ89" s="90"/>
      <c r="AK89" s="82"/>
      <c r="AL89" s="82" t="str" cm="1">
        <f t="array" aca="1" ref="AL89" ca="1">_xlfn.IFS(
 AND($AK89&lt;&gt;"", M89&lt;&gt;0, M89&lt;=EDATE(TODAY(),2)),"도래",
 AND($AK89&lt;&gt;"", M89&lt;&gt;0, M89&lt;=EDATE(TODAY(),3)),"예정",
 AND($AK89&lt;&gt;"", M89&lt;&gt;0, M89&lt;=EDATE(TODAY(),6)),"관심",
 TRUE,""
)</f>
        <v/>
      </c>
      <c r="AM89" s="198">
        <f t="shared" si="4"/>
        <v>13</v>
      </c>
    </row>
    <row r="90" spans="1:39" ht="18" customHeight="1">
      <c r="A90" s="81"/>
      <c r="B90" s="205" t="str">
        <f>_xlfn.LET(_xlpm.var,◆관리정보!B90,IF(_xlpm.var&lt;&gt;0,_xlpm.var,""))</f>
        <v>포유빌</v>
      </c>
      <c r="C90" s="82">
        <f>_xlfn.LET(_xlpm.var,◆관리정보!C90,IF(_xlpm.var&lt;&gt;0,_xlpm.var,""))</f>
        <v>301</v>
      </c>
      <c r="D90" s="83" t="s">
        <v>419</v>
      </c>
      <c r="E90" s="84" t="str">
        <f t="shared" si="3"/>
        <v>포유빌301</v>
      </c>
      <c r="F90" s="85">
        <v>46107</v>
      </c>
      <c r="G90" s="229"/>
      <c r="H90" s="229"/>
      <c r="I90" s="229"/>
      <c r="J90" s="229"/>
      <c r="K90" s="218"/>
      <c r="L90" s="87">
        <v>45742</v>
      </c>
      <c r="M90" s="87">
        <v>45833</v>
      </c>
      <c r="N90" s="82" t="s">
        <v>420</v>
      </c>
      <c r="O90" s="82" t="s">
        <v>421</v>
      </c>
      <c r="P90" s="241">
        <v>1300000</v>
      </c>
      <c r="Q90" s="241">
        <v>1300000</v>
      </c>
      <c r="R90" s="82"/>
      <c r="S90" s="241">
        <v>80000</v>
      </c>
      <c r="T90" s="82" t="s">
        <v>40</v>
      </c>
      <c r="U90" s="241">
        <v>25000</v>
      </c>
      <c r="V90" s="82" t="s">
        <v>40</v>
      </c>
      <c r="W90" s="88">
        <v>25000</v>
      </c>
      <c r="X90" s="82" t="s">
        <v>40</v>
      </c>
      <c r="Y90" s="89"/>
      <c r="Z90" s="82"/>
      <c r="AA90" s="220" t="s">
        <v>422</v>
      </c>
      <c r="AB90" s="241">
        <v>180000</v>
      </c>
      <c r="AC90" s="241">
        <v>165000</v>
      </c>
      <c r="AD90" s="241"/>
      <c r="AE90" s="82" t="s">
        <v>182</v>
      </c>
      <c r="AF90" s="82" t="s">
        <v>423</v>
      </c>
      <c r="AG90" s="90"/>
      <c r="AH90" s="90"/>
      <c r="AI90" s="90" t="s">
        <v>424</v>
      </c>
      <c r="AJ90" s="90"/>
      <c r="AK90" s="82"/>
      <c r="AL90" s="82" t="str" cm="1">
        <f t="array" aca="1" ref="AL90" ca="1">_xlfn.IFS(
 AND($AK90&lt;&gt;"", M90&lt;&gt;0, M90&lt;=EDATE(TODAY(),2)),"도래",
 AND($AK90&lt;&gt;"", M90&lt;&gt;0, M90&lt;=EDATE(TODAY(),3)),"예정",
 AND($AK90&lt;&gt;"", M90&lt;&gt;0, M90&lt;=EDATE(TODAY(),6)),"관심",
 TRUE,""
)</f>
        <v/>
      </c>
      <c r="AM90" s="198">
        <f t="shared" si="4"/>
        <v>26</v>
      </c>
    </row>
    <row r="91" spans="1:39" ht="18" customHeight="1">
      <c r="A91" s="81"/>
      <c r="B91" s="205" t="str">
        <f>_xlfn.LET(_xlpm.var,◆관리정보!B91,IF(_xlpm.var&lt;&gt;0,_xlpm.var,""))</f>
        <v>포유빌</v>
      </c>
      <c r="C91" s="82">
        <f>_xlfn.LET(_xlpm.var,◆관리정보!C91,IF(_xlpm.var&lt;&gt;0,_xlpm.var,""))</f>
        <v>302</v>
      </c>
      <c r="D91" s="83" t="s">
        <v>425</v>
      </c>
      <c r="E91" s="84" t="str">
        <f t="shared" si="3"/>
        <v>포유빌302</v>
      </c>
      <c r="F91" s="85">
        <v>46101</v>
      </c>
      <c r="G91" s="229"/>
      <c r="H91" s="229"/>
      <c r="I91" s="229"/>
      <c r="J91" s="229">
        <v>1946230</v>
      </c>
      <c r="K91" s="218"/>
      <c r="L91" s="87">
        <v>44854</v>
      </c>
      <c r="M91" s="87">
        <v>44945</v>
      </c>
      <c r="N91" s="82" t="s">
        <v>426</v>
      </c>
      <c r="O91" s="82" t="s">
        <v>427</v>
      </c>
      <c r="P91" s="241">
        <v>1600000</v>
      </c>
      <c r="Q91" s="241">
        <v>1600000</v>
      </c>
      <c r="R91" s="82"/>
      <c r="S91" s="241">
        <v>80000</v>
      </c>
      <c r="T91" s="82" t="s">
        <v>40</v>
      </c>
      <c r="U91" s="241">
        <v>20000</v>
      </c>
      <c r="V91" s="82" t="s">
        <v>40</v>
      </c>
      <c r="W91" s="88">
        <v>25000</v>
      </c>
      <c r="X91" s="82" t="s">
        <v>40</v>
      </c>
      <c r="Y91" s="89"/>
      <c r="Z91" s="82"/>
      <c r="AA91" s="220"/>
      <c r="AB91" s="241">
        <v>150000</v>
      </c>
      <c r="AC91" s="241">
        <v>220000</v>
      </c>
      <c r="AD91" s="241"/>
      <c r="AE91" s="82" t="s">
        <v>63</v>
      </c>
      <c r="AF91" s="82" t="s">
        <v>64</v>
      </c>
      <c r="AG91" s="90"/>
      <c r="AH91" s="90"/>
      <c r="AI91" s="90" t="s">
        <v>428</v>
      </c>
      <c r="AJ91" s="90"/>
      <c r="AK91" s="82"/>
      <c r="AL91" s="82" t="str" cm="1">
        <f t="array" aca="1" ref="AL91" ca="1">_xlfn.IFS(
 AND($AK91&lt;&gt;"", M91&lt;&gt;0, M91&lt;=EDATE(TODAY(),2)),"도래",
 AND($AK91&lt;&gt;"", M91&lt;&gt;0, M91&lt;=EDATE(TODAY(),3)),"예정",
 AND($AK91&lt;&gt;"", M91&lt;&gt;0, M91&lt;=EDATE(TODAY(),6)),"관심",
 TRUE,""
)</f>
        <v/>
      </c>
      <c r="AM91" s="198">
        <f t="shared" si="4"/>
        <v>20</v>
      </c>
    </row>
    <row r="92" spans="1:39" ht="18" customHeight="1">
      <c r="A92" s="81"/>
      <c r="B92" s="205" t="str">
        <f>_xlfn.LET(_xlpm.var,◆관리정보!B92,IF(_xlpm.var&lt;&gt;0,_xlpm.var,""))</f>
        <v>포유빌</v>
      </c>
      <c r="C92" s="82">
        <f>_xlfn.LET(_xlpm.var,◆관리정보!C92,IF(_xlpm.var&lt;&gt;0,_xlpm.var,""))</f>
        <v>401</v>
      </c>
      <c r="D92" s="83" t="s">
        <v>429</v>
      </c>
      <c r="E92" s="84" t="str">
        <f t="shared" si="3"/>
        <v>포유빌401</v>
      </c>
      <c r="F92" s="85">
        <v>46116</v>
      </c>
      <c r="G92" s="229"/>
      <c r="H92" s="229"/>
      <c r="I92" s="229"/>
      <c r="J92" s="229"/>
      <c r="K92" s="218"/>
      <c r="L92" s="87">
        <v>44259</v>
      </c>
      <c r="M92" s="87">
        <v>44350</v>
      </c>
      <c r="N92" s="82" t="s">
        <v>430</v>
      </c>
      <c r="O92" s="82" t="s">
        <v>431</v>
      </c>
      <c r="P92" s="241">
        <v>900000</v>
      </c>
      <c r="Q92" s="241">
        <v>900000</v>
      </c>
      <c r="R92" s="82"/>
      <c r="S92" s="241">
        <v>80000</v>
      </c>
      <c r="T92" s="82" t="s">
        <v>40</v>
      </c>
      <c r="U92" s="241">
        <v>15000</v>
      </c>
      <c r="V92" s="82" t="s">
        <v>40</v>
      </c>
      <c r="W92" s="88">
        <v>25000</v>
      </c>
      <c r="X92" s="82" t="s">
        <v>40</v>
      </c>
      <c r="Y92" s="89"/>
      <c r="Z92" s="82"/>
      <c r="AA92" s="220"/>
      <c r="AB92" s="241">
        <v>100000</v>
      </c>
      <c r="AC92" s="241">
        <v>150000</v>
      </c>
      <c r="AD92" s="241"/>
      <c r="AE92" s="82" t="s">
        <v>63</v>
      </c>
      <c r="AF92" s="82" t="s">
        <v>432</v>
      </c>
      <c r="AG92" s="90"/>
      <c r="AH92" s="90"/>
      <c r="AI92" s="90"/>
      <c r="AJ92" s="90"/>
      <c r="AK92" s="82"/>
      <c r="AL92" s="82" t="str" cm="1">
        <f t="array" aca="1" ref="AL92" ca="1">_xlfn.IFS(
 AND($AK92&lt;&gt;"", M92&lt;&gt;0, M92&lt;=EDATE(TODAY(),2)),"도래",
 AND($AK92&lt;&gt;"", M92&lt;&gt;0, M92&lt;=EDATE(TODAY(),3)),"예정",
 AND($AK92&lt;&gt;"", M92&lt;&gt;0, M92&lt;=EDATE(TODAY(),6)),"관심",
 TRUE,""
)</f>
        <v/>
      </c>
      <c r="AM92" s="198">
        <f t="shared" si="4"/>
        <v>4</v>
      </c>
    </row>
    <row r="93" spans="1:39" ht="18" customHeight="1">
      <c r="A93" s="81"/>
      <c r="B93" s="205" t="str">
        <f>_xlfn.LET(_xlpm.var,◆관리정보!B93,IF(_xlpm.var&lt;&gt;0,_xlpm.var,""))</f>
        <v>포유빌</v>
      </c>
      <c r="C93" s="82">
        <f>_xlfn.LET(_xlpm.var,◆관리정보!C93,IF(_xlpm.var&lt;&gt;0,_xlpm.var,""))</f>
        <v>402</v>
      </c>
      <c r="D93" s="83" t="s">
        <v>433</v>
      </c>
      <c r="E93" s="84" t="str">
        <f t="shared" si="3"/>
        <v>포유빌402</v>
      </c>
      <c r="F93" s="85">
        <v>46131</v>
      </c>
      <c r="G93" s="229"/>
      <c r="H93" s="229"/>
      <c r="I93" s="229"/>
      <c r="J93" s="229"/>
      <c r="K93" s="218"/>
      <c r="L93" s="87">
        <v>44062</v>
      </c>
      <c r="M93" s="87">
        <v>44153</v>
      </c>
      <c r="N93" s="82" t="s">
        <v>434</v>
      </c>
      <c r="O93" s="82" t="s">
        <v>435</v>
      </c>
      <c r="P93" s="241">
        <v>950000</v>
      </c>
      <c r="Q93" s="241">
        <v>950000</v>
      </c>
      <c r="R93" s="82"/>
      <c r="S93" s="241">
        <v>70000</v>
      </c>
      <c r="T93" s="82" t="s">
        <v>40</v>
      </c>
      <c r="U93" s="241">
        <v>15000</v>
      </c>
      <c r="V93" s="82" t="s">
        <v>40</v>
      </c>
      <c r="W93" s="88">
        <v>25000</v>
      </c>
      <c r="X93" s="82" t="s">
        <v>40</v>
      </c>
      <c r="Y93" s="89"/>
      <c r="Z93" s="82"/>
      <c r="AA93" s="220" t="s">
        <v>436</v>
      </c>
      <c r="AB93" s="241">
        <v>100000</v>
      </c>
      <c r="AC93" s="241">
        <v>150000</v>
      </c>
      <c r="AD93" s="241">
        <v>50000</v>
      </c>
      <c r="AE93" s="82" t="s">
        <v>63</v>
      </c>
      <c r="AF93" s="82" t="s">
        <v>437</v>
      </c>
      <c r="AG93" s="90"/>
      <c r="AH93" s="90"/>
      <c r="AI93" s="90"/>
      <c r="AJ93" s="90"/>
      <c r="AK93" s="82"/>
      <c r="AL93" s="82" t="str" cm="1">
        <f t="array" aca="1" ref="AL93" ca="1">_xlfn.IFS(
 AND($AK93&lt;&gt;"", M93&lt;&gt;0, M93&lt;=EDATE(TODAY(),2)),"도래",
 AND($AK93&lt;&gt;"", M93&lt;&gt;0, M93&lt;=EDATE(TODAY(),3)),"예정",
 AND($AK93&lt;&gt;"", M93&lt;&gt;0, M93&lt;=EDATE(TODAY(),6)),"관심",
 TRUE,""
)</f>
        <v/>
      </c>
      <c r="AM93" s="198">
        <f t="shared" si="4"/>
        <v>19</v>
      </c>
    </row>
    <row r="94" spans="1:39" ht="18" customHeight="1">
      <c r="A94" s="81"/>
      <c r="B94" s="205" t="str">
        <f>_xlfn.LET(_xlpm.var,◆관리정보!B94,IF(_xlpm.var&lt;&gt;0,_xlpm.var,""))</f>
        <v>포유빌</v>
      </c>
      <c r="C94" s="82">
        <f>_xlfn.LET(_xlpm.var,◆관리정보!C94,IF(_xlpm.var&lt;&gt;0,_xlpm.var,""))</f>
        <v>403</v>
      </c>
      <c r="D94" s="83" t="s">
        <v>438</v>
      </c>
      <c r="E94" s="84" t="str">
        <f t="shared" si="3"/>
        <v>포유빌403</v>
      </c>
      <c r="F94" s="85">
        <v>46101</v>
      </c>
      <c r="G94" s="229"/>
      <c r="H94" s="229"/>
      <c r="I94" s="229"/>
      <c r="J94" s="229">
        <v>1430170</v>
      </c>
      <c r="K94" s="218"/>
      <c r="L94" s="87">
        <v>44124</v>
      </c>
      <c r="M94" s="87">
        <v>44215</v>
      </c>
      <c r="N94" s="82" t="s">
        <v>439</v>
      </c>
      <c r="O94" s="82" t="s">
        <v>440</v>
      </c>
      <c r="P94" s="241">
        <v>1100000</v>
      </c>
      <c r="Q94" s="241">
        <v>1100000</v>
      </c>
      <c r="R94" s="82"/>
      <c r="S94" s="241">
        <v>80000</v>
      </c>
      <c r="T94" s="82" t="s">
        <v>40</v>
      </c>
      <c r="U94" s="241">
        <v>15000</v>
      </c>
      <c r="V94" s="82" t="s">
        <v>40</v>
      </c>
      <c r="W94" s="88">
        <v>25000</v>
      </c>
      <c r="X94" s="82" t="s">
        <v>40</v>
      </c>
      <c r="Y94" s="89"/>
      <c r="Z94" s="82"/>
      <c r="AA94" s="220"/>
      <c r="AB94" s="241">
        <v>150000</v>
      </c>
      <c r="AC94" s="241">
        <v>150000</v>
      </c>
      <c r="AD94" s="241">
        <v>50000</v>
      </c>
      <c r="AE94" s="82" t="s">
        <v>376</v>
      </c>
      <c r="AF94" s="82" t="s">
        <v>441</v>
      </c>
      <c r="AG94" s="90"/>
      <c r="AH94" s="90"/>
      <c r="AI94" s="90"/>
      <c r="AJ94" s="90"/>
      <c r="AK94" s="82"/>
      <c r="AL94" s="82" t="str" cm="1">
        <f t="array" aca="1" ref="AL94" ca="1">_xlfn.IFS(
 AND($AK94&lt;&gt;"", M94&lt;&gt;0, M94&lt;=EDATE(TODAY(),2)),"도래",
 AND($AK94&lt;&gt;"", M94&lt;&gt;0, M94&lt;=EDATE(TODAY(),3)),"예정",
 AND($AK94&lt;&gt;"", M94&lt;&gt;0, M94&lt;=EDATE(TODAY(),6)),"관심",
 TRUE,""
)</f>
        <v/>
      </c>
      <c r="AM94" s="198">
        <f t="shared" si="4"/>
        <v>20</v>
      </c>
    </row>
    <row r="95" spans="1:39" ht="18" customHeight="1">
      <c r="A95" s="81"/>
      <c r="B95" s="205" t="str">
        <f>_xlfn.LET(_xlpm.var,◆관리정보!B95,IF(_xlpm.var&lt;&gt;0,_xlpm.var,""))</f>
        <v>포유빌</v>
      </c>
      <c r="C95" s="82">
        <f>_xlfn.LET(_xlpm.var,◆관리정보!C95,IF(_xlpm.var&lt;&gt;0,_xlpm.var,""))</f>
        <v>501</v>
      </c>
      <c r="D95" s="83" t="s">
        <v>442</v>
      </c>
      <c r="E95" s="84" t="str">
        <f t="shared" si="3"/>
        <v>포유빌501</v>
      </c>
      <c r="F95" s="85">
        <v>46119</v>
      </c>
      <c r="G95" s="229"/>
      <c r="H95" s="229"/>
      <c r="I95" s="229"/>
      <c r="J95" s="229"/>
      <c r="K95" s="218"/>
      <c r="L95" s="87">
        <v>45845</v>
      </c>
      <c r="M95" s="87">
        <v>45936</v>
      </c>
      <c r="N95" s="82" t="s">
        <v>443</v>
      </c>
      <c r="O95" s="82" t="s">
        <v>444</v>
      </c>
      <c r="P95" s="241">
        <v>1250000</v>
      </c>
      <c r="Q95" s="241">
        <v>1250000</v>
      </c>
      <c r="R95" s="82"/>
      <c r="S95" s="241">
        <v>80000</v>
      </c>
      <c r="T95" s="82" t="s">
        <v>40</v>
      </c>
      <c r="U95" s="241">
        <v>25000</v>
      </c>
      <c r="V95" s="82" t="s">
        <v>40</v>
      </c>
      <c r="W95" s="88">
        <v>25000</v>
      </c>
      <c r="X95" s="82" t="s">
        <v>40</v>
      </c>
      <c r="Y95" s="89"/>
      <c r="Z95" s="82"/>
      <c r="AA95" s="220"/>
      <c r="AB95" s="241">
        <v>180000</v>
      </c>
      <c r="AC95" s="241">
        <v>165000</v>
      </c>
      <c r="AD95" s="241"/>
      <c r="AE95" s="82" t="s">
        <v>445</v>
      </c>
      <c r="AF95" s="82" t="s">
        <v>343</v>
      </c>
      <c r="AG95" s="90"/>
      <c r="AH95" s="90"/>
      <c r="AI95" s="90" t="s">
        <v>446</v>
      </c>
      <c r="AJ95" s="90"/>
      <c r="AK95" s="82"/>
      <c r="AL95" s="82" t="str" cm="1">
        <f t="array" aca="1" ref="AL95" ca="1">_xlfn.IFS(
 AND($AK95&lt;&gt;"", M95&lt;&gt;0, M95&lt;=EDATE(TODAY(),2)),"도래",
 AND($AK95&lt;&gt;"", M95&lt;&gt;0, M95&lt;=EDATE(TODAY(),3)),"예정",
 AND($AK95&lt;&gt;"", M95&lt;&gt;0, M95&lt;=EDATE(TODAY(),6)),"관심",
 TRUE,""
)</f>
        <v/>
      </c>
      <c r="AM95" s="198">
        <f t="shared" si="4"/>
        <v>7</v>
      </c>
    </row>
    <row r="96" spans="1:39" ht="18" customHeight="1">
      <c r="A96" s="81"/>
      <c r="B96" s="205" t="str">
        <f>_xlfn.LET(_xlpm.var,◆관리정보!B96,IF(_xlpm.var&lt;&gt;0,_xlpm.var,""))</f>
        <v>미래홈</v>
      </c>
      <c r="C96" s="82">
        <f>_xlfn.LET(_xlpm.var,◆관리정보!C96,IF(_xlpm.var&lt;&gt;0,_xlpm.var,""))</f>
        <v>101</v>
      </c>
      <c r="D96" s="83" t="s">
        <v>447</v>
      </c>
      <c r="E96" s="84" t="str">
        <f t="shared" si="3"/>
        <v>미래홈101</v>
      </c>
      <c r="F96" s="85">
        <v>46122</v>
      </c>
      <c r="G96" s="229"/>
      <c r="H96" s="229"/>
      <c r="I96" s="229"/>
      <c r="J96" s="229"/>
      <c r="K96" s="318"/>
      <c r="L96" s="87">
        <v>45879</v>
      </c>
      <c r="M96" s="87">
        <v>46062</v>
      </c>
      <c r="N96" s="82" t="s">
        <v>448</v>
      </c>
      <c r="O96" s="82" t="s">
        <v>449</v>
      </c>
      <c r="P96" s="241">
        <v>500000</v>
      </c>
      <c r="Q96" s="241">
        <v>300000</v>
      </c>
      <c r="R96" s="82"/>
      <c r="S96" s="241">
        <v>70000</v>
      </c>
      <c r="T96" s="82" t="s">
        <v>40</v>
      </c>
      <c r="U96" s="241"/>
      <c r="V96" s="82"/>
      <c r="W96" s="88"/>
      <c r="X96" s="82"/>
      <c r="Y96" s="89"/>
      <c r="Z96" s="82"/>
      <c r="AA96" s="220"/>
      <c r="AB96" s="241">
        <v>80000</v>
      </c>
      <c r="AC96" s="241">
        <v>165000</v>
      </c>
      <c r="AD96" s="241"/>
      <c r="AE96" s="82" t="s">
        <v>450</v>
      </c>
      <c r="AF96" s="82" t="s">
        <v>451</v>
      </c>
      <c r="AG96" s="90"/>
      <c r="AH96" s="90"/>
      <c r="AI96" s="90" t="s">
        <v>452</v>
      </c>
      <c r="AJ96" s="90"/>
      <c r="AK96" s="82"/>
      <c r="AL96" s="82" t="str" cm="1">
        <f t="array" aca="1" ref="AL96" ca="1">_xlfn.IFS(
 AND($AK96&lt;&gt;"", M96&lt;&gt;0, M96&lt;=EDATE(TODAY(),2)),"도래",
 AND($AK96&lt;&gt;"", M96&lt;&gt;0, M96&lt;=EDATE(TODAY(),3)),"예정",
 AND($AK96&lt;&gt;"", M96&lt;&gt;0, M96&lt;=EDATE(TODAY(),6)),"관심",
 TRUE,""
)</f>
        <v/>
      </c>
      <c r="AM96" s="198">
        <f t="shared" si="4"/>
        <v>10</v>
      </c>
    </row>
    <row r="97" spans="1:39" ht="18" customHeight="1">
      <c r="A97" s="81"/>
      <c r="B97" s="237" t="str">
        <f>_xlfn.LET(_xlpm.var,◆관리정보!B97,IF(_xlpm.var&lt;&gt;0,_xlpm.var,""))</f>
        <v>미래홈</v>
      </c>
      <c r="C97" s="238">
        <f>_xlfn.LET(_xlpm.var,◆관리정보!C97,IF(_xlpm.var&lt;&gt;0,_xlpm.var,""))</f>
        <v>102</v>
      </c>
      <c r="D97" s="239" t="s">
        <v>202</v>
      </c>
      <c r="E97" s="84" t="str">
        <f t="shared" si="3"/>
        <v>미래홈102</v>
      </c>
      <c r="F97" s="85"/>
      <c r="G97" s="229"/>
      <c r="H97" s="229"/>
      <c r="I97" s="229"/>
      <c r="J97" s="229"/>
      <c r="K97" s="218"/>
      <c r="L97" s="87"/>
      <c r="M97" s="87"/>
      <c r="N97" s="82"/>
      <c r="O97" s="82"/>
      <c r="P97" s="241"/>
      <c r="Q97" s="241"/>
      <c r="R97" s="82"/>
      <c r="S97" s="241"/>
      <c r="T97" s="82"/>
      <c r="U97" s="241"/>
      <c r="V97" s="82"/>
      <c r="W97" s="88"/>
      <c r="X97" s="82"/>
      <c r="Y97" s="89"/>
      <c r="Z97" s="82"/>
      <c r="AA97" s="220"/>
      <c r="AB97" s="241"/>
      <c r="AC97" s="241"/>
      <c r="AD97" s="241"/>
      <c r="AE97" s="82"/>
      <c r="AF97" s="82"/>
      <c r="AG97" s="90"/>
      <c r="AH97" s="90"/>
      <c r="AI97" s="90"/>
      <c r="AJ97" s="90"/>
      <c r="AK97" s="82"/>
      <c r="AL97" s="82" t="str" cm="1">
        <f t="array" aca="1" ref="AL97" ca="1">_xlfn.IFS(
 AND($AK97&lt;&gt;"", M97&lt;&gt;0, M97&lt;=EDATE(TODAY(),2)),"도래",
 AND($AK97&lt;&gt;"", M97&lt;&gt;0, M97&lt;=EDATE(TODAY(),3)),"예정",
 AND($AK97&lt;&gt;"", M97&lt;&gt;0, M97&lt;=EDATE(TODAY(),6)),"관심",
 TRUE,""
)</f>
        <v/>
      </c>
      <c r="AM97" s="198">
        <f t="shared" si="4"/>
        <v>0</v>
      </c>
    </row>
    <row r="98" spans="1:39" ht="18" customHeight="1">
      <c r="A98" s="81"/>
      <c r="B98" s="205" t="str">
        <f>_xlfn.LET(_xlpm.var,◆관리정보!B98,IF(_xlpm.var&lt;&gt;0,_xlpm.var,""))</f>
        <v>미래홈</v>
      </c>
      <c r="C98" s="82">
        <f>_xlfn.LET(_xlpm.var,◆관리정보!C98,IF(_xlpm.var&lt;&gt;0,_xlpm.var,""))</f>
        <v>103</v>
      </c>
      <c r="D98" s="236" t="s">
        <v>453</v>
      </c>
      <c r="E98" s="84" t="str">
        <f t="shared" si="3"/>
        <v>미래홈103</v>
      </c>
      <c r="F98" s="85">
        <v>46107</v>
      </c>
      <c r="G98" s="229"/>
      <c r="H98" s="229"/>
      <c r="I98" s="229"/>
      <c r="J98" s="229"/>
      <c r="K98" s="218"/>
      <c r="L98" s="87">
        <v>46079</v>
      </c>
      <c r="M98" s="87">
        <v>46167</v>
      </c>
      <c r="N98" s="82" t="s">
        <v>454</v>
      </c>
      <c r="O98" s="82" t="s">
        <v>455</v>
      </c>
      <c r="P98" s="241">
        <v>500000</v>
      </c>
      <c r="Q98" s="241">
        <v>350000</v>
      </c>
      <c r="R98" s="82"/>
      <c r="S98" s="241">
        <v>70000</v>
      </c>
      <c r="T98" s="82" t="s">
        <v>40</v>
      </c>
      <c r="U98" s="241"/>
      <c r="V98" s="82"/>
      <c r="W98" s="88"/>
      <c r="X98" s="82"/>
      <c r="Y98" s="89"/>
      <c r="Z98" s="82"/>
      <c r="AA98" s="220"/>
      <c r="AB98" s="241">
        <v>100000</v>
      </c>
      <c r="AC98" s="241">
        <v>100000</v>
      </c>
      <c r="AD98" s="241"/>
      <c r="AE98" s="82" t="s">
        <v>456</v>
      </c>
      <c r="AF98" s="82" t="s">
        <v>457</v>
      </c>
      <c r="AG98" s="90"/>
      <c r="AH98" s="90"/>
      <c r="AI98" s="90"/>
      <c r="AJ98" s="90"/>
      <c r="AK98" s="82"/>
      <c r="AL98" s="82" t="str" cm="1">
        <f t="array" aca="1" ref="AL98" ca="1">_xlfn.IFS(
 AND($AK98&lt;&gt;"", M98&lt;&gt;0, M98&lt;=EDATE(TODAY(),2)),"도래",
 AND($AK98&lt;&gt;"", M98&lt;&gt;0, M98&lt;=EDATE(TODAY(),3)),"예정",
 AND($AK98&lt;&gt;"", M98&lt;&gt;0, M98&lt;=EDATE(TODAY(),6)),"관심",
 TRUE,""
)</f>
        <v/>
      </c>
      <c r="AM98" s="198">
        <f t="shared" si="4"/>
        <v>26</v>
      </c>
    </row>
    <row r="99" spans="1:39" ht="18" customHeight="1">
      <c r="A99" s="81"/>
      <c r="B99" s="205" t="str">
        <f>_xlfn.LET(_xlpm.var,◆관리정보!B99,IF(_xlpm.var&lt;&gt;0,_xlpm.var,""))</f>
        <v>미래홈</v>
      </c>
      <c r="C99" s="82">
        <f>_xlfn.LET(_xlpm.var,◆관리정보!C99,IF(_xlpm.var&lt;&gt;0,_xlpm.var,""))</f>
        <v>104</v>
      </c>
      <c r="D99" s="83" t="s">
        <v>458</v>
      </c>
      <c r="E99" s="84" t="str">
        <f t="shared" si="3"/>
        <v>미래홈104</v>
      </c>
      <c r="F99" s="85">
        <v>46081</v>
      </c>
      <c r="G99" s="229"/>
      <c r="H99" s="229"/>
      <c r="I99" s="229"/>
      <c r="J99" s="229">
        <f>499700-150000-150000</f>
        <v>199700</v>
      </c>
      <c r="K99" s="218"/>
      <c r="L99" s="87">
        <v>44469</v>
      </c>
      <c r="M99" s="87">
        <v>44649</v>
      </c>
      <c r="N99" s="82" t="s">
        <v>459</v>
      </c>
      <c r="O99" s="82" t="s">
        <v>460</v>
      </c>
      <c r="P99" s="241">
        <v>500000</v>
      </c>
      <c r="Q99" s="241">
        <v>330000</v>
      </c>
      <c r="R99" s="82"/>
      <c r="S99" s="241">
        <v>50000</v>
      </c>
      <c r="T99" s="82" t="s">
        <v>40</v>
      </c>
      <c r="U99" s="241"/>
      <c r="V99" s="82"/>
      <c r="W99" s="88"/>
      <c r="X99" s="82"/>
      <c r="Y99" s="89"/>
      <c r="Z99" s="82"/>
      <c r="AA99" s="220"/>
      <c r="AB99" s="241">
        <v>70000</v>
      </c>
      <c r="AC99" s="241">
        <v>150000</v>
      </c>
      <c r="AD99" s="241">
        <v>50000</v>
      </c>
      <c r="AE99" s="82" t="s">
        <v>461</v>
      </c>
      <c r="AF99" s="82" t="s">
        <v>462</v>
      </c>
      <c r="AG99" s="90"/>
      <c r="AH99" s="90"/>
      <c r="AI99" s="90"/>
      <c r="AJ99" s="90"/>
      <c r="AK99" s="82"/>
      <c r="AL99" s="82" t="str" cm="1">
        <f t="array" aca="1" ref="AL99" ca="1">_xlfn.IFS(
 AND($AK99&lt;&gt;"", M99&lt;&gt;0, M99&lt;=EDATE(TODAY(),2)),"도래",
 AND($AK99&lt;&gt;"", M99&lt;&gt;0, M99&lt;=EDATE(TODAY(),3)),"예정",
 AND($AK99&lt;&gt;"", M99&lt;&gt;0, M99&lt;=EDATE(TODAY(),6)),"관심",
 TRUE,""
)</f>
        <v/>
      </c>
      <c r="AM99" s="198">
        <f t="shared" si="4"/>
        <v>30</v>
      </c>
    </row>
    <row r="100" spans="1:39" ht="18" customHeight="1">
      <c r="A100" s="81"/>
      <c r="B100" s="205" t="str">
        <f>_xlfn.LET(_xlpm.var,◆관리정보!B100,IF(_xlpm.var&lt;&gt;0,_xlpm.var,""))</f>
        <v>미래홈</v>
      </c>
      <c r="C100" s="82">
        <f>_xlfn.LET(_xlpm.var,◆관리정보!C100,IF(_xlpm.var&lt;&gt;0,_xlpm.var,""))</f>
        <v>105</v>
      </c>
      <c r="D100" s="83" t="s">
        <v>463</v>
      </c>
      <c r="E100" s="84" t="str">
        <f t="shared" si="3"/>
        <v>미래홈105</v>
      </c>
      <c r="F100" s="85">
        <v>46093</v>
      </c>
      <c r="G100" s="229"/>
      <c r="H100" s="229"/>
      <c r="I100" s="229"/>
      <c r="J100" s="229">
        <f>607850-300000</f>
        <v>307850</v>
      </c>
      <c r="K100" s="318">
        <v>10000</v>
      </c>
      <c r="L100" s="87">
        <v>44086</v>
      </c>
      <c r="M100" s="87">
        <v>44176</v>
      </c>
      <c r="N100" s="82" t="s">
        <v>464</v>
      </c>
      <c r="O100" s="82" t="s">
        <v>465</v>
      </c>
      <c r="P100" s="241">
        <v>500000</v>
      </c>
      <c r="Q100" s="241">
        <v>380000</v>
      </c>
      <c r="R100" s="82"/>
      <c r="S100" s="241">
        <v>60000</v>
      </c>
      <c r="T100" s="82" t="s">
        <v>40</v>
      </c>
      <c r="U100" s="241"/>
      <c r="V100" s="82"/>
      <c r="W100" s="88"/>
      <c r="X100" s="82"/>
      <c r="Y100" s="89"/>
      <c r="Z100" s="82"/>
      <c r="AA100" s="220"/>
      <c r="AB100" s="241">
        <v>70000</v>
      </c>
      <c r="AC100" s="241">
        <v>100000</v>
      </c>
      <c r="AD100" s="241">
        <v>100000</v>
      </c>
      <c r="AE100" s="82" t="s">
        <v>466</v>
      </c>
      <c r="AF100" s="82" t="s">
        <v>467</v>
      </c>
      <c r="AG100" s="90"/>
      <c r="AH100" s="90"/>
      <c r="AI100" s="90"/>
      <c r="AJ100" s="90"/>
      <c r="AK100" s="82"/>
      <c r="AL100" s="82" t="str" cm="1">
        <f t="array" aca="1" ref="AL100" ca="1">_xlfn.IFS(
 AND($AK100&lt;&gt;"", M100&lt;&gt;0, M100&lt;=EDATE(TODAY(),2)),"도래",
 AND($AK100&lt;&gt;"", M100&lt;&gt;0, M100&lt;=EDATE(TODAY(),3)),"예정",
 AND($AK100&lt;&gt;"", M100&lt;&gt;0, M100&lt;=EDATE(TODAY(),6)),"관심",
 TRUE,""
)</f>
        <v/>
      </c>
      <c r="AM100" s="198">
        <f t="shared" si="4"/>
        <v>12</v>
      </c>
    </row>
    <row r="101" spans="1:39" ht="18" customHeight="1">
      <c r="A101" s="81"/>
      <c r="B101" s="205" t="str">
        <f>_xlfn.LET(_xlpm.var,◆관리정보!B101,IF(_xlpm.var&lt;&gt;0,_xlpm.var,""))</f>
        <v>미래홈</v>
      </c>
      <c r="C101" s="82">
        <f>_xlfn.LET(_xlpm.var,◆관리정보!C101,IF(_xlpm.var&lt;&gt;0,_xlpm.var,""))</f>
        <v>106</v>
      </c>
      <c r="D101" s="83" t="s">
        <v>468</v>
      </c>
      <c r="E101" s="84" t="str">
        <f t="shared" si="3"/>
        <v>미래홈106</v>
      </c>
      <c r="F101" s="85">
        <v>46117</v>
      </c>
      <c r="G101" s="229"/>
      <c r="H101" s="229"/>
      <c r="I101" s="229"/>
      <c r="J101" s="229"/>
      <c r="K101" s="218"/>
      <c r="L101" s="87">
        <v>44140</v>
      </c>
      <c r="M101" s="87">
        <v>44231</v>
      </c>
      <c r="N101" s="82" t="s">
        <v>469</v>
      </c>
      <c r="O101" s="82" t="s">
        <v>470</v>
      </c>
      <c r="P101" s="241">
        <v>500000</v>
      </c>
      <c r="Q101" s="241">
        <v>380000</v>
      </c>
      <c r="R101" s="82"/>
      <c r="S101" s="241">
        <v>60000</v>
      </c>
      <c r="T101" s="82" t="s">
        <v>40</v>
      </c>
      <c r="U101" s="241"/>
      <c r="V101" s="82"/>
      <c r="W101" s="88"/>
      <c r="X101" s="82"/>
      <c r="Y101" s="89"/>
      <c r="Z101" s="82"/>
      <c r="AA101" s="220"/>
      <c r="AB101" s="241">
        <v>70000</v>
      </c>
      <c r="AC101" s="241">
        <v>100000</v>
      </c>
      <c r="AD101" s="241">
        <v>50000</v>
      </c>
      <c r="AE101" s="82" t="s">
        <v>466</v>
      </c>
      <c r="AF101" s="82" t="s">
        <v>467</v>
      </c>
      <c r="AG101" s="90"/>
      <c r="AH101" s="90"/>
      <c r="AI101" s="90"/>
      <c r="AJ101" s="90"/>
      <c r="AK101" s="82"/>
      <c r="AL101" s="82" t="str" cm="1">
        <f t="array" aca="1" ref="AL101" ca="1">_xlfn.IFS(
 AND($AK101&lt;&gt;"", M101&lt;&gt;0, M101&lt;=EDATE(TODAY(),2)),"도래",
 AND($AK101&lt;&gt;"", M101&lt;&gt;0, M101&lt;=EDATE(TODAY(),3)),"예정",
 AND($AK101&lt;&gt;"", M101&lt;&gt;0, M101&lt;=EDATE(TODAY(),6)),"관심",
 TRUE,""
)</f>
        <v/>
      </c>
      <c r="AM101" s="198">
        <f t="shared" si="4"/>
        <v>5</v>
      </c>
    </row>
    <row r="102" spans="1:39" ht="18" customHeight="1">
      <c r="A102" s="81"/>
      <c r="B102" s="237" t="str">
        <f>_xlfn.LET(_xlpm.var,◆관리정보!B102,IF(_xlpm.var&lt;&gt;0,_xlpm.var,""))</f>
        <v>미래홈</v>
      </c>
      <c r="C102" s="238">
        <f>_xlfn.LET(_xlpm.var,◆관리정보!C102,IF(_xlpm.var&lt;&gt;0,_xlpm.var,""))</f>
        <v>107</v>
      </c>
      <c r="D102" s="239" t="s">
        <v>202</v>
      </c>
      <c r="E102" s="84" t="str">
        <f t="shared" si="3"/>
        <v>미래홈107</v>
      </c>
      <c r="F102" s="85"/>
      <c r="G102" s="229"/>
      <c r="H102" s="229"/>
      <c r="I102" s="229"/>
      <c r="J102" s="229"/>
      <c r="K102" s="218"/>
      <c r="L102" s="87"/>
      <c r="M102" s="87"/>
      <c r="N102" s="82"/>
      <c r="O102" s="82"/>
      <c r="P102" s="241"/>
      <c r="Q102" s="241"/>
      <c r="R102" s="82"/>
      <c r="S102" s="241"/>
      <c r="T102" s="82"/>
      <c r="U102" s="241"/>
      <c r="V102" s="82"/>
      <c r="W102" s="88"/>
      <c r="X102" s="82"/>
      <c r="Y102" s="89"/>
      <c r="Z102" s="82"/>
      <c r="AA102" s="220"/>
      <c r="AB102" s="241"/>
      <c r="AC102" s="241"/>
      <c r="AD102" s="241"/>
      <c r="AE102" s="82"/>
      <c r="AF102" s="82"/>
      <c r="AG102" s="90"/>
      <c r="AH102" s="90"/>
      <c r="AI102" s="90"/>
      <c r="AJ102" s="90"/>
      <c r="AK102" s="82"/>
      <c r="AL102" s="82" t="str" cm="1">
        <f t="array" aca="1" ref="AL102" ca="1">_xlfn.IFS(
 AND($AK102&lt;&gt;"", M102&lt;&gt;0, M102&lt;=EDATE(TODAY(),2)),"도래",
 AND($AK102&lt;&gt;"", M102&lt;&gt;0, M102&lt;=EDATE(TODAY(),3)),"예정",
 AND($AK102&lt;&gt;"", M102&lt;&gt;0, M102&lt;=EDATE(TODAY(),6)),"관심",
 TRUE,""
)</f>
        <v/>
      </c>
      <c r="AM102" s="198">
        <f t="shared" si="4"/>
        <v>0</v>
      </c>
    </row>
    <row r="103" spans="1:39" ht="18" customHeight="1">
      <c r="A103" s="81"/>
      <c r="B103" s="205" t="str">
        <f>_xlfn.LET(_xlpm.var,◆관리정보!B103,IF(_xlpm.var&lt;&gt;0,_xlpm.var,""))</f>
        <v>미래홈</v>
      </c>
      <c r="C103" s="82">
        <f>_xlfn.LET(_xlpm.var,◆관리정보!C103,IF(_xlpm.var&lt;&gt;0,_xlpm.var,""))</f>
        <v>201</v>
      </c>
      <c r="D103" s="83" t="s">
        <v>471</v>
      </c>
      <c r="E103" s="84" t="str">
        <f t="shared" si="3"/>
        <v>미래홈201</v>
      </c>
      <c r="F103" s="85">
        <v>46081</v>
      </c>
      <c r="G103" s="229"/>
      <c r="H103" s="229"/>
      <c r="I103" s="229"/>
      <c r="J103" s="229">
        <v>561450</v>
      </c>
      <c r="K103" s="218"/>
      <c r="L103" s="87">
        <v>43311</v>
      </c>
      <c r="M103" s="87">
        <v>43402</v>
      </c>
      <c r="N103" s="82" t="s">
        <v>472</v>
      </c>
      <c r="O103" s="82" t="s">
        <v>473</v>
      </c>
      <c r="P103" s="241">
        <v>500000</v>
      </c>
      <c r="Q103" s="241">
        <v>400000</v>
      </c>
      <c r="R103" s="82"/>
      <c r="S103" s="241">
        <v>60000</v>
      </c>
      <c r="T103" s="82" t="s">
        <v>40</v>
      </c>
      <c r="U103" s="241"/>
      <c r="V103" s="82"/>
      <c r="W103" s="88"/>
      <c r="X103" s="82"/>
      <c r="Y103" s="89"/>
      <c r="Z103" s="82"/>
      <c r="AA103" s="220"/>
      <c r="AB103" s="241">
        <v>70000</v>
      </c>
      <c r="AC103" s="241">
        <v>100000</v>
      </c>
      <c r="AD103" s="241">
        <v>100000</v>
      </c>
      <c r="AE103" s="82" t="s">
        <v>474</v>
      </c>
      <c r="AF103" s="82" t="s">
        <v>475</v>
      </c>
      <c r="AG103" s="90"/>
      <c r="AH103" s="90"/>
      <c r="AI103" s="315" t="s">
        <v>476</v>
      </c>
      <c r="AJ103" s="90"/>
      <c r="AK103" s="82"/>
      <c r="AL103" s="82" t="str" cm="1">
        <f t="array" aca="1" ref="AL103" ca="1">_xlfn.IFS(
 AND($AK103&lt;&gt;"", M103&lt;&gt;0, M103&lt;=EDATE(TODAY(),2)),"도래",
 AND($AK103&lt;&gt;"", M103&lt;&gt;0, M103&lt;=EDATE(TODAY(),3)),"예정",
 AND($AK103&lt;&gt;"", M103&lt;&gt;0, M103&lt;=EDATE(TODAY(),6)),"관심",
 TRUE,""
)</f>
        <v/>
      </c>
      <c r="AM103" s="198">
        <f t="shared" si="4"/>
        <v>30</v>
      </c>
    </row>
    <row r="104" spans="1:39" ht="18" customHeight="1">
      <c r="A104" s="81"/>
      <c r="B104" s="242" t="str">
        <f>_xlfn.LET(_xlpm.var,◆관리정보!B104,IF(_xlpm.var&lt;&gt;0,_xlpm.var,""))</f>
        <v>미래홈</v>
      </c>
      <c r="C104" s="243">
        <f>_xlfn.LET(_xlpm.var,◆관리정보!C104,IF(_xlpm.var&lt;&gt;0,_xlpm.var,""))</f>
        <v>202</v>
      </c>
      <c r="D104" s="244" t="s">
        <v>477</v>
      </c>
      <c r="E104" s="84" t="str">
        <f t="shared" si="3"/>
        <v>미래홈202</v>
      </c>
      <c r="F104" s="85">
        <v>46103</v>
      </c>
      <c r="G104" s="229"/>
      <c r="H104" s="229"/>
      <c r="I104" s="229"/>
      <c r="J104" s="229">
        <v>80000</v>
      </c>
      <c r="K104" s="218"/>
      <c r="L104" s="87">
        <v>44856</v>
      </c>
      <c r="M104" s="87">
        <v>46316</v>
      </c>
      <c r="N104" s="82" t="s">
        <v>478</v>
      </c>
      <c r="O104" s="82" t="s">
        <v>479</v>
      </c>
      <c r="P104" s="241">
        <v>180000000</v>
      </c>
      <c r="Q104" s="241"/>
      <c r="R104" s="82"/>
      <c r="S104" s="241">
        <v>80000</v>
      </c>
      <c r="T104" s="82" t="s">
        <v>40</v>
      </c>
      <c r="U104" s="241"/>
      <c r="V104" s="82"/>
      <c r="W104" s="88"/>
      <c r="X104" s="82"/>
      <c r="Y104" s="89"/>
      <c r="Z104" s="82"/>
      <c r="AA104" s="220"/>
      <c r="AB104" s="241">
        <v>150000</v>
      </c>
      <c r="AC104" s="241">
        <v>480000</v>
      </c>
      <c r="AD104" s="241"/>
      <c r="AE104" s="82" t="s">
        <v>480</v>
      </c>
      <c r="AF104" s="82" t="s">
        <v>481</v>
      </c>
      <c r="AG104" s="90"/>
      <c r="AH104" s="90"/>
      <c r="AI104" s="90"/>
      <c r="AJ104" s="90"/>
      <c r="AK104" s="82" t="s">
        <v>482</v>
      </c>
      <c r="AL104" s="82" t="str" cm="1">
        <f t="array" aca="1" ref="AL104" ca="1">_xlfn.IFS(
 AND($AK104&lt;&gt;"", M104&lt;&gt;0, M104&lt;=EDATE(TODAY(),2)),"도래",
 AND($AK104&lt;&gt;"", M104&lt;&gt;0, M104&lt;=EDATE(TODAY(),3)),"예정",
 AND($AK104&lt;&gt;"", M104&lt;&gt;0, M104&lt;=EDATE(TODAY(),6)),"관심",
 TRUE,""
)</f>
        <v/>
      </c>
      <c r="AM104" s="198">
        <f t="shared" si="4"/>
        <v>22</v>
      </c>
    </row>
    <row r="105" spans="1:39" ht="18" customHeight="1">
      <c r="A105" s="81"/>
      <c r="B105" s="237" t="str">
        <f>_xlfn.LET(_xlpm.var,◆관리정보!B105,IF(_xlpm.var&lt;&gt;0,_xlpm.var,""))</f>
        <v>미래홈</v>
      </c>
      <c r="C105" s="238">
        <f>_xlfn.LET(_xlpm.var,◆관리정보!C105,IF(_xlpm.var&lt;&gt;0,_xlpm.var,""))</f>
        <v>203</v>
      </c>
      <c r="D105" s="239" t="s">
        <v>195</v>
      </c>
      <c r="E105" s="84" t="str">
        <f t="shared" si="3"/>
        <v>미래홈203</v>
      </c>
      <c r="F105" s="85"/>
      <c r="G105" s="229"/>
      <c r="H105" s="229"/>
      <c r="I105" s="229"/>
      <c r="J105" s="229"/>
      <c r="K105" s="218"/>
      <c r="L105" s="87"/>
      <c r="M105" s="87"/>
      <c r="N105" s="82"/>
      <c r="O105" s="82"/>
      <c r="P105" s="241"/>
      <c r="Q105" s="241"/>
      <c r="R105" s="82"/>
      <c r="S105" s="241"/>
      <c r="T105" s="82"/>
      <c r="U105" s="241"/>
      <c r="V105" s="82"/>
      <c r="W105" s="88"/>
      <c r="X105" s="82"/>
      <c r="Y105" s="89"/>
      <c r="Z105" s="82"/>
      <c r="AA105" s="220"/>
      <c r="AB105" s="241"/>
      <c r="AC105" s="241"/>
      <c r="AD105" s="241"/>
      <c r="AE105" s="82"/>
      <c r="AF105" s="82"/>
      <c r="AG105" s="90"/>
      <c r="AH105" s="90"/>
      <c r="AI105" s="90"/>
      <c r="AJ105" s="90"/>
      <c r="AK105" s="82"/>
      <c r="AL105" s="82" t="str" cm="1">
        <f t="array" aca="1" ref="AL105" ca="1">_xlfn.IFS(
 AND($AK105&lt;&gt;"", M105&lt;&gt;0, M105&lt;=EDATE(TODAY(),2)),"도래",
 AND($AK105&lt;&gt;"", M105&lt;&gt;0, M105&lt;=EDATE(TODAY(),3)),"예정",
 AND($AK105&lt;&gt;"", M105&lt;&gt;0, M105&lt;=EDATE(TODAY(),6)),"관심",
 TRUE,""
)</f>
        <v/>
      </c>
      <c r="AM105" s="198">
        <f t="shared" si="4"/>
        <v>0</v>
      </c>
    </row>
    <row r="106" spans="1:39" ht="18" customHeight="1">
      <c r="A106" s="81"/>
      <c r="B106" s="337" t="str">
        <f>_xlfn.LET(_xlpm.var,◆관리정보!B106,IF(_xlpm.var&lt;&gt;0,_xlpm.var,""))</f>
        <v>미래홈</v>
      </c>
      <c r="C106" s="264">
        <f>_xlfn.LET(_xlpm.var,◆관리정보!C106,IF(_xlpm.var&lt;&gt;0,_xlpm.var,""))</f>
        <v>204</v>
      </c>
      <c r="D106" s="83" t="s">
        <v>483</v>
      </c>
      <c r="E106" s="84" t="str">
        <f t="shared" si="3"/>
        <v>미래홈204</v>
      </c>
      <c r="F106" s="85">
        <v>46113</v>
      </c>
      <c r="G106" s="229"/>
      <c r="H106" s="229"/>
      <c r="I106" s="229"/>
      <c r="J106" s="229"/>
      <c r="K106" s="218"/>
      <c r="L106" s="87">
        <v>46082</v>
      </c>
      <c r="M106" s="87">
        <v>46326</v>
      </c>
      <c r="N106" s="82" t="s">
        <v>484</v>
      </c>
      <c r="O106" s="82" t="s">
        <v>485</v>
      </c>
      <c r="P106" s="241">
        <v>700000</v>
      </c>
      <c r="Q106" s="241">
        <v>500000</v>
      </c>
      <c r="R106" s="82"/>
      <c r="S106" s="241">
        <v>70000</v>
      </c>
      <c r="T106" s="82" t="s">
        <v>40</v>
      </c>
      <c r="U106" s="241"/>
      <c r="V106" s="82"/>
      <c r="W106" s="88"/>
      <c r="X106" s="82"/>
      <c r="Y106" s="89"/>
      <c r="Z106" s="82"/>
      <c r="AA106" s="220"/>
      <c r="AB106" s="241">
        <v>100000</v>
      </c>
      <c r="AC106" s="241">
        <v>110000</v>
      </c>
      <c r="AD106" s="241"/>
      <c r="AE106" s="82" t="s">
        <v>219</v>
      </c>
      <c r="AF106" s="82" t="s">
        <v>275</v>
      </c>
      <c r="AG106" s="90"/>
      <c r="AH106" s="90"/>
      <c r="AI106" s="90" t="s">
        <v>486</v>
      </c>
      <c r="AJ106" s="90"/>
      <c r="AK106" s="82"/>
      <c r="AL106" s="82" t="str" cm="1">
        <f t="array" aca="1" ref="AL106" ca="1">_xlfn.IFS(
 AND($AK106&lt;&gt;"", M106&lt;&gt;0, M106&lt;=EDATE(TODAY(),2)),"도래",
 AND($AK106&lt;&gt;"", M106&lt;&gt;0, M106&lt;=EDATE(TODAY(),3)),"예정",
 AND($AK106&lt;&gt;"", M106&lt;&gt;0, M106&lt;=EDATE(TODAY(),6)),"관심",
 TRUE,""
)</f>
        <v/>
      </c>
      <c r="AM106" s="198">
        <f t="shared" si="4"/>
        <v>1</v>
      </c>
    </row>
    <row r="107" spans="1:39" ht="18" customHeight="1">
      <c r="A107" s="81"/>
      <c r="B107" s="205" t="str">
        <f>_xlfn.LET(_xlpm.var,◆관리정보!B107,IF(_xlpm.var&lt;&gt;0,_xlpm.var,""))</f>
        <v>미래홈</v>
      </c>
      <c r="C107" s="82">
        <f>_xlfn.LET(_xlpm.var,◆관리정보!C107,IF(_xlpm.var&lt;&gt;0,_xlpm.var,""))</f>
        <v>205</v>
      </c>
      <c r="D107" s="83" t="s">
        <v>487</v>
      </c>
      <c r="E107" s="84" t="str">
        <f t="shared" si="3"/>
        <v>미래홈205</v>
      </c>
      <c r="F107" s="85">
        <v>46134</v>
      </c>
      <c r="G107" s="229"/>
      <c r="H107" s="229"/>
      <c r="I107" s="229"/>
      <c r="J107" s="229"/>
      <c r="K107" s="218"/>
      <c r="L107" s="87">
        <v>45922</v>
      </c>
      <c r="M107" s="87">
        <v>46651</v>
      </c>
      <c r="N107" s="82" t="s">
        <v>488</v>
      </c>
      <c r="O107" s="82" t="s">
        <v>489</v>
      </c>
      <c r="P107" s="241">
        <v>10000000</v>
      </c>
      <c r="Q107" s="241">
        <v>750000</v>
      </c>
      <c r="R107" s="82"/>
      <c r="S107" s="241">
        <v>80000</v>
      </c>
      <c r="T107" s="82" t="s">
        <v>40</v>
      </c>
      <c r="U107" s="241"/>
      <c r="V107" s="82"/>
      <c r="W107" s="88"/>
      <c r="X107" s="82"/>
      <c r="Y107" s="89"/>
      <c r="Z107" s="82"/>
      <c r="AA107" s="220"/>
      <c r="AB107" s="241">
        <v>180000</v>
      </c>
      <c r="AC107" s="241">
        <v>220000</v>
      </c>
      <c r="AD107" s="241"/>
      <c r="AE107" s="82" t="s">
        <v>490</v>
      </c>
      <c r="AF107" s="82" t="s">
        <v>491</v>
      </c>
      <c r="AG107" s="90"/>
      <c r="AH107" s="90"/>
      <c r="AI107" s="90"/>
      <c r="AJ107" s="90"/>
      <c r="AK107" s="82"/>
      <c r="AL107" s="82" t="str" cm="1">
        <f t="array" aca="1" ref="AL107" ca="1">_xlfn.IFS(
 AND($AK107&lt;&gt;"", M107&lt;&gt;0, M107&lt;=EDATE(TODAY(),2)),"도래",
 AND($AK107&lt;&gt;"", M107&lt;&gt;0, M107&lt;=EDATE(TODAY(),3)),"예정",
 AND($AK107&lt;&gt;"", M107&lt;&gt;0, M107&lt;=EDATE(TODAY(),6)),"관심",
 TRUE,""
)</f>
        <v/>
      </c>
      <c r="AM107" s="198">
        <f t="shared" si="4"/>
        <v>22</v>
      </c>
    </row>
    <row r="108" spans="1:39" ht="18" customHeight="1">
      <c r="A108" s="81"/>
      <c r="B108" s="205" t="str">
        <f>_xlfn.LET(_xlpm.var,◆관리정보!B108,IF(_xlpm.var&lt;&gt;0,_xlpm.var,""))</f>
        <v>미래홈</v>
      </c>
      <c r="C108" s="82">
        <f>_xlfn.LET(_xlpm.var,◆관리정보!C108,IF(_xlpm.var&lt;&gt;0,_xlpm.var,""))</f>
        <v>301</v>
      </c>
      <c r="D108" s="83" t="s">
        <v>492</v>
      </c>
      <c r="E108" s="84" t="str">
        <f t="shared" si="3"/>
        <v>미래홈301</v>
      </c>
      <c r="F108" s="85">
        <v>46106</v>
      </c>
      <c r="G108" s="229"/>
      <c r="H108" s="229"/>
      <c r="I108" s="229"/>
      <c r="J108" s="229">
        <v>570000</v>
      </c>
      <c r="K108" s="218"/>
      <c r="L108" s="87">
        <v>46078</v>
      </c>
      <c r="M108" s="87">
        <v>46166</v>
      </c>
      <c r="N108" s="82" t="s">
        <v>493</v>
      </c>
      <c r="O108" s="82" t="s">
        <v>494</v>
      </c>
      <c r="P108" s="241">
        <v>700000</v>
      </c>
      <c r="Q108" s="241">
        <v>500000</v>
      </c>
      <c r="R108" s="82"/>
      <c r="S108" s="241">
        <v>70000</v>
      </c>
      <c r="T108" s="82" t="s">
        <v>40</v>
      </c>
      <c r="U108" s="241"/>
      <c r="V108" s="82"/>
      <c r="W108" s="88"/>
      <c r="X108" s="82"/>
      <c r="Y108" s="89"/>
      <c r="Z108" s="82"/>
      <c r="AA108" s="220"/>
      <c r="AB108" s="241">
        <v>100000</v>
      </c>
      <c r="AC108" s="241">
        <v>100000</v>
      </c>
      <c r="AD108" s="241"/>
      <c r="AE108" s="82" t="s">
        <v>121</v>
      </c>
      <c r="AF108" s="82" t="s">
        <v>495</v>
      </c>
      <c r="AG108" s="90"/>
      <c r="AH108" s="90"/>
      <c r="AI108" s="90"/>
      <c r="AJ108" s="90"/>
      <c r="AK108" s="82"/>
      <c r="AL108" s="82" t="str" cm="1">
        <f t="array" aca="1" ref="AL108" ca="1">_xlfn.IFS(
 AND($AK108&lt;&gt;"", M108&lt;&gt;0, M108&lt;=EDATE(TODAY(),2)),"도래",
 AND($AK108&lt;&gt;"", M108&lt;&gt;0, M108&lt;=EDATE(TODAY(),3)),"예정",
 AND($AK108&lt;&gt;"", M108&lt;&gt;0, M108&lt;=EDATE(TODAY(),6)),"관심",
 TRUE,""
)</f>
        <v/>
      </c>
      <c r="AM108" s="198">
        <f t="shared" si="4"/>
        <v>25</v>
      </c>
    </row>
    <row r="109" spans="1:39" ht="18" customHeight="1">
      <c r="A109" s="81"/>
      <c r="B109" s="242" t="str">
        <f>_xlfn.LET(_xlpm.var,◆관리정보!B109,IF(_xlpm.var&lt;&gt;0,_xlpm.var,""))</f>
        <v>미래홈</v>
      </c>
      <c r="C109" s="243">
        <f>_xlfn.LET(_xlpm.var,◆관리정보!C109,IF(_xlpm.var&lt;&gt;0,_xlpm.var,""))</f>
        <v>302</v>
      </c>
      <c r="D109" s="244" t="s">
        <v>496</v>
      </c>
      <c r="E109" s="84" t="str">
        <f t="shared" si="3"/>
        <v>미래홈302</v>
      </c>
      <c r="F109" s="85">
        <v>46105</v>
      </c>
      <c r="G109" s="229"/>
      <c r="H109" s="229"/>
      <c r="I109" s="229"/>
      <c r="J109" s="229">
        <v>80000</v>
      </c>
      <c r="K109" s="218"/>
      <c r="L109" s="87">
        <v>45254</v>
      </c>
      <c r="M109" s="87">
        <v>46714</v>
      </c>
      <c r="N109" s="82" t="s">
        <v>497</v>
      </c>
      <c r="O109" s="82" t="s">
        <v>498</v>
      </c>
      <c r="P109" s="241">
        <v>182000000</v>
      </c>
      <c r="Q109" s="241"/>
      <c r="R109" s="82"/>
      <c r="S109" s="241">
        <v>80000</v>
      </c>
      <c r="T109" s="82" t="s">
        <v>40</v>
      </c>
      <c r="U109" s="241"/>
      <c r="V109" s="82"/>
      <c r="W109" s="88"/>
      <c r="X109" s="82"/>
      <c r="Y109" s="89"/>
      <c r="Z109" s="82"/>
      <c r="AA109" s="220"/>
      <c r="AB109" s="241"/>
      <c r="AC109" s="241"/>
      <c r="AD109" s="241"/>
      <c r="AE109" s="82" t="s">
        <v>499</v>
      </c>
      <c r="AF109" s="82" t="s">
        <v>500</v>
      </c>
      <c r="AG109" s="90"/>
      <c r="AH109" s="90"/>
      <c r="AI109" s="90"/>
      <c r="AJ109" s="90"/>
      <c r="AK109" s="82" t="s">
        <v>482</v>
      </c>
      <c r="AL109" s="82" t="str" cm="1">
        <f t="array" aca="1" ref="AL109" ca="1">_xlfn.IFS(
 AND($AK109&lt;&gt;"", M109&lt;&gt;0, M109&lt;=EDATE(TODAY(),2)),"도래",
 AND($AK109&lt;&gt;"", M109&lt;&gt;0, M109&lt;=EDATE(TODAY(),3)),"예정",
 AND($AK109&lt;&gt;"", M109&lt;&gt;0, M109&lt;=EDATE(TODAY(),6)),"관심",
 TRUE,""
)</f>
        <v/>
      </c>
      <c r="AM109" s="198">
        <f t="shared" si="4"/>
        <v>24</v>
      </c>
    </row>
    <row r="110" spans="1:39" ht="18" customHeight="1">
      <c r="A110" s="81"/>
      <c r="B110" s="205" t="str">
        <f>_xlfn.LET(_xlpm.var,◆관리정보!B110,IF(_xlpm.var&lt;&gt;0,_xlpm.var,""))</f>
        <v>미래홈</v>
      </c>
      <c r="C110" s="82">
        <f>_xlfn.LET(_xlpm.var,◆관리정보!C110,IF(_xlpm.var&lt;&gt;0,_xlpm.var,""))</f>
        <v>303</v>
      </c>
      <c r="D110" s="83" t="s">
        <v>501</v>
      </c>
      <c r="E110" s="84" t="str">
        <f t="shared" si="3"/>
        <v>미래홈303</v>
      </c>
      <c r="F110" s="85">
        <v>46116</v>
      </c>
      <c r="G110" s="229"/>
      <c r="H110" s="229"/>
      <c r="I110" s="229"/>
      <c r="J110" s="229"/>
      <c r="K110" s="218"/>
      <c r="L110" s="87">
        <v>45326</v>
      </c>
      <c r="M110" s="87">
        <v>45415</v>
      </c>
      <c r="N110" s="82" t="s">
        <v>502</v>
      </c>
      <c r="O110" s="82" t="s">
        <v>503</v>
      </c>
      <c r="P110" s="241">
        <v>700000</v>
      </c>
      <c r="Q110" s="241">
        <v>500000</v>
      </c>
      <c r="R110" s="82"/>
      <c r="S110" s="241">
        <v>70000</v>
      </c>
      <c r="T110" s="82" t="s">
        <v>40</v>
      </c>
      <c r="U110" s="241"/>
      <c r="V110" s="82"/>
      <c r="W110" s="88"/>
      <c r="X110" s="82"/>
      <c r="Y110" s="89"/>
      <c r="Z110" s="82"/>
      <c r="AA110" s="220"/>
      <c r="AB110" s="241">
        <v>80000</v>
      </c>
      <c r="AC110" s="241">
        <v>110000</v>
      </c>
      <c r="AD110" s="241"/>
      <c r="AE110" s="82" t="s">
        <v>244</v>
      </c>
      <c r="AF110" s="82" t="s">
        <v>504</v>
      </c>
      <c r="AG110" s="90"/>
      <c r="AH110" s="90"/>
      <c r="AI110" s="90"/>
      <c r="AJ110" s="90"/>
      <c r="AK110" s="82"/>
      <c r="AL110" s="82" t="str" cm="1">
        <f t="array" aca="1" ref="AL110" ca="1">_xlfn.IFS(
 AND($AK110&lt;&gt;"", M110&lt;&gt;0, M110&lt;=EDATE(TODAY(),2)),"도래",
 AND($AK110&lt;&gt;"", M110&lt;&gt;0, M110&lt;=EDATE(TODAY(),3)),"예정",
 AND($AK110&lt;&gt;"", M110&lt;&gt;0, M110&lt;=EDATE(TODAY(),6)),"관심",
 TRUE,""
)</f>
        <v/>
      </c>
      <c r="AM110" s="198">
        <f t="shared" si="4"/>
        <v>4</v>
      </c>
    </row>
    <row r="111" spans="1:39" ht="18" customHeight="1">
      <c r="A111" s="81"/>
      <c r="B111" s="205" t="str">
        <f>_xlfn.LET(_xlpm.var,◆관리정보!B111,IF(_xlpm.var&lt;&gt;0,_xlpm.var,""))</f>
        <v>미래홈</v>
      </c>
      <c r="C111" s="82">
        <f>_xlfn.LET(_xlpm.var,◆관리정보!C111,IF(_xlpm.var&lt;&gt;0,_xlpm.var,""))</f>
        <v>304</v>
      </c>
      <c r="D111" s="83" t="s">
        <v>505</v>
      </c>
      <c r="E111" s="84" t="str">
        <f t="shared" si="3"/>
        <v>미래홈304</v>
      </c>
      <c r="F111" s="85">
        <v>46105</v>
      </c>
      <c r="G111" s="229"/>
      <c r="H111" s="229"/>
      <c r="I111" s="229"/>
      <c r="J111" s="229">
        <v>609250</v>
      </c>
      <c r="K111" s="218"/>
      <c r="L111" s="87">
        <v>45801</v>
      </c>
      <c r="M111" s="87">
        <v>45892</v>
      </c>
      <c r="N111" s="82" t="s">
        <v>506</v>
      </c>
      <c r="O111" s="82" t="s">
        <v>507</v>
      </c>
      <c r="P111" s="241">
        <v>700000</v>
      </c>
      <c r="Q111" s="241">
        <v>500000</v>
      </c>
      <c r="R111" s="82"/>
      <c r="S111" s="241">
        <v>70000</v>
      </c>
      <c r="T111" s="82" t="s">
        <v>40</v>
      </c>
      <c r="U111" s="241"/>
      <c r="V111" s="82"/>
      <c r="W111" s="88"/>
      <c r="X111" s="82"/>
      <c r="Y111" s="89"/>
      <c r="Z111" s="82"/>
      <c r="AA111" s="220"/>
      <c r="AB111" s="241">
        <v>80000</v>
      </c>
      <c r="AC111" s="241">
        <v>110000</v>
      </c>
      <c r="AD111" s="241"/>
      <c r="AE111" s="82" t="s">
        <v>508</v>
      </c>
      <c r="AF111" s="82" t="s">
        <v>509</v>
      </c>
      <c r="AG111" s="90"/>
      <c r="AH111" s="90"/>
      <c r="AI111" s="90" t="s">
        <v>510</v>
      </c>
      <c r="AJ111" s="90"/>
      <c r="AK111" s="82"/>
      <c r="AL111" s="82" t="str" cm="1">
        <f t="array" aca="1" ref="AL111" ca="1">_xlfn.IFS(
 AND($AK111&lt;&gt;"", M111&lt;&gt;0, M111&lt;=EDATE(TODAY(),2)),"도래",
 AND($AK111&lt;&gt;"", M111&lt;&gt;0, M111&lt;=EDATE(TODAY(),3)),"예정",
 AND($AK111&lt;&gt;"", M111&lt;&gt;0, M111&lt;=EDATE(TODAY(),6)),"관심",
 TRUE,""
)</f>
        <v/>
      </c>
      <c r="AM111" s="198">
        <f t="shared" si="4"/>
        <v>24</v>
      </c>
    </row>
    <row r="112" spans="1:39" ht="18" customHeight="1">
      <c r="A112" s="81"/>
      <c r="B112" s="242" t="str">
        <f>_xlfn.LET(_xlpm.var,◆관리정보!B112,IF(_xlpm.var&lt;&gt;0,_xlpm.var,""))</f>
        <v>미래홈</v>
      </c>
      <c r="C112" s="243">
        <f>_xlfn.LET(_xlpm.var,◆관리정보!C112,IF(_xlpm.var&lt;&gt;0,_xlpm.var,""))</f>
        <v>305</v>
      </c>
      <c r="D112" s="244" t="s">
        <v>511</v>
      </c>
      <c r="E112" s="84" t="str">
        <f t="shared" si="3"/>
        <v>미래홈305</v>
      </c>
      <c r="F112" s="85">
        <v>46113</v>
      </c>
      <c r="G112" s="229"/>
      <c r="H112" s="229"/>
      <c r="I112" s="229"/>
      <c r="J112" s="229"/>
      <c r="K112" s="218"/>
      <c r="L112" s="87">
        <v>46054</v>
      </c>
      <c r="M112" s="87">
        <v>46783</v>
      </c>
      <c r="N112" s="82" t="s">
        <v>512</v>
      </c>
      <c r="O112" s="82" t="s">
        <v>513</v>
      </c>
      <c r="P112" s="241">
        <v>182000000</v>
      </c>
      <c r="Q112" s="241"/>
      <c r="R112" s="82"/>
      <c r="S112" s="241">
        <v>80000</v>
      </c>
      <c r="T112" s="82" t="s">
        <v>40</v>
      </c>
      <c r="U112" s="241"/>
      <c r="V112" s="82"/>
      <c r="W112" s="88"/>
      <c r="X112" s="82"/>
      <c r="Y112" s="89"/>
      <c r="Z112" s="82"/>
      <c r="AA112" s="220"/>
      <c r="AB112" s="241"/>
      <c r="AC112" s="241"/>
      <c r="AD112" s="241"/>
      <c r="AE112" s="82" t="s">
        <v>514</v>
      </c>
      <c r="AF112" s="82" t="s">
        <v>515</v>
      </c>
      <c r="AG112" s="90"/>
      <c r="AH112" s="90"/>
      <c r="AI112" s="90"/>
      <c r="AJ112" s="90"/>
      <c r="AK112" s="82" t="s">
        <v>482</v>
      </c>
      <c r="AL112" s="82" t="str" cm="1">
        <f t="array" aca="1" ref="AL112" ca="1">_xlfn.IFS(
 AND($AK112&lt;&gt;"", M112&lt;&gt;0, M112&lt;=EDATE(TODAY(),2)),"도래",
 AND($AK112&lt;&gt;"", M112&lt;&gt;0, M112&lt;=EDATE(TODAY(),3)),"예정",
 AND($AK112&lt;&gt;"", M112&lt;&gt;0, M112&lt;=EDATE(TODAY(),6)),"관심",
 TRUE,""
)</f>
        <v/>
      </c>
      <c r="AM112" s="198">
        <f t="shared" si="4"/>
        <v>1</v>
      </c>
    </row>
    <row r="113" spans="1:39" ht="18" customHeight="1">
      <c r="A113" s="81"/>
      <c r="B113" s="205" t="str">
        <f>_xlfn.LET(_xlpm.var,◆관리정보!B113,IF(_xlpm.var&lt;&gt;0,_xlpm.var,""))</f>
        <v>미래홈</v>
      </c>
      <c r="C113" s="82">
        <f>_xlfn.LET(_xlpm.var,◆관리정보!C113,IF(_xlpm.var&lt;&gt;0,_xlpm.var,""))</f>
        <v>401</v>
      </c>
      <c r="D113" s="83" t="s">
        <v>516</v>
      </c>
      <c r="E113" s="84" t="str">
        <f t="shared" si="3"/>
        <v>미래홈401</v>
      </c>
      <c r="F113" s="85">
        <v>46104</v>
      </c>
      <c r="G113" s="229"/>
      <c r="H113" s="229"/>
      <c r="I113" s="229"/>
      <c r="J113" s="229">
        <v>631760</v>
      </c>
      <c r="K113" s="218"/>
      <c r="L113" s="87">
        <v>45739</v>
      </c>
      <c r="M113" s="87">
        <v>45922</v>
      </c>
      <c r="N113" s="82" t="s">
        <v>517</v>
      </c>
      <c r="O113" s="82" t="s">
        <v>518</v>
      </c>
      <c r="P113" s="241">
        <v>700000</v>
      </c>
      <c r="Q113" s="241">
        <v>500000</v>
      </c>
      <c r="R113" s="82"/>
      <c r="S113" s="241">
        <v>70000</v>
      </c>
      <c r="T113" s="82" t="s">
        <v>40</v>
      </c>
      <c r="U113" s="241"/>
      <c r="V113" s="82"/>
      <c r="W113" s="88"/>
      <c r="X113" s="82"/>
      <c r="Y113" s="89"/>
      <c r="Z113" s="82"/>
      <c r="AA113" s="220"/>
      <c r="AB113" s="241">
        <v>80000</v>
      </c>
      <c r="AC113" s="241">
        <v>165000</v>
      </c>
      <c r="AD113" s="241"/>
      <c r="AE113" s="82" t="s">
        <v>508</v>
      </c>
      <c r="AF113" s="82" t="s">
        <v>519</v>
      </c>
      <c r="AG113" s="90"/>
      <c r="AH113" s="90"/>
      <c r="AI113" s="90"/>
      <c r="AJ113" s="90"/>
      <c r="AK113" s="82"/>
      <c r="AL113" s="82" t="str" cm="1">
        <f t="array" aca="1" ref="AL113" ca="1">_xlfn.IFS(
 AND($AK113&lt;&gt;"", M113&lt;&gt;0, M113&lt;=EDATE(TODAY(),2)),"도래",
 AND($AK113&lt;&gt;"", M113&lt;&gt;0, M113&lt;=EDATE(TODAY(),3)),"예정",
 AND($AK113&lt;&gt;"", M113&lt;&gt;0, M113&lt;=EDATE(TODAY(),6)),"관심",
 TRUE,""
)</f>
        <v/>
      </c>
      <c r="AM113" s="198">
        <f t="shared" si="4"/>
        <v>23</v>
      </c>
    </row>
    <row r="114" spans="1:39" ht="18" customHeight="1">
      <c r="A114" s="81"/>
      <c r="B114" s="242" t="str">
        <f>_xlfn.LET(_xlpm.var,◆관리정보!B114,IF(_xlpm.var&lt;&gt;0,_xlpm.var,""))</f>
        <v>미래홈</v>
      </c>
      <c r="C114" s="243">
        <f>_xlfn.LET(_xlpm.var,◆관리정보!C114,IF(_xlpm.var&lt;&gt;0,_xlpm.var,""))</f>
        <v>402</v>
      </c>
      <c r="D114" s="244" t="s">
        <v>520</v>
      </c>
      <c r="E114" s="84" t="str">
        <f t="shared" si="3"/>
        <v>미래홈402</v>
      </c>
      <c r="F114" s="85">
        <v>46111</v>
      </c>
      <c r="G114" s="229"/>
      <c r="H114" s="229"/>
      <c r="I114" s="229"/>
      <c r="J114" s="229"/>
      <c r="K114" s="218"/>
      <c r="L114" s="87">
        <v>45107</v>
      </c>
      <c r="M114" s="87">
        <v>46567</v>
      </c>
      <c r="N114" s="82" t="s">
        <v>521</v>
      </c>
      <c r="O114" s="82" t="s">
        <v>522</v>
      </c>
      <c r="P114" s="241">
        <v>175000000</v>
      </c>
      <c r="Q114" s="241"/>
      <c r="R114" s="82"/>
      <c r="S114" s="241">
        <v>100000</v>
      </c>
      <c r="T114" s="82" t="s">
        <v>40</v>
      </c>
      <c r="U114" s="241"/>
      <c r="V114" s="82"/>
      <c r="W114" s="88"/>
      <c r="X114" s="82"/>
      <c r="Y114" s="89"/>
      <c r="Z114" s="82"/>
      <c r="AA114" s="220"/>
      <c r="AB114" s="241">
        <v>180000</v>
      </c>
      <c r="AC114" s="241"/>
      <c r="AD114" s="241"/>
      <c r="AE114" s="82" t="s">
        <v>523</v>
      </c>
      <c r="AF114" s="82" t="s">
        <v>524</v>
      </c>
      <c r="AG114" s="90"/>
      <c r="AH114" s="90"/>
      <c r="AI114" s="90" t="s">
        <v>525</v>
      </c>
      <c r="AJ114" s="90"/>
      <c r="AK114" s="82" t="s">
        <v>482</v>
      </c>
      <c r="AL114" s="82" t="str" cm="1">
        <f t="array" aca="1" ref="AL114" ca="1">_xlfn.IFS(
 AND($AK114&lt;&gt;"", M114&lt;&gt;0, M114&lt;=EDATE(TODAY(),2)),"도래",
 AND($AK114&lt;&gt;"", M114&lt;&gt;0, M114&lt;=EDATE(TODAY(),3)),"예정",
 AND($AK114&lt;&gt;"", M114&lt;&gt;0, M114&lt;=EDATE(TODAY(),6)),"관심",
 TRUE,""
)</f>
        <v/>
      </c>
      <c r="AM114" s="198">
        <f t="shared" si="4"/>
        <v>30</v>
      </c>
    </row>
    <row r="115" spans="1:39" ht="18" customHeight="1">
      <c r="A115" s="81"/>
      <c r="B115" s="205" t="str">
        <f>_xlfn.LET(_xlpm.var,◆관리정보!B115,IF(_xlpm.var&lt;&gt;0,_xlpm.var,""))</f>
        <v>미래홈</v>
      </c>
      <c r="C115" s="82">
        <f>_xlfn.LET(_xlpm.var,◆관리정보!C115,IF(_xlpm.var&lt;&gt;0,_xlpm.var,""))</f>
        <v>403</v>
      </c>
      <c r="D115" s="83" t="s">
        <v>526</v>
      </c>
      <c r="E115" s="84" t="str">
        <f t="shared" si="3"/>
        <v>미래홈403</v>
      </c>
      <c r="F115" s="85">
        <v>46113</v>
      </c>
      <c r="G115" s="229"/>
      <c r="H115" s="229"/>
      <c r="I115" s="229"/>
      <c r="J115" s="229"/>
      <c r="K115" s="218"/>
      <c r="L115" s="87">
        <v>45962</v>
      </c>
      <c r="M115" s="87">
        <v>46053</v>
      </c>
      <c r="N115" s="82" t="s">
        <v>527</v>
      </c>
      <c r="O115" s="82" t="s">
        <v>528</v>
      </c>
      <c r="P115" s="241">
        <v>700000</v>
      </c>
      <c r="Q115" s="241">
        <v>500000</v>
      </c>
      <c r="R115" s="82"/>
      <c r="S115" s="241">
        <v>70000</v>
      </c>
      <c r="T115" s="82" t="s">
        <v>40</v>
      </c>
      <c r="U115" s="241"/>
      <c r="V115" s="82"/>
      <c r="W115" s="88"/>
      <c r="X115" s="82"/>
      <c r="Y115" s="89"/>
      <c r="Z115" s="82"/>
      <c r="AA115" s="220"/>
      <c r="AB115" s="241">
        <v>80000</v>
      </c>
      <c r="AC115" s="241">
        <v>110000</v>
      </c>
      <c r="AD115" s="241"/>
      <c r="AE115" s="82" t="s">
        <v>508</v>
      </c>
      <c r="AF115" s="82" t="s">
        <v>529</v>
      </c>
      <c r="AG115" s="90"/>
      <c r="AH115" s="90"/>
      <c r="AI115" s="90"/>
      <c r="AJ115" s="90"/>
      <c r="AK115" s="82"/>
      <c r="AL115" s="82" t="str" cm="1">
        <f t="array" aca="1" ref="AL115" ca="1">_xlfn.IFS(
 AND($AK115&lt;&gt;"", M115&lt;&gt;0, M115&lt;=EDATE(TODAY(),2)),"도래",
 AND($AK115&lt;&gt;"", M115&lt;&gt;0, M115&lt;=EDATE(TODAY(),3)),"예정",
 AND($AK115&lt;&gt;"", M115&lt;&gt;0, M115&lt;=EDATE(TODAY(),6)),"관심",
 TRUE,""
)</f>
        <v/>
      </c>
      <c r="AM115" s="198">
        <f t="shared" si="4"/>
        <v>1</v>
      </c>
    </row>
    <row r="116" spans="1:39" ht="18" customHeight="1">
      <c r="A116" s="81"/>
      <c r="B116" s="205" t="str">
        <f>_xlfn.LET(_xlpm.var,◆관리정보!B116,IF(_xlpm.var&lt;&gt;0,_xlpm.var,""))</f>
        <v>미래홈</v>
      </c>
      <c r="C116" s="82">
        <f>_xlfn.LET(_xlpm.var,◆관리정보!C116,IF(_xlpm.var&lt;&gt;0,_xlpm.var,""))</f>
        <v>404</v>
      </c>
      <c r="D116" s="83" t="s">
        <v>530</v>
      </c>
      <c r="E116" s="84" t="str">
        <f t="shared" si="3"/>
        <v>미래홈404</v>
      </c>
      <c r="F116" s="85">
        <v>46129</v>
      </c>
      <c r="G116" s="229"/>
      <c r="H116" s="229"/>
      <c r="I116" s="229"/>
      <c r="J116" s="307"/>
      <c r="K116" s="218"/>
      <c r="L116" s="87">
        <v>45978</v>
      </c>
      <c r="M116" s="87">
        <v>46069</v>
      </c>
      <c r="N116" s="82" t="s">
        <v>531</v>
      </c>
      <c r="O116" s="82" t="s">
        <v>532</v>
      </c>
      <c r="P116" s="241">
        <v>700000</v>
      </c>
      <c r="Q116" s="241">
        <v>500000</v>
      </c>
      <c r="R116" s="82"/>
      <c r="S116" s="241">
        <v>70000</v>
      </c>
      <c r="T116" s="82" t="s">
        <v>40</v>
      </c>
      <c r="U116" s="241"/>
      <c r="V116" s="82"/>
      <c r="W116" s="88"/>
      <c r="X116" s="82"/>
      <c r="Y116" s="89"/>
      <c r="Z116" s="82"/>
      <c r="AA116" s="220"/>
      <c r="AB116" s="241">
        <v>80000</v>
      </c>
      <c r="AC116" s="241">
        <v>110000</v>
      </c>
      <c r="AD116" s="241"/>
      <c r="AE116" s="82" t="s">
        <v>244</v>
      </c>
      <c r="AF116" s="82" t="s">
        <v>533</v>
      </c>
      <c r="AG116" s="90"/>
      <c r="AH116" s="90"/>
      <c r="AI116" s="90" t="s">
        <v>534</v>
      </c>
      <c r="AJ116" s="90"/>
      <c r="AK116" s="82"/>
      <c r="AL116" s="82" t="str" cm="1">
        <f t="array" aca="1" ref="AL116" ca="1">_xlfn.IFS(
 AND($AK116&lt;&gt;"", M116&lt;&gt;0, M116&lt;=EDATE(TODAY(),2)),"도래",
 AND($AK116&lt;&gt;"", M116&lt;&gt;0, M116&lt;=EDATE(TODAY(),3)),"예정",
 AND($AK116&lt;&gt;"", M116&lt;&gt;0, M116&lt;=EDATE(TODAY(),6)),"관심",
 TRUE,""
)</f>
        <v/>
      </c>
      <c r="AM116" s="198">
        <f t="shared" si="4"/>
        <v>17</v>
      </c>
    </row>
    <row r="117" spans="1:39" ht="18" customHeight="1">
      <c r="A117" s="81"/>
      <c r="B117" s="242" t="str">
        <f>_xlfn.LET(_xlpm.var,◆관리정보!B117,IF(_xlpm.var&lt;&gt;0,_xlpm.var,""))</f>
        <v>미래홈</v>
      </c>
      <c r="C117" s="243">
        <f>_xlfn.LET(_xlpm.var,◆관리정보!C117,IF(_xlpm.var&lt;&gt;0,_xlpm.var,""))</f>
        <v>405</v>
      </c>
      <c r="D117" s="244" t="s">
        <v>535</v>
      </c>
      <c r="E117" s="84" t="str">
        <f t="shared" si="3"/>
        <v>미래홈405</v>
      </c>
      <c r="F117" s="85">
        <v>46117</v>
      </c>
      <c r="G117" s="229"/>
      <c r="H117" s="229"/>
      <c r="I117" s="229"/>
      <c r="J117" s="229"/>
      <c r="K117" s="218"/>
      <c r="L117" s="87">
        <v>44900</v>
      </c>
      <c r="M117" s="87">
        <v>46360</v>
      </c>
      <c r="N117" s="82" t="s">
        <v>536</v>
      </c>
      <c r="O117" s="82" t="s">
        <v>537</v>
      </c>
      <c r="P117" s="241">
        <v>190000000</v>
      </c>
      <c r="Q117" s="241"/>
      <c r="R117" s="82"/>
      <c r="S117" s="241">
        <v>80000</v>
      </c>
      <c r="T117" s="82" t="s">
        <v>40</v>
      </c>
      <c r="U117" s="241"/>
      <c r="V117" s="82"/>
      <c r="W117" s="88"/>
      <c r="X117" s="82"/>
      <c r="Y117" s="89"/>
      <c r="Z117" s="82"/>
      <c r="AA117" s="220"/>
      <c r="AB117" s="241">
        <v>150000</v>
      </c>
      <c r="AC117" s="241">
        <v>150000</v>
      </c>
      <c r="AD117" s="241"/>
      <c r="AE117" s="82" t="s">
        <v>523</v>
      </c>
      <c r="AF117" s="82" t="s">
        <v>524</v>
      </c>
      <c r="AG117" s="90"/>
      <c r="AH117" s="90"/>
      <c r="AI117" s="90" t="s">
        <v>538</v>
      </c>
      <c r="AJ117" s="90"/>
      <c r="AK117" s="82" t="s">
        <v>482</v>
      </c>
      <c r="AL117" s="82" t="str" cm="1">
        <f t="array" aca="1" ref="AL117" ca="1">_xlfn.IFS(
 AND($AK117&lt;&gt;"", M117&lt;&gt;0, M117&lt;=EDATE(TODAY(),2)),"도래",
 AND($AK117&lt;&gt;"", M117&lt;&gt;0, M117&lt;=EDATE(TODAY(),3)),"예정",
 AND($AK117&lt;&gt;"", M117&lt;&gt;0, M117&lt;=EDATE(TODAY(),6)),"관심",
 TRUE,""
)</f>
        <v/>
      </c>
      <c r="AM117" s="198">
        <f t="shared" si="4"/>
        <v>5</v>
      </c>
    </row>
    <row r="118" spans="1:39" ht="18" customHeight="1">
      <c r="A118" s="81"/>
      <c r="B118" s="205" t="str">
        <f>_xlfn.LET(_xlpm.var,◆관리정보!B118,IF(_xlpm.var&lt;&gt;0,_xlpm.var,""))</f>
        <v>미래홈</v>
      </c>
      <c r="C118" s="82">
        <f>_xlfn.LET(_xlpm.var,◆관리정보!C118,IF(_xlpm.var&lt;&gt;0,_xlpm.var,""))</f>
        <v>501</v>
      </c>
      <c r="D118" s="83" t="s">
        <v>539</v>
      </c>
      <c r="E118" s="84" t="str">
        <f t="shared" si="3"/>
        <v>미래홈501</v>
      </c>
      <c r="F118" s="85">
        <v>46098</v>
      </c>
      <c r="G118" s="229"/>
      <c r="H118" s="229"/>
      <c r="I118" s="229"/>
      <c r="J118" s="229">
        <v>687360</v>
      </c>
      <c r="K118" s="218"/>
      <c r="L118" s="87">
        <v>45886</v>
      </c>
      <c r="M118" s="87">
        <v>45977</v>
      </c>
      <c r="N118" s="82" t="s">
        <v>540</v>
      </c>
      <c r="O118" s="82" t="s">
        <v>541</v>
      </c>
      <c r="P118" s="241">
        <v>700000</v>
      </c>
      <c r="Q118" s="241">
        <v>550000</v>
      </c>
      <c r="R118" s="82"/>
      <c r="S118" s="241">
        <v>80000</v>
      </c>
      <c r="T118" s="82" t="s">
        <v>40</v>
      </c>
      <c r="U118" s="241"/>
      <c r="V118" s="82"/>
      <c r="W118" s="88"/>
      <c r="X118" s="82"/>
      <c r="Y118" s="89"/>
      <c r="Z118" s="82"/>
      <c r="AA118" s="220"/>
      <c r="AB118" s="241">
        <v>100000</v>
      </c>
      <c r="AC118" s="241">
        <v>110000</v>
      </c>
      <c r="AD118" s="241"/>
      <c r="AE118" s="82" t="s">
        <v>508</v>
      </c>
      <c r="AF118" s="82" t="s">
        <v>542</v>
      </c>
      <c r="AG118" s="90"/>
      <c r="AH118" s="90"/>
      <c r="AI118" s="90" t="s">
        <v>543</v>
      </c>
      <c r="AJ118" s="90"/>
      <c r="AK118" s="82"/>
      <c r="AL118" s="82" t="str" cm="1">
        <f t="array" aca="1" ref="AL118" ca="1">_xlfn.IFS(
 AND($AK118&lt;&gt;"", M118&lt;&gt;0, M118&lt;=EDATE(TODAY(),2)),"도래",
 AND($AK118&lt;&gt;"", M118&lt;&gt;0, M118&lt;=EDATE(TODAY(),3)),"예정",
 AND($AK118&lt;&gt;"", M118&lt;&gt;0, M118&lt;=EDATE(TODAY(),6)),"관심",
 TRUE,""
)</f>
        <v/>
      </c>
      <c r="AM118" s="198">
        <f t="shared" si="4"/>
        <v>17</v>
      </c>
    </row>
    <row r="119" spans="1:39" ht="18" customHeight="1">
      <c r="A119" s="81"/>
      <c r="B119" s="205" t="str">
        <f>_xlfn.LET(_xlpm.var,◆관리정보!B119,IF(_xlpm.var&lt;&gt;0,_xlpm.var,""))</f>
        <v>굿모닝빌</v>
      </c>
      <c r="C119" s="82">
        <f>_xlfn.LET(_xlpm.var,◆관리정보!C119,IF(_xlpm.var&lt;&gt;0,_xlpm.var,""))</f>
        <v>201</v>
      </c>
      <c r="D119" s="83" t="s">
        <v>544</v>
      </c>
      <c r="E119" s="84" t="str">
        <f t="shared" si="3"/>
        <v>굿모닝빌201</v>
      </c>
      <c r="F119" s="85">
        <v>46100</v>
      </c>
      <c r="G119" s="229"/>
      <c r="H119" s="229"/>
      <c r="I119" s="229">
        <v>1180000</v>
      </c>
      <c r="J119" s="229">
        <v>50000</v>
      </c>
      <c r="K119" s="218"/>
      <c r="L119" s="87">
        <v>46072</v>
      </c>
      <c r="M119" s="87">
        <v>46160</v>
      </c>
      <c r="N119" s="82" t="s">
        <v>545</v>
      </c>
      <c r="O119" s="82" t="s">
        <v>546</v>
      </c>
      <c r="P119" s="241">
        <v>1100000</v>
      </c>
      <c r="Q119" s="261">
        <v>1100000</v>
      </c>
      <c r="R119" s="82"/>
      <c r="S119" s="241">
        <v>80000</v>
      </c>
      <c r="T119" s="82" t="s">
        <v>40</v>
      </c>
      <c r="U119" s="241">
        <v>25000</v>
      </c>
      <c r="V119" s="82" t="s">
        <v>157</v>
      </c>
      <c r="W119" s="261">
        <v>25000</v>
      </c>
      <c r="X119" s="82" t="s">
        <v>157</v>
      </c>
      <c r="Y119" s="89"/>
      <c r="Z119" s="82"/>
      <c r="AA119" s="220" t="s">
        <v>547</v>
      </c>
      <c r="AB119" s="241">
        <v>180000</v>
      </c>
      <c r="AC119" s="241">
        <v>150000</v>
      </c>
      <c r="AD119" s="241"/>
      <c r="AE119" s="82" t="s">
        <v>85</v>
      </c>
      <c r="AF119" s="82" t="s">
        <v>548</v>
      </c>
      <c r="AG119" s="90"/>
      <c r="AH119" s="90"/>
      <c r="AI119" s="90"/>
      <c r="AJ119" s="90"/>
      <c r="AK119" s="82"/>
      <c r="AL119" s="82" t="str" cm="1">
        <f t="array" aca="1" ref="AL119" ca="1">_xlfn.IFS(
 AND($AK119&lt;&gt;"", M119&lt;&gt;0, M119&lt;=EDATE(TODAY(),2)),"도래",
 AND($AK119&lt;&gt;"", M119&lt;&gt;0, M119&lt;=EDATE(TODAY(),3)),"예정",
 AND($AK119&lt;&gt;"", M119&lt;&gt;0, M119&lt;=EDATE(TODAY(),6)),"관심",
 TRUE,""
)</f>
        <v/>
      </c>
      <c r="AM119" s="198">
        <f t="shared" si="4"/>
        <v>19</v>
      </c>
    </row>
    <row r="120" spans="1:39" ht="18" customHeight="1">
      <c r="A120" s="81"/>
      <c r="B120" s="205" t="str">
        <f>_xlfn.LET(_xlpm.var,◆관리정보!B120,IF(_xlpm.var&lt;&gt;0,_xlpm.var,""))</f>
        <v>굿모닝빌</v>
      </c>
      <c r="C120" s="82">
        <f>_xlfn.LET(_xlpm.var,◆관리정보!C120,IF(_xlpm.var&lt;&gt;0,_xlpm.var,""))</f>
        <v>202</v>
      </c>
      <c r="D120" s="83" t="s">
        <v>549</v>
      </c>
      <c r="E120" s="84" t="str">
        <f t="shared" si="3"/>
        <v>굿모닝빌202</v>
      </c>
      <c r="F120" s="85">
        <v>46114</v>
      </c>
      <c r="G120" s="229"/>
      <c r="H120" s="229"/>
      <c r="I120" s="229"/>
      <c r="J120" s="229"/>
      <c r="K120" s="218"/>
      <c r="L120" s="87">
        <v>46083</v>
      </c>
      <c r="M120" s="87">
        <v>46174</v>
      </c>
      <c r="N120" s="82" t="s">
        <v>550</v>
      </c>
      <c r="O120" s="82" t="s">
        <v>551</v>
      </c>
      <c r="P120" s="241">
        <v>1200000</v>
      </c>
      <c r="Q120" s="241">
        <v>1150000</v>
      </c>
      <c r="R120" s="82"/>
      <c r="S120" s="241">
        <v>80000</v>
      </c>
      <c r="T120" s="82" t="s">
        <v>40</v>
      </c>
      <c r="U120" s="241">
        <v>25000</v>
      </c>
      <c r="V120" s="82" t="s">
        <v>157</v>
      </c>
      <c r="W120" s="88">
        <v>25000</v>
      </c>
      <c r="X120" s="82" t="s">
        <v>157</v>
      </c>
      <c r="Y120" s="89"/>
      <c r="Z120" s="82"/>
      <c r="AA120" s="220" t="s">
        <v>552</v>
      </c>
      <c r="AB120" s="241">
        <v>180000</v>
      </c>
      <c r="AC120" s="241">
        <v>150000</v>
      </c>
      <c r="AD120" s="241"/>
      <c r="AE120" s="82" t="s">
        <v>553</v>
      </c>
      <c r="AF120" s="82" t="s">
        <v>554</v>
      </c>
      <c r="AG120" s="90"/>
      <c r="AH120" s="90"/>
      <c r="AI120" s="90" t="s">
        <v>555</v>
      </c>
      <c r="AJ120" s="90"/>
      <c r="AK120" s="82"/>
      <c r="AL120" s="82" t="str" cm="1">
        <f t="array" aca="1" ref="AL120" ca="1">_xlfn.IFS(
 AND($AK120&lt;&gt;"", M120&lt;&gt;0, M120&lt;=EDATE(TODAY(),2)),"도래",
 AND($AK120&lt;&gt;"", M120&lt;&gt;0, M120&lt;=EDATE(TODAY(),3)),"예정",
 AND($AK120&lt;&gt;"", M120&lt;&gt;0, M120&lt;=EDATE(TODAY(),6)),"관심",
 TRUE,""
)</f>
        <v/>
      </c>
      <c r="AM120" s="198">
        <f t="shared" si="4"/>
        <v>2</v>
      </c>
    </row>
    <row r="121" spans="1:39" ht="18" customHeight="1">
      <c r="A121" s="81"/>
      <c r="B121" s="237" t="str">
        <f>_xlfn.LET(_xlpm.var,◆관리정보!B121,IF(_xlpm.var&lt;&gt;0,_xlpm.var,""))</f>
        <v>굿모닝빌</v>
      </c>
      <c r="C121" s="238">
        <f>_xlfn.LET(_xlpm.var,◆관리정보!C121,IF(_xlpm.var&lt;&gt;0,_xlpm.var,""))</f>
        <v>203</v>
      </c>
      <c r="D121" s="239" t="s">
        <v>195</v>
      </c>
      <c r="E121" s="84" t="str">
        <f t="shared" si="3"/>
        <v>굿모닝빌203</v>
      </c>
      <c r="F121" s="85"/>
      <c r="G121" s="229"/>
      <c r="H121" s="229"/>
      <c r="I121" s="229"/>
      <c r="J121" s="229"/>
      <c r="K121" s="218"/>
      <c r="L121" s="87"/>
      <c r="M121" s="87"/>
      <c r="N121" s="369"/>
      <c r="O121" s="82"/>
      <c r="P121" s="241"/>
      <c r="Q121" s="241"/>
      <c r="R121" s="82"/>
      <c r="S121" s="241"/>
      <c r="T121" s="82"/>
      <c r="U121" s="241"/>
      <c r="V121" s="82"/>
      <c r="W121" s="88"/>
      <c r="X121" s="82"/>
      <c r="Y121" s="89"/>
      <c r="Z121" s="82"/>
      <c r="AA121" s="220"/>
      <c r="AB121" s="241"/>
      <c r="AC121" s="241"/>
      <c r="AD121" s="241"/>
      <c r="AE121" s="82"/>
      <c r="AF121" s="82"/>
      <c r="AG121" s="90"/>
      <c r="AH121" s="90"/>
      <c r="AI121" s="90"/>
      <c r="AJ121" s="90"/>
      <c r="AK121" s="82"/>
      <c r="AL121" s="82" t="str" cm="1">
        <f t="array" aca="1" ref="AL121" ca="1">_xlfn.IFS(
 AND($AK121&lt;&gt;"", M121&lt;&gt;0, M121&lt;=EDATE(TODAY(),2)),"도래",
 AND($AK121&lt;&gt;"", M121&lt;&gt;0, M121&lt;=EDATE(TODAY(),3)),"예정",
 AND($AK121&lt;&gt;"", M121&lt;&gt;0, M121&lt;=EDATE(TODAY(),6)),"관심",
 TRUE,""
)</f>
        <v/>
      </c>
      <c r="AM121" s="198">
        <f t="shared" si="4"/>
        <v>0</v>
      </c>
    </row>
    <row r="122" spans="1:39" ht="18" customHeight="1">
      <c r="A122" s="81"/>
      <c r="B122" s="205" t="str">
        <f>_xlfn.LET(_xlpm.var,◆관리정보!B122,IF(_xlpm.var&lt;&gt;0,_xlpm.var,""))</f>
        <v>굿모닝빌</v>
      </c>
      <c r="C122" s="82">
        <f>_xlfn.LET(_xlpm.var,◆관리정보!C122,IF(_xlpm.var&lt;&gt;0,_xlpm.var,""))</f>
        <v>204</v>
      </c>
      <c r="D122" s="236" t="s">
        <v>556</v>
      </c>
      <c r="E122" s="84" t="str">
        <f t="shared" si="3"/>
        <v>굿모닝빌204</v>
      </c>
      <c r="F122" s="85">
        <v>46120</v>
      </c>
      <c r="G122" s="229"/>
      <c r="H122" s="229"/>
      <c r="I122" s="229"/>
      <c r="J122" s="229"/>
      <c r="K122" s="218"/>
      <c r="L122" s="87">
        <v>45696</v>
      </c>
      <c r="M122" s="87">
        <v>45784</v>
      </c>
      <c r="N122" s="82" t="s">
        <v>557</v>
      </c>
      <c r="O122" s="82" t="s">
        <v>558</v>
      </c>
      <c r="P122" s="241">
        <v>1000000</v>
      </c>
      <c r="Q122" s="241">
        <v>1000000</v>
      </c>
      <c r="R122" s="82"/>
      <c r="S122" s="241">
        <v>80000</v>
      </c>
      <c r="T122" s="82" t="s">
        <v>40</v>
      </c>
      <c r="U122" s="241">
        <v>25000</v>
      </c>
      <c r="V122" s="82" t="s">
        <v>157</v>
      </c>
      <c r="W122" s="88">
        <v>25000</v>
      </c>
      <c r="X122" s="82" t="s">
        <v>157</v>
      </c>
      <c r="Y122" s="89"/>
      <c r="Z122" s="82"/>
      <c r="AA122" s="220"/>
      <c r="AB122" s="241">
        <v>180000</v>
      </c>
      <c r="AC122" s="241">
        <v>150000</v>
      </c>
      <c r="AD122" s="241"/>
      <c r="AE122" s="82" t="s">
        <v>353</v>
      </c>
      <c r="AF122" s="82" t="s">
        <v>559</v>
      </c>
      <c r="AG122" s="90"/>
      <c r="AH122" s="90"/>
      <c r="AI122" s="90" t="s">
        <v>560</v>
      </c>
      <c r="AJ122" s="90"/>
      <c r="AK122" s="82"/>
      <c r="AL122" s="82" t="str" cm="1">
        <f t="array" aca="1" ref="AL122" ca="1">_xlfn.IFS(
 AND($AK122&lt;&gt;"", M122&lt;&gt;0, M122&lt;=EDATE(TODAY(),2)),"도래",
 AND($AK122&lt;&gt;"", M122&lt;&gt;0, M122&lt;=EDATE(TODAY(),3)),"예정",
 AND($AK122&lt;&gt;"", M122&lt;&gt;0, M122&lt;=EDATE(TODAY(),6)),"관심",
 TRUE,""
)</f>
        <v/>
      </c>
      <c r="AM122" s="198">
        <f t="shared" si="4"/>
        <v>8</v>
      </c>
    </row>
    <row r="123" spans="1:39" ht="18" customHeight="1">
      <c r="A123" s="81"/>
      <c r="B123" s="237" t="str">
        <f>_xlfn.LET(_xlpm.var,◆관리정보!B123,IF(_xlpm.var&lt;&gt;0,_xlpm.var,""))</f>
        <v>굿모닝빌</v>
      </c>
      <c r="C123" s="238">
        <f>_xlfn.LET(_xlpm.var,◆관리정보!C123,IF(_xlpm.var&lt;&gt;0,_xlpm.var,""))</f>
        <v>301</v>
      </c>
      <c r="D123" s="239" t="s">
        <v>202</v>
      </c>
      <c r="E123" s="84" t="str">
        <f t="shared" si="3"/>
        <v>굿모닝빌301</v>
      </c>
      <c r="F123" s="85"/>
      <c r="G123" s="229"/>
      <c r="H123" s="229"/>
      <c r="I123" s="229"/>
      <c r="J123" s="229"/>
      <c r="K123" s="318"/>
      <c r="L123" s="87"/>
      <c r="M123" s="87"/>
      <c r="N123" s="238" t="s">
        <v>561</v>
      </c>
      <c r="O123" s="82"/>
      <c r="P123" s="241"/>
      <c r="Q123" s="241"/>
      <c r="R123" s="82"/>
      <c r="S123" s="241"/>
      <c r="T123" s="82"/>
      <c r="U123" s="241"/>
      <c r="V123" s="82"/>
      <c r="W123" s="88"/>
      <c r="X123" s="82"/>
      <c r="Y123" s="89"/>
      <c r="Z123" s="82"/>
      <c r="AA123" s="220"/>
      <c r="AB123" s="241"/>
      <c r="AC123" s="241"/>
      <c r="AD123" s="241"/>
      <c r="AE123" s="82"/>
      <c r="AF123" s="82"/>
      <c r="AG123" s="90"/>
      <c r="AH123" s="90"/>
      <c r="AI123" s="90" t="s">
        <v>562</v>
      </c>
      <c r="AJ123" s="90"/>
      <c r="AK123" s="82"/>
      <c r="AL123" s="82" t="str" cm="1">
        <f t="array" aca="1" ref="AL123" ca="1">_xlfn.IFS(
 AND($AK123&lt;&gt;"", M123&lt;&gt;0, M123&lt;=EDATE(TODAY(),2)),"도래",
 AND($AK123&lt;&gt;"", M123&lt;&gt;0, M123&lt;=EDATE(TODAY(),3)),"예정",
 AND($AK123&lt;&gt;"", M123&lt;&gt;0, M123&lt;=EDATE(TODAY(),6)),"관심",
 TRUE,""
)</f>
        <v/>
      </c>
      <c r="AM123" s="198">
        <f t="shared" si="4"/>
        <v>0</v>
      </c>
    </row>
    <row r="124" spans="1:39" ht="18" customHeight="1">
      <c r="A124" s="81"/>
      <c r="B124" s="205" t="str">
        <f>_xlfn.LET(_xlpm.var,◆관리정보!B124,IF(_xlpm.var&lt;&gt;0,_xlpm.var,""))</f>
        <v>굿모닝빌</v>
      </c>
      <c r="C124" s="82">
        <f>_xlfn.LET(_xlpm.var,◆관리정보!C124,IF(_xlpm.var&lt;&gt;0,_xlpm.var,""))</f>
        <v>302</v>
      </c>
      <c r="D124" s="236" t="s">
        <v>563</v>
      </c>
      <c r="E124" s="84" t="str">
        <f t="shared" si="3"/>
        <v>굿모닝빌302</v>
      </c>
      <c r="F124" s="85">
        <v>46122</v>
      </c>
      <c r="G124" s="229"/>
      <c r="H124" s="229"/>
      <c r="I124" s="229"/>
      <c r="J124" s="229"/>
      <c r="K124" s="318"/>
      <c r="L124" s="87">
        <v>46032</v>
      </c>
      <c r="M124" s="87">
        <v>46121</v>
      </c>
      <c r="N124" s="82" t="s">
        <v>564</v>
      </c>
      <c r="O124" s="82" t="s">
        <v>565</v>
      </c>
      <c r="P124" s="241">
        <v>1200000</v>
      </c>
      <c r="Q124" s="241">
        <v>1100000</v>
      </c>
      <c r="R124" s="82"/>
      <c r="S124" s="241">
        <v>80000</v>
      </c>
      <c r="T124" s="82" t="s">
        <v>40</v>
      </c>
      <c r="U124" s="241">
        <v>25000</v>
      </c>
      <c r="V124" s="82" t="s">
        <v>40</v>
      </c>
      <c r="W124" s="88">
        <v>25000</v>
      </c>
      <c r="X124" s="82" t="s">
        <v>40</v>
      </c>
      <c r="Y124" s="89"/>
      <c r="Z124" s="82"/>
      <c r="AA124" s="220"/>
      <c r="AB124" s="241">
        <v>150000</v>
      </c>
      <c r="AC124" s="241">
        <v>150000</v>
      </c>
      <c r="AD124" s="241"/>
      <c r="AE124" s="82" t="s">
        <v>158</v>
      </c>
      <c r="AF124" s="82" t="s">
        <v>566</v>
      </c>
      <c r="AG124" s="90"/>
      <c r="AH124" s="90"/>
      <c r="AI124" s="90"/>
      <c r="AJ124" s="90"/>
      <c r="AK124" s="82"/>
      <c r="AL124" s="82" t="str" cm="1">
        <f t="array" aca="1" ref="AL124" ca="1">_xlfn.IFS(
 AND($AK124&lt;&gt;"", M124&lt;&gt;0, M124&lt;=EDATE(TODAY(),2)),"도래",
 AND($AK124&lt;&gt;"", M124&lt;&gt;0, M124&lt;=EDATE(TODAY(),3)),"예정",
 AND($AK124&lt;&gt;"", M124&lt;&gt;0, M124&lt;=EDATE(TODAY(),6)),"관심",
 TRUE,""
)</f>
        <v/>
      </c>
      <c r="AM124" s="198">
        <f t="shared" si="4"/>
        <v>10</v>
      </c>
    </row>
    <row r="125" spans="1:39" ht="18" customHeight="1">
      <c r="A125" s="81"/>
      <c r="B125" s="205" t="str">
        <f>_xlfn.LET(_xlpm.var,◆관리정보!B125,IF(_xlpm.var&lt;&gt;0,_xlpm.var,""))</f>
        <v>굿모닝빌</v>
      </c>
      <c r="C125" s="82">
        <f>_xlfn.LET(_xlpm.var,◆관리정보!C125,IF(_xlpm.var&lt;&gt;0,_xlpm.var,""))</f>
        <v>303</v>
      </c>
      <c r="D125" s="236" t="s">
        <v>567</v>
      </c>
      <c r="E125" s="84" t="str">
        <f t="shared" si="3"/>
        <v>굿모닝빌303</v>
      </c>
      <c r="F125" s="85">
        <v>46107</v>
      </c>
      <c r="G125" s="229"/>
      <c r="H125" s="229"/>
      <c r="I125" s="229"/>
      <c r="J125" s="229"/>
      <c r="K125" s="218"/>
      <c r="L125" s="87">
        <v>45926</v>
      </c>
      <c r="M125" s="87">
        <v>46016</v>
      </c>
      <c r="N125" s="82" t="s">
        <v>568</v>
      </c>
      <c r="O125" s="82" t="s">
        <v>569</v>
      </c>
      <c r="P125" s="241">
        <v>1100000</v>
      </c>
      <c r="Q125" s="241">
        <v>1000000</v>
      </c>
      <c r="R125" s="82"/>
      <c r="S125" s="241">
        <v>80000</v>
      </c>
      <c r="T125" s="82" t="s">
        <v>40</v>
      </c>
      <c r="U125" s="241">
        <v>25000</v>
      </c>
      <c r="V125" s="82" t="s">
        <v>40</v>
      </c>
      <c r="W125" s="88">
        <v>25000</v>
      </c>
      <c r="X125" s="82" t="s">
        <v>40</v>
      </c>
      <c r="Y125" s="89"/>
      <c r="Z125" s="82"/>
      <c r="AA125" s="220"/>
      <c r="AB125" s="241">
        <v>180000</v>
      </c>
      <c r="AC125" s="241">
        <v>150000</v>
      </c>
      <c r="AD125" s="241"/>
      <c r="AE125" s="82" t="s">
        <v>63</v>
      </c>
      <c r="AF125" s="82" t="s">
        <v>570</v>
      </c>
      <c r="AG125" s="90"/>
      <c r="AH125" s="90"/>
      <c r="AI125" s="90"/>
      <c r="AJ125" s="90"/>
      <c r="AK125" s="82"/>
      <c r="AL125" s="82" t="str" cm="1">
        <f t="array" aca="1" ref="AL125" ca="1">_xlfn.IFS(
 AND($AK125&lt;&gt;"", M125&lt;&gt;0, M125&lt;=EDATE(TODAY(),2)),"도래",
 AND($AK125&lt;&gt;"", M125&lt;&gt;0, M125&lt;=EDATE(TODAY(),3)),"예정",
 AND($AK125&lt;&gt;"", M125&lt;&gt;0, M125&lt;=EDATE(TODAY(),6)),"관심",
 TRUE,""
)</f>
        <v/>
      </c>
      <c r="AM125" s="198">
        <f t="shared" si="4"/>
        <v>26</v>
      </c>
    </row>
    <row r="126" spans="1:39" ht="18" customHeight="1">
      <c r="A126" s="81"/>
      <c r="B126" s="205" t="str">
        <f>_xlfn.LET(_xlpm.var,◆관리정보!B126,IF(_xlpm.var&lt;&gt;0,_xlpm.var,""))</f>
        <v>굿모닝빌</v>
      </c>
      <c r="C126" s="82">
        <f>_xlfn.LET(_xlpm.var,◆관리정보!C126,IF(_xlpm.var&lt;&gt;0,_xlpm.var,""))</f>
        <v>304</v>
      </c>
      <c r="D126" s="236" t="s">
        <v>571</v>
      </c>
      <c r="E126" s="84" t="str">
        <f t="shared" si="3"/>
        <v>굿모닝빌304</v>
      </c>
      <c r="F126" s="85">
        <v>46086</v>
      </c>
      <c r="G126" s="229"/>
      <c r="H126" s="229"/>
      <c r="I126" s="229"/>
      <c r="J126" s="229">
        <v>127960</v>
      </c>
      <c r="K126" s="218">
        <v>40000</v>
      </c>
      <c r="L126" s="87">
        <v>45752</v>
      </c>
      <c r="M126" s="87">
        <v>45842</v>
      </c>
      <c r="N126" s="82" t="s">
        <v>572</v>
      </c>
      <c r="O126" s="82" t="s">
        <v>573</v>
      </c>
      <c r="P126" s="241">
        <v>1050000</v>
      </c>
      <c r="Q126" s="241">
        <v>1000000</v>
      </c>
      <c r="R126" s="82"/>
      <c r="S126" s="241">
        <v>80000</v>
      </c>
      <c r="T126" s="82" t="s">
        <v>40</v>
      </c>
      <c r="U126" s="241">
        <v>20000</v>
      </c>
      <c r="V126" s="82" t="s">
        <v>157</v>
      </c>
      <c r="W126" s="88">
        <v>25000</v>
      </c>
      <c r="X126" s="82" t="s">
        <v>157</v>
      </c>
      <c r="Y126" s="89"/>
      <c r="Z126" s="82"/>
      <c r="AA126" s="220"/>
      <c r="AB126" s="241">
        <v>180000</v>
      </c>
      <c r="AC126" s="241">
        <v>150000</v>
      </c>
      <c r="AD126" s="241"/>
      <c r="AE126" s="82" t="s">
        <v>151</v>
      </c>
      <c r="AF126" s="82" t="s">
        <v>566</v>
      </c>
      <c r="AG126" s="90"/>
      <c r="AH126" s="90"/>
      <c r="AI126" s="90" t="s">
        <v>574</v>
      </c>
      <c r="AJ126" s="90"/>
      <c r="AK126" s="82"/>
      <c r="AL126" s="82" t="str" cm="1">
        <f t="array" aca="1" ref="AL126" ca="1">_xlfn.IFS(
 AND($AK126&lt;&gt;"", M126&lt;&gt;0, M126&lt;=EDATE(TODAY(),2)),"도래",
 AND($AK126&lt;&gt;"", M126&lt;&gt;0, M126&lt;=EDATE(TODAY(),3)),"예정",
 AND($AK126&lt;&gt;"", M126&lt;&gt;0, M126&lt;=EDATE(TODAY(),6)),"관심",
 TRUE,""
)</f>
        <v/>
      </c>
      <c r="AM126" s="198">
        <f t="shared" si="4"/>
        <v>5</v>
      </c>
    </row>
    <row r="127" spans="1:39" ht="18" customHeight="1">
      <c r="A127" s="81"/>
      <c r="B127" s="337" t="str">
        <f>_xlfn.LET(_xlpm.var,◆관리정보!B127,IF(_xlpm.var&lt;&gt;0,_xlpm.var,""))</f>
        <v>굿모닝빌</v>
      </c>
      <c r="C127" s="264">
        <f>_xlfn.LET(_xlpm.var,◆관리정보!C127,IF(_xlpm.var&lt;&gt;0,_xlpm.var,""))</f>
        <v>401</v>
      </c>
      <c r="D127" s="236" t="s">
        <v>575</v>
      </c>
      <c r="E127" s="84" t="str">
        <f t="shared" si="3"/>
        <v>굿모닝빌401</v>
      </c>
      <c r="F127" s="85">
        <v>46128</v>
      </c>
      <c r="G127" s="229"/>
      <c r="H127" s="229"/>
      <c r="I127" s="229"/>
      <c r="J127" s="229"/>
      <c r="K127" s="218"/>
      <c r="L127" s="87">
        <v>46069</v>
      </c>
      <c r="M127" s="87">
        <v>46157</v>
      </c>
      <c r="N127" s="82" t="s">
        <v>576</v>
      </c>
      <c r="O127" s="82" t="s">
        <v>577</v>
      </c>
      <c r="P127" s="241">
        <v>1850000</v>
      </c>
      <c r="Q127" s="241">
        <v>1850000</v>
      </c>
      <c r="R127" s="82"/>
      <c r="S127" s="241">
        <v>100000</v>
      </c>
      <c r="T127" s="82" t="s">
        <v>40</v>
      </c>
      <c r="U127" s="241">
        <v>30000</v>
      </c>
      <c r="V127" s="82" t="s">
        <v>157</v>
      </c>
      <c r="W127" s="88">
        <v>25000</v>
      </c>
      <c r="X127" s="82" t="s">
        <v>157</v>
      </c>
      <c r="Y127" s="89"/>
      <c r="Z127" s="82"/>
      <c r="AA127" s="220"/>
      <c r="AB127" s="241">
        <v>200000</v>
      </c>
      <c r="AC127" s="241">
        <v>200000</v>
      </c>
      <c r="AD127" s="241"/>
      <c r="AE127" s="82" t="s">
        <v>578</v>
      </c>
      <c r="AF127" s="82" t="s">
        <v>579</v>
      </c>
      <c r="AG127" s="90"/>
      <c r="AH127" s="90"/>
      <c r="AI127" s="90" t="s">
        <v>580</v>
      </c>
      <c r="AJ127" s="90"/>
      <c r="AK127" s="82"/>
      <c r="AL127" s="82" t="str" cm="1">
        <f t="array" aca="1" ref="AL127" ca="1">_xlfn.IFS(
 AND($AK127&lt;&gt;"", M127&lt;&gt;0, M127&lt;=EDATE(TODAY(),2)),"도래",
 AND($AK127&lt;&gt;"", M127&lt;&gt;0, M127&lt;=EDATE(TODAY(),3)),"예정",
 AND($AK127&lt;&gt;"", M127&lt;&gt;0, M127&lt;=EDATE(TODAY(),6)),"관심",
 TRUE,""
)</f>
        <v/>
      </c>
      <c r="AM127" s="198">
        <f t="shared" si="4"/>
        <v>16</v>
      </c>
    </row>
    <row r="128" spans="1:39" ht="18" customHeight="1">
      <c r="A128" s="81"/>
      <c r="B128" s="237" t="str">
        <f>_xlfn.LET(_xlpm.var,◆관리정보!B128,IF(_xlpm.var&lt;&gt;0,_xlpm.var,""))</f>
        <v>굿모닝빌</v>
      </c>
      <c r="C128" s="238">
        <f>_xlfn.LET(_xlpm.var,◆관리정보!C128,IF(_xlpm.var&lt;&gt;0,_xlpm.var,""))</f>
        <v>402</v>
      </c>
      <c r="D128" s="239" t="s">
        <v>202</v>
      </c>
      <c r="E128" s="84" t="str">
        <f t="shared" si="3"/>
        <v>굿모닝빌402</v>
      </c>
      <c r="F128" s="85"/>
      <c r="G128" s="229"/>
      <c r="H128" s="229"/>
      <c r="I128" s="229"/>
      <c r="J128" s="229"/>
      <c r="K128" s="218"/>
      <c r="L128" s="87"/>
      <c r="M128" s="87"/>
      <c r="N128" s="82"/>
      <c r="O128" s="82"/>
      <c r="P128" s="241"/>
      <c r="Q128" s="241"/>
      <c r="R128" s="82"/>
      <c r="S128" s="241"/>
      <c r="T128" s="82"/>
      <c r="U128" s="241"/>
      <c r="V128" s="82"/>
      <c r="W128" s="88"/>
      <c r="X128" s="82"/>
      <c r="Y128" s="89"/>
      <c r="Z128" s="82"/>
      <c r="AA128" s="220"/>
      <c r="AB128" s="241"/>
      <c r="AC128" s="241"/>
      <c r="AD128" s="241"/>
      <c r="AE128" s="82"/>
      <c r="AF128" s="82"/>
      <c r="AG128" s="90"/>
      <c r="AH128" s="90"/>
      <c r="AI128" s="90"/>
      <c r="AJ128" s="90"/>
      <c r="AK128" s="82"/>
      <c r="AL128" s="82" t="str" cm="1">
        <f t="array" aca="1" ref="AL128" ca="1">_xlfn.IFS(
 AND($AK128&lt;&gt;"", M128&lt;&gt;0, M128&lt;=EDATE(TODAY(),2)),"도래",
 AND($AK128&lt;&gt;"", M128&lt;&gt;0, M128&lt;=EDATE(TODAY(),3)),"예정",
 AND($AK128&lt;&gt;"", M128&lt;&gt;0, M128&lt;=EDATE(TODAY(),6)),"관심",
 TRUE,""
)</f>
        <v/>
      </c>
      <c r="AM128" s="198">
        <f t="shared" si="4"/>
        <v>0</v>
      </c>
    </row>
    <row r="129" spans="1:39" ht="18" customHeight="1">
      <c r="A129" s="81"/>
      <c r="B129" s="205" t="str">
        <f>_xlfn.LET(_xlpm.var,◆관리정보!B129,IF(_xlpm.var&lt;&gt;0,_xlpm.var,""))</f>
        <v>굿모닝빌</v>
      </c>
      <c r="C129" s="82">
        <f>_xlfn.LET(_xlpm.var,◆관리정보!C129,IF(_xlpm.var&lt;&gt;0,_xlpm.var,""))</f>
        <v>501</v>
      </c>
      <c r="D129" s="236" t="s">
        <v>581</v>
      </c>
      <c r="E129" s="84" t="str">
        <f t="shared" si="3"/>
        <v>굿모닝빌501</v>
      </c>
      <c r="F129" s="85">
        <v>46124</v>
      </c>
      <c r="G129" s="229"/>
      <c r="H129" s="229"/>
      <c r="I129" s="229"/>
      <c r="J129" s="229"/>
      <c r="K129" s="318"/>
      <c r="L129" s="87">
        <v>46034</v>
      </c>
      <c r="M129" s="87">
        <v>46123</v>
      </c>
      <c r="N129" s="82" t="s">
        <v>582</v>
      </c>
      <c r="O129" s="82" t="s">
        <v>583</v>
      </c>
      <c r="P129" s="241">
        <v>1550000</v>
      </c>
      <c r="Q129" s="241">
        <v>1550000</v>
      </c>
      <c r="R129" s="82"/>
      <c r="S129" s="241">
        <v>80000</v>
      </c>
      <c r="T129" s="82" t="s">
        <v>40</v>
      </c>
      <c r="U129" s="241">
        <v>25000</v>
      </c>
      <c r="V129" s="82" t="s">
        <v>157</v>
      </c>
      <c r="W129" s="88">
        <v>25000</v>
      </c>
      <c r="X129" s="82" t="s">
        <v>157</v>
      </c>
      <c r="Y129" s="89"/>
      <c r="Z129" s="82"/>
      <c r="AA129" s="220"/>
      <c r="AB129" s="241">
        <v>200000</v>
      </c>
      <c r="AC129" s="241">
        <v>150000</v>
      </c>
      <c r="AD129" s="241"/>
      <c r="AE129" s="82"/>
      <c r="AF129" s="82" t="s">
        <v>584</v>
      </c>
      <c r="AG129" s="90"/>
      <c r="AH129" s="90"/>
      <c r="AI129" s="90" t="s">
        <v>585</v>
      </c>
      <c r="AJ129" s="90"/>
      <c r="AK129" s="82"/>
      <c r="AL129" s="82" t="str" cm="1">
        <f t="array" aca="1" ref="AL129" ca="1">_xlfn.IFS(
 AND($AK129&lt;&gt;"", M129&lt;&gt;0, M129&lt;=EDATE(TODAY(),2)),"도래",
 AND($AK129&lt;&gt;"", M129&lt;&gt;0, M129&lt;=EDATE(TODAY(),3)),"예정",
 AND($AK129&lt;&gt;"", M129&lt;&gt;0, M129&lt;=EDATE(TODAY(),6)),"관심",
 TRUE,""
)</f>
        <v/>
      </c>
      <c r="AM129" s="198">
        <f t="shared" si="4"/>
        <v>12</v>
      </c>
    </row>
    <row r="130" spans="1:39" ht="18" customHeight="1">
      <c r="A130" s="81"/>
      <c r="B130" s="205" t="str">
        <f>_xlfn.LET(_xlpm.var,◆관리정보!B130,IF(_xlpm.var&lt;&gt;0,_xlpm.var,""))</f>
        <v>굿모닝빌</v>
      </c>
      <c r="C130" s="82">
        <f>_xlfn.LET(_xlpm.var,◆관리정보!C130,IF(_xlpm.var&lt;&gt;0,_xlpm.var,""))</f>
        <v>502</v>
      </c>
      <c r="D130" s="236" t="s">
        <v>586</v>
      </c>
      <c r="E130" s="84" t="str">
        <f t="shared" si="3"/>
        <v>굿모닝빌502</v>
      </c>
      <c r="F130" s="85">
        <v>46126</v>
      </c>
      <c r="G130" s="229"/>
      <c r="H130" s="229"/>
      <c r="I130" s="229"/>
      <c r="J130" s="229"/>
      <c r="K130" s="218"/>
      <c r="L130" s="87">
        <v>45091</v>
      </c>
      <c r="M130" s="87">
        <v>45182</v>
      </c>
      <c r="N130" s="82" t="s">
        <v>587</v>
      </c>
      <c r="O130" s="82" t="s">
        <v>588</v>
      </c>
      <c r="P130" s="241">
        <v>1300000</v>
      </c>
      <c r="Q130" s="241">
        <v>1300000</v>
      </c>
      <c r="R130" s="82"/>
      <c r="S130" s="241">
        <v>80000</v>
      </c>
      <c r="T130" s="82" t="s">
        <v>40</v>
      </c>
      <c r="U130" s="241">
        <v>25000</v>
      </c>
      <c r="V130" s="82" t="s">
        <v>157</v>
      </c>
      <c r="W130" s="88">
        <v>25000</v>
      </c>
      <c r="X130" s="82" t="s">
        <v>157</v>
      </c>
      <c r="Y130" s="89"/>
      <c r="Z130" s="82"/>
      <c r="AA130" s="220"/>
      <c r="AB130" s="241">
        <v>180000</v>
      </c>
      <c r="AC130" s="241">
        <v>150000</v>
      </c>
      <c r="AD130" s="241"/>
      <c r="AE130" s="82" t="s">
        <v>589</v>
      </c>
      <c r="AF130" s="82" t="s">
        <v>590</v>
      </c>
      <c r="AG130" s="90"/>
      <c r="AH130" s="90"/>
      <c r="AI130" s="90"/>
      <c r="AJ130" s="90"/>
      <c r="AK130" s="82"/>
      <c r="AL130" s="82" t="str" cm="1">
        <f t="array" aca="1" ref="AL130" ca="1">_xlfn.IFS(
 AND($AK130&lt;&gt;"", M130&lt;&gt;0, M130&lt;=EDATE(TODAY(),2)),"도래",
 AND($AK130&lt;&gt;"", M130&lt;&gt;0, M130&lt;=EDATE(TODAY(),3)),"예정",
 AND($AK130&lt;&gt;"", M130&lt;&gt;0, M130&lt;=EDATE(TODAY(),6)),"관심",
 TRUE,""
)</f>
        <v/>
      </c>
      <c r="AM130" s="198">
        <f t="shared" si="4"/>
        <v>14</v>
      </c>
    </row>
    <row r="131" spans="1:39" ht="18" customHeight="1">
      <c r="A131" s="81"/>
      <c r="B131" s="205" t="str">
        <f>_xlfn.LET(_xlpm.var,◆관리정보!B131,IF(_xlpm.var&lt;&gt;0,_xlpm.var,""))</f>
        <v>모닝빌</v>
      </c>
      <c r="C131" s="82">
        <f>_xlfn.LET(_xlpm.var,◆관리정보!C131,IF(_xlpm.var&lt;&gt;0,_xlpm.var,""))</f>
        <v>201</v>
      </c>
      <c r="D131" s="83" t="s">
        <v>591</v>
      </c>
      <c r="E131" s="84" t="str">
        <f t="shared" si="3"/>
        <v>모닝빌201</v>
      </c>
      <c r="F131" s="85">
        <v>46091</v>
      </c>
      <c r="G131" s="229"/>
      <c r="H131" s="229"/>
      <c r="I131" s="229"/>
      <c r="J131" s="229">
        <f>1517040-(1500000-60000-10000)-30740</f>
        <v>56300</v>
      </c>
      <c r="K131" s="318"/>
      <c r="L131" s="87">
        <v>44540</v>
      </c>
      <c r="M131" s="87">
        <v>44629</v>
      </c>
      <c r="N131" s="82" t="s">
        <v>592</v>
      </c>
      <c r="O131" s="82" t="s">
        <v>593</v>
      </c>
      <c r="P131" s="241">
        <v>1200000</v>
      </c>
      <c r="Q131" s="241">
        <v>1200000</v>
      </c>
      <c r="R131" s="82"/>
      <c r="S131" s="241">
        <v>60000</v>
      </c>
      <c r="T131" s="82" t="s">
        <v>40</v>
      </c>
      <c r="U131" s="241">
        <v>15000</v>
      </c>
      <c r="V131" s="82" t="s">
        <v>40</v>
      </c>
      <c r="W131" s="88">
        <v>25000</v>
      </c>
      <c r="X131" s="82" t="s">
        <v>40</v>
      </c>
      <c r="Y131" s="89"/>
      <c r="Z131" s="82"/>
      <c r="AA131" s="220"/>
      <c r="AB131" s="241">
        <v>120000</v>
      </c>
      <c r="AC131" s="241"/>
      <c r="AD131" s="241"/>
      <c r="AE131" s="82" t="s">
        <v>594</v>
      </c>
      <c r="AF131" s="82"/>
      <c r="AG131" s="90"/>
      <c r="AH131" s="90"/>
      <c r="AI131" s="90" t="s">
        <v>595</v>
      </c>
      <c r="AJ131" s="90"/>
      <c r="AK131" s="82"/>
      <c r="AL131" s="82" t="str" cm="1">
        <f t="array" aca="1" ref="AL131" ca="1">_xlfn.IFS(
 AND($AK131&lt;&gt;"", M131&lt;&gt;0, M131&lt;=EDATE(TODAY(),2)),"도래",
 AND($AK131&lt;&gt;"", M131&lt;&gt;0, M131&lt;=EDATE(TODAY(),3)),"예정",
 AND($AK131&lt;&gt;"", M131&lt;&gt;0, M131&lt;=EDATE(TODAY(),6)),"관심",
 TRUE,""
)</f>
        <v/>
      </c>
      <c r="AM131" s="198">
        <f t="shared" si="4"/>
        <v>10</v>
      </c>
    </row>
    <row r="132" spans="1:39" ht="18" customHeight="1">
      <c r="A132" s="81"/>
      <c r="B132" s="205" t="str">
        <f>_xlfn.LET(_xlpm.var,◆관리정보!B132,IF(_xlpm.var&lt;&gt;0,_xlpm.var,""))</f>
        <v>모닝빌</v>
      </c>
      <c r="C132" s="82">
        <f>_xlfn.LET(_xlpm.var,◆관리정보!C132,IF(_xlpm.var&lt;&gt;0,_xlpm.var,""))</f>
        <v>202</v>
      </c>
      <c r="D132" s="83" t="s">
        <v>596</v>
      </c>
      <c r="E132" s="84" t="str">
        <f t="shared" ref="E132:E195" si="5">_xlfn.CONCAT(B132,C132)</f>
        <v>모닝빌202</v>
      </c>
      <c r="F132" s="85">
        <v>46122</v>
      </c>
      <c r="G132" s="229"/>
      <c r="H132" s="229"/>
      <c r="I132" s="229"/>
      <c r="J132" s="229"/>
      <c r="K132" s="318"/>
      <c r="L132" s="87">
        <v>44995</v>
      </c>
      <c r="M132" s="87">
        <v>44994</v>
      </c>
      <c r="N132" s="82" t="s">
        <v>597</v>
      </c>
      <c r="O132" s="82" t="s">
        <v>598</v>
      </c>
      <c r="P132" s="241">
        <v>1100000</v>
      </c>
      <c r="Q132" s="241">
        <v>1100000</v>
      </c>
      <c r="R132" s="82"/>
      <c r="S132" s="241">
        <v>80000</v>
      </c>
      <c r="T132" s="82" t="s">
        <v>40</v>
      </c>
      <c r="U132" s="241">
        <v>20000</v>
      </c>
      <c r="V132" s="82" t="s">
        <v>40</v>
      </c>
      <c r="W132" s="88">
        <v>25000</v>
      </c>
      <c r="X132" s="82" t="s">
        <v>40</v>
      </c>
      <c r="Y132" s="89"/>
      <c r="Z132" s="82"/>
      <c r="AA132" s="220"/>
      <c r="AB132" s="241">
        <v>150000</v>
      </c>
      <c r="AC132" s="241">
        <v>150000</v>
      </c>
      <c r="AD132" s="241"/>
      <c r="AE132" s="82" t="s">
        <v>599</v>
      </c>
      <c r="AF132" s="82" t="s">
        <v>600</v>
      </c>
      <c r="AG132" s="90"/>
      <c r="AH132" s="90"/>
      <c r="AI132" s="90" t="s">
        <v>601</v>
      </c>
      <c r="AJ132" s="90"/>
      <c r="AK132" s="82"/>
      <c r="AL132" s="82" t="str" cm="1">
        <f t="array" aca="1" ref="AL132" ca="1">_xlfn.IFS(
 AND($AK132&lt;&gt;"", M132&lt;&gt;0, M132&lt;=EDATE(TODAY(),2)),"도래",
 AND($AK132&lt;&gt;"", M132&lt;&gt;0, M132&lt;=EDATE(TODAY(),3)),"예정",
 AND($AK132&lt;&gt;"", M132&lt;&gt;0, M132&lt;=EDATE(TODAY(),6)),"관심",
 TRUE,""
)</f>
        <v/>
      </c>
      <c r="AM132" s="198">
        <f t="shared" si="4"/>
        <v>10</v>
      </c>
    </row>
    <row r="133" spans="1:39" ht="18" customHeight="1">
      <c r="A133" s="81"/>
      <c r="B133" s="205" t="str">
        <f>_xlfn.LET(_xlpm.var,◆관리정보!B133,IF(_xlpm.var&lt;&gt;0,_xlpm.var,""))</f>
        <v>모닝빌</v>
      </c>
      <c r="C133" s="82">
        <f>_xlfn.LET(_xlpm.var,◆관리정보!C133,IF(_xlpm.var&lt;&gt;0,_xlpm.var,""))</f>
        <v>203</v>
      </c>
      <c r="D133" s="83" t="s">
        <v>602</v>
      </c>
      <c r="E133" s="84" t="str">
        <f t="shared" si="5"/>
        <v>모닝빌203</v>
      </c>
      <c r="F133" s="85">
        <v>46102</v>
      </c>
      <c r="G133" s="229"/>
      <c r="H133" s="229"/>
      <c r="I133" s="229"/>
      <c r="J133" s="229">
        <v>1281440</v>
      </c>
      <c r="K133" s="218"/>
      <c r="L133" s="87">
        <v>45251</v>
      </c>
      <c r="M133" s="87">
        <v>45342</v>
      </c>
      <c r="N133" s="82" t="s">
        <v>603</v>
      </c>
      <c r="O133" s="82" t="s">
        <v>604</v>
      </c>
      <c r="P133" s="241">
        <v>1000000</v>
      </c>
      <c r="Q133" s="241">
        <v>1000000</v>
      </c>
      <c r="R133" s="82"/>
      <c r="S133" s="241">
        <v>80000</v>
      </c>
      <c r="T133" s="82" t="s">
        <v>40</v>
      </c>
      <c r="U133" s="241">
        <v>25000</v>
      </c>
      <c r="V133" s="82" t="s">
        <v>40</v>
      </c>
      <c r="W133" s="88">
        <v>25000</v>
      </c>
      <c r="X133" s="82" t="s">
        <v>40</v>
      </c>
      <c r="Y133" s="89"/>
      <c r="Z133" s="82"/>
      <c r="AA133" s="220"/>
      <c r="AB133" s="241">
        <v>150000</v>
      </c>
      <c r="AC133" s="241">
        <v>150000</v>
      </c>
      <c r="AD133" s="241"/>
      <c r="AE133" s="82" t="s">
        <v>605</v>
      </c>
      <c r="AF133" s="82" t="s">
        <v>606</v>
      </c>
      <c r="AG133" s="90"/>
      <c r="AH133" s="90"/>
      <c r="AI133" s="90"/>
      <c r="AJ133" s="90"/>
      <c r="AK133" s="82"/>
      <c r="AL133" s="82" t="str" cm="1">
        <f t="array" aca="1" ref="AL133" ca="1">_xlfn.IFS(
 AND($AK133&lt;&gt;"", M133&lt;&gt;0, M133&lt;=EDATE(TODAY(),2)),"도래",
 AND($AK133&lt;&gt;"", M133&lt;&gt;0, M133&lt;=EDATE(TODAY(),3)),"예정",
 AND($AK133&lt;&gt;"", M133&lt;&gt;0, M133&lt;=EDATE(TODAY(),6)),"관심",
 TRUE,""
)</f>
        <v/>
      </c>
      <c r="AM133" s="198">
        <f t="shared" ref="AM133:AM196" si="6">DAY(L133)</f>
        <v>21</v>
      </c>
    </row>
    <row r="134" spans="1:39" ht="18" customHeight="1">
      <c r="A134" s="81"/>
      <c r="B134" s="205" t="str">
        <f>_xlfn.LET(_xlpm.var,◆관리정보!B134,IF(_xlpm.var&lt;&gt;0,_xlpm.var,""))</f>
        <v>모닝빌</v>
      </c>
      <c r="C134" s="82">
        <f>_xlfn.LET(_xlpm.var,◆관리정보!C134,IF(_xlpm.var&lt;&gt;0,_xlpm.var,""))</f>
        <v>204</v>
      </c>
      <c r="D134" s="83" t="s">
        <v>607</v>
      </c>
      <c r="E134" s="84" t="str">
        <f t="shared" si="5"/>
        <v>모닝빌204</v>
      </c>
      <c r="F134" s="85">
        <v>46128</v>
      </c>
      <c r="G134" s="229"/>
      <c r="H134" s="229"/>
      <c r="I134" s="229"/>
      <c r="J134" s="229"/>
      <c r="K134" s="218"/>
      <c r="L134" s="87">
        <v>45977</v>
      </c>
      <c r="M134" s="87">
        <v>46068</v>
      </c>
      <c r="N134" s="82" t="s">
        <v>608</v>
      </c>
      <c r="O134" s="82" t="s">
        <v>609</v>
      </c>
      <c r="P134" s="241">
        <v>940000</v>
      </c>
      <c r="Q134" s="241">
        <v>940000</v>
      </c>
      <c r="R134" s="82"/>
      <c r="S134" s="241">
        <v>80000</v>
      </c>
      <c r="T134" s="82" t="s">
        <v>40</v>
      </c>
      <c r="U134" s="241">
        <v>25000</v>
      </c>
      <c r="V134" s="82" t="s">
        <v>40</v>
      </c>
      <c r="W134" s="88">
        <v>25000</v>
      </c>
      <c r="X134" s="82" t="s">
        <v>40</v>
      </c>
      <c r="Y134" s="89"/>
      <c r="Z134" s="82"/>
      <c r="AA134" s="220"/>
      <c r="AB134" s="241">
        <v>180000</v>
      </c>
      <c r="AC134" s="241">
        <v>150000</v>
      </c>
      <c r="AD134" s="241"/>
      <c r="AE134" s="82" t="s">
        <v>610</v>
      </c>
      <c r="AF134" s="82" t="s">
        <v>611</v>
      </c>
      <c r="AG134" s="90"/>
      <c r="AH134" s="90"/>
      <c r="AI134" s="90"/>
      <c r="AJ134" s="90"/>
      <c r="AK134" s="82"/>
      <c r="AL134" s="82" t="str" cm="1">
        <f t="array" aca="1" ref="AL134" ca="1">_xlfn.IFS(
 AND($AK134&lt;&gt;"", M134&lt;&gt;0, M134&lt;=EDATE(TODAY(),2)),"도래",
 AND($AK134&lt;&gt;"", M134&lt;&gt;0, M134&lt;=EDATE(TODAY(),3)),"예정",
 AND($AK134&lt;&gt;"", M134&lt;&gt;0, M134&lt;=EDATE(TODAY(),6)),"관심",
 TRUE,""
)</f>
        <v/>
      </c>
      <c r="AM134" s="198">
        <f t="shared" si="6"/>
        <v>16</v>
      </c>
    </row>
    <row r="135" spans="1:39" ht="18" customHeight="1">
      <c r="A135" s="81"/>
      <c r="B135" s="205" t="str">
        <f>_xlfn.LET(_xlpm.var,◆관리정보!B135,IF(_xlpm.var&lt;&gt;0,_xlpm.var,""))</f>
        <v>모닝빌</v>
      </c>
      <c r="C135" s="82">
        <f>_xlfn.LET(_xlpm.var,◆관리정보!C135,IF(_xlpm.var&lt;&gt;0,_xlpm.var,""))</f>
        <v>205</v>
      </c>
      <c r="D135" s="83" t="s">
        <v>612</v>
      </c>
      <c r="E135" s="84" t="str">
        <f t="shared" si="5"/>
        <v>모닝빌205</v>
      </c>
      <c r="F135" s="85">
        <v>46122</v>
      </c>
      <c r="G135" s="229"/>
      <c r="H135" s="229"/>
      <c r="I135" s="229"/>
      <c r="J135" s="229"/>
      <c r="K135" s="318"/>
      <c r="L135" s="87">
        <v>45301</v>
      </c>
      <c r="M135" s="87">
        <v>45391</v>
      </c>
      <c r="N135" s="82" t="s">
        <v>613</v>
      </c>
      <c r="O135" s="82" t="s">
        <v>614</v>
      </c>
      <c r="P135" s="241">
        <v>1200000</v>
      </c>
      <c r="Q135" s="241">
        <v>1200000</v>
      </c>
      <c r="R135" s="82"/>
      <c r="S135" s="241">
        <v>80000</v>
      </c>
      <c r="T135" s="82" t="s">
        <v>40</v>
      </c>
      <c r="U135" s="241">
        <v>25000</v>
      </c>
      <c r="V135" s="82" t="s">
        <v>40</v>
      </c>
      <c r="W135" s="88">
        <v>25000</v>
      </c>
      <c r="X135" s="82" t="s">
        <v>40</v>
      </c>
      <c r="Y135" s="89"/>
      <c r="Z135" s="82"/>
      <c r="AA135" s="220"/>
      <c r="AB135" s="241">
        <v>180000</v>
      </c>
      <c r="AC135" s="241">
        <v>150000</v>
      </c>
      <c r="AD135" s="241"/>
      <c r="AE135" s="82" t="s">
        <v>615</v>
      </c>
      <c r="AF135" s="82" t="s">
        <v>616</v>
      </c>
      <c r="AG135" s="90"/>
      <c r="AH135" s="90"/>
      <c r="AI135" s="90"/>
      <c r="AJ135" s="90"/>
      <c r="AK135" s="82"/>
      <c r="AL135" s="82" t="str" cm="1">
        <f t="array" aca="1" ref="AL135" ca="1">_xlfn.IFS(
 AND($AK135&lt;&gt;"", M135&lt;&gt;0, M135&lt;=EDATE(TODAY(),2)),"도래",
 AND($AK135&lt;&gt;"", M135&lt;&gt;0, M135&lt;=EDATE(TODAY(),3)),"예정",
 AND($AK135&lt;&gt;"", M135&lt;&gt;0, M135&lt;=EDATE(TODAY(),6)),"관심",
 TRUE,""
)</f>
        <v/>
      </c>
      <c r="AM135" s="198">
        <f t="shared" si="6"/>
        <v>10</v>
      </c>
    </row>
    <row r="136" spans="1:39" ht="18" customHeight="1">
      <c r="A136" s="81"/>
      <c r="B136" s="205" t="str">
        <f>_xlfn.LET(_xlpm.var,◆관리정보!B136,IF(_xlpm.var&lt;&gt;0,_xlpm.var,""))</f>
        <v>모닝빌</v>
      </c>
      <c r="C136" s="82">
        <f>_xlfn.LET(_xlpm.var,◆관리정보!C136,IF(_xlpm.var&lt;&gt;0,_xlpm.var,""))</f>
        <v>301</v>
      </c>
      <c r="D136" s="83" t="s">
        <v>617</v>
      </c>
      <c r="E136" s="84" t="str">
        <f t="shared" si="5"/>
        <v>모닝빌301</v>
      </c>
      <c r="F136" s="85">
        <v>46110</v>
      </c>
      <c r="G136" s="229"/>
      <c r="H136" s="229"/>
      <c r="I136" s="229"/>
      <c r="J136" s="229"/>
      <c r="K136" s="218"/>
      <c r="L136" s="87">
        <v>45625</v>
      </c>
      <c r="M136" s="87">
        <v>45805</v>
      </c>
      <c r="N136" s="82" t="s">
        <v>618</v>
      </c>
      <c r="O136" s="82" t="s">
        <v>619</v>
      </c>
      <c r="P136" s="241">
        <v>1300000</v>
      </c>
      <c r="Q136" s="241">
        <v>1200000</v>
      </c>
      <c r="R136" s="82"/>
      <c r="S136" s="241">
        <v>80000</v>
      </c>
      <c r="T136" s="82" t="s">
        <v>40</v>
      </c>
      <c r="U136" s="241">
        <v>25000</v>
      </c>
      <c r="V136" s="82" t="s">
        <v>40</v>
      </c>
      <c r="W136" s="88">
        <v>25000</v>
      </c>
      <c r="X136" s="82" t="s">
        <v>40</v>
      </c>
      <c r="Y136" s="89"/>
      <c r="Z136" s="82"/>
      <c r="AA136" s="220"/>
      <c r="AB136" s="241">
        <v>180000</v>
      </c>
      <c r="AC136" s="241">
        <v>200000</v>
      </c>
      <c r="AD136" s="241"/>
      <c r="AE136" s="82" t="s">
        <v>620</v>
      </c>
      <c r="AF136" s="82" t="s">
        <v>621</v>
      </c>
      <c r="AG136" s="90"/>
      <c r="AH136" s="90"/>
      <c r="AI136" s="90" t="s">
        <v>622</v>
      </c>
      <c r="AJ136" s="90"/>
      <c r="AK136" s="82"/>
      <c r="AL136" s="82" t="str" cm="1">
        <f t="array" aca="1" ref="AL136" ca="1">_xlfn.IFS(
 AND($AK136&lt;&gt;"", M136&lt;&gt;0, M136&lt;=EDATE(TODAY(),2)),"도래",
 AND($AK136&lt;&gt;"", M136&lt;&gt;0, M136&lt;=EDATE(TODAY(),3)),"예정",
 AND($AK136&lt;&gt;"", M136&lt;&gt;0, M136&lt;=EDATE(TODAY(),6)),"관심",
 TRUE,""
)</f>
        <v/>
      </c>
      <c r="AM136" s="198">
        <f t="shared" si="6"/>
        <v>29</v>
      </c>
    </row>
    <row r="137" spans="1:39" ht="18" customHeight="1">
      <c r="A137" s="81"/>
      <c r="B137" s="378" t="str">
        <f>_xlfn.LET(_xlpm.var,◆관리정보!B137,IF(_xlpm.var&lt;&gt;0,_xlpm.var,""))</f>
        <v>모닝빌</v>
      </c>
      <c r="C137" s="379">
        <f>_xlfn.LET(_xlpm.var,◆관리정보!C137,IF(_xlpm.var&lt;&gt;0,_xlpm.var,""))</f>
        <v>302</v>
      </c>
      <c r="D137" s="383" t="s">
        <v>623</v>
      </c>
      <c r="E137" s="84" t="str">
        <f t="shared" si="5"/>
        <v>모닝빌302</v>
      </c>
      <c r="F137" s="85">
        <v>46126</v>
      </c>
      <c r="G137" s="229"/>
      <c r="H137" s="229"/>
      <c r="I137" s="229"/>
      <c r="J137" s="229"/>
      <c r="K137" s="218"/>
      <c r="L137" s="87">
        <v>46095</v>
      </c>
      <c r="M137" s="87">
        <v>46186</v>
      </c>
      <c r="N137" s="82" t="s">
        <v>624</v>
      </c>
      <c r="O137" s="82" t="s">
        <v>625</v>
      </c>
      <c r="P137" s="241">
        <v>1000000</v>
      </c>
      <c r="Q137" s="241">
        <v>990000</v>
      </c>
      <c r="R137" s="82"/>
      <c r="S137" s="261">
        <v>80000</v>
      </c>
      <c r="T137" s="391" t="s">
        <v>40</v>
      </c>
      <c r="U137" s="261">
        <v>25000</v>
      </c>
      <c r="V137" s="391" t="s">
        <v>40</v>
      </c>
      <c r="W137" s="338">
        <v>25000</v>
      </c>
      <c r="X137" s="391" t="s">
        <v>40</v>
      </c>
      <c r="Y137" s="89"/>
      <c r="Z137" s="82"/>
      <c r="AA137" s="220"/>
      <c r="AB137" s="261">
        <v>180000</v>
      </c>
      <c r="AC137" s="241">
        <v>150000</v>
      </c>
      <c r="AD137" s="241"/>
      <c r="AE137" s="82" t="s">
        <v>74</v>
      </c>
      <c r="AF137" s="82" t="s">
        <v>626</v>
      </c>
      <c r="AG137" s="90"/>
      <c r="AH137" s="90"/>
      <c r="AI137" s="90"/>
      <c r="AJ137" s="90"/>
      <c r="AK137" s="82"/>
      <c r="AL137" s="82" t="str" cm="1">
        <f t="array" aca="1" ref="AL137" ca="1">_xlfn.IFS(
 AND($AK137&lt;&gt;"", M137&lt;&gt;0, M137&lt;=EDATE(TODAY(),2)),"도래",
 AND($AK137&lt;&gt;"", M137&lt;&gt;0, M137&lt;=EDATE(TODAY(),3)),"예정",
 AND($AK137&lt;&gt;"", M137&lt;&gt;0, M137&lt;=EDATE(TODAY(),6)),"관심",
 TRUE,""
)</f>
        <v/>
      </c>
      <c r="AM137" s="198">
        <f t="shared" si="6"/>
        <v>14</v>
      </c>
    </row>
    <row r="138" spans="1:39" ht="18" customHeight="1">
      <c r="A138" s="81"/>
      <c r="B138" s="205" t="str">
        <f>_xlfn.LET(_xlpm.var,◆관리정보!B138,IF(_xlpm.var&lt;&gt;0,_xlpm.var,""))</f>
        <v>모닝빌</v>
      </c>
      <c r="C138" s="82">
        <f>_xlfn.LET(_xlpm.var,◆관리정보!C138,IF(_xlpm.var&lt;&gt;0,_xlpm.var,""))</f>
        <v>303</v>
      </c>
      <c r="D138" s="83" t="s">
        <v>627</v>
      </c>
      <c r="E138" s="84" t="str">
        <f t="shared" si="5"/>
        <v>모닝빌303</v>
      </c>
      <c r="F138" s="85">
        <v>46097</v>
      </c>
      <c r="G138" s="229"/>
      <c r="H138" s="229"/>
      <c r="I138" s="229"/>
      <c r="J138" s="229">
        <v>900000</v>
      </c>
      <c r="K138" s="218"/>
      <c r="L138" s="87">
        <v>40528</v>
      </c>
      <c r="M138" s="87">
        <v>40617</v>
      </c>
      <c r="N138" s="82" t="s">
        <v>628</v>
      </c>
      <c r="O138" s="82" t="s">
        <v>629</v>
      </c>
      <c r="P138" s="241">
        <v>1600000</v>
      </c>
      <c r="Q138" s="241">
        <v>840000</v>
      </c>
      <c r="R138" s="82"/>
      <c r="S138" s="241">
        <v>60000</v>
      </c>
      <c r="T138" s="82" t="s">
        <v>40</v>
      </c>
      <c r="U138" s="241" t="s">
        <v>630</v>
      </c>
      <c r="V138" s="82"/>
      <c r="W138" s="88"/>
      <c r="X138" s="82"/>
      <c r="Y138" s="89"/>
      <c r="Z138" s="82"/>
      <c r="AA138" s="220"/>
      <c r="AB138" s="241">
        <v>100000</v>
      </c>
      <c r="AC138" s="241"/>
      <c r="AD138" s="241"/>
      <c r="AE138" s="82" t="s">
        <v>631</v>
      </c>
      <c r="AF138" s="82"/>
      <c r="AG138" s="90"/>
      <c r="AH138" s="90"/>
      <c r="AI138" s="90"/>
      <c r="AJ138" s="90"/>
      <c r="AK138" s="82"/>
      <c r="AL138" s="82" t="str" cm="1">
        <f t="array" aca="1" ref="AL138" ca="1">_xlfn.IFS(
 AND($AK138&lt;&gt;"", M138&lt;&gt;0, M138&lt;=EDATE(TODAY(),2)),"도래",
 AND($AK138&lt;&gt;"", M138&lt;&gt;0, M138&lt;=EDATE(TODAY(),3)),"예정",
 AND($AK138&lt;&gt;"", M138&lt;&gt;0, M138&lt;=EDATE(TODAY(),6)),"관심",
 TRUE,""
)</f>
        <v/>
      </c>
      <c r="AM138" s="198">
        <f t="shared" si="6"/>
        <v>16</v>
      </c>
    </row>
    <row r="139" spans="1:39" ht="18" customHeight="1">
      <c r="A139" s="81"/>
      <c r="B139" s="205" t="str">
        <f>_xlfn.LET(_xlpm.var,◆관리정보!B139,IF(_xlpm.var&lt;&gt;0,_xlpm.var,""))</f>
        <v>모닝빌</v>
      </c>
      <c r="C139" s="82">
        <f>_xlfn.LET(_xlpm.var,◆관리정보!C139,IF(_xlpm.var&lt;&gt;0,_xlpm.var,""))</f>
        <v>304</v>
      </c>
      <c r="D139" s="83" t="s">
        <v>632</v>
      </c>
      <c r="E139" s="84" t="str">
        <f t="shared" si="5"/>
        <v>모닝빌304</v>
      </c>
      <c r="F139" s="85">
        <v>46118</v>
      </c>
      <c r="G139" s="229"/>
      <c r="H139" s="229"/>
      <c r="I139" s="229"/>
      <c r="J139" s="229"/>
      <c r="K139" s="218"/>
      <c r="L139" s="87">
        <v>45297</v>
      </c>
      <c r="M139" s="87">
        <v>45387</v>
      </c>
      <c r="N139" s="82" t="s">
        <v>633</v>
      </c>
      <c r="O139" s="82" t="s">
        <v>634</v>
      </c>
      <c r="P139" s="241">
        <v>1000000</v>
      </c>
      <c r="Q139" s="241">
        <v>1000000</v>
      </c>
      <c r="R139" s="82"/>
      <c r="S139" s="241">
        <v>80000</v>
      </c>
      <c r="T139" s="82" t="s">
        <v>40</v>
      </c>
      <c r="U139" s="241">
        <v>25000</v>
      </c>
      <c r="V139" s="82" t="s">
        <v>40</v>
      </c>
      <c r="W139" s="88">
        <v>25000</v>
      </c>
      <c r="X139" s="82" t="s">
        <v>40</v>
      </c>
      <c r="Y139" s="89"/>
      <c r="Z139" s="82"/>
      <c r="AA139" s="220"/>
      <c r="AB139" s="241">
        <v>150000</v>
      </c>
      <c r="AC139" s="241">
        <v>150000</v>
      </c>
      <c r="AD139" s="241"/>
      <c r="AE139" s="82" t="s">
        <v>594</v>
      </c>
      <c r="AF139" s="82" t="s">
        <v>635</v>
      </c>
      <c r="AG139" s="90"/>
      <c r="AH139" s="90"/>
      <c r="AI139" s="90" t="s">
        <v>424</v>
      </c>
      <c r="AJ139" s="90"/>
      <c r="AK139" s="82"/>
      <c r="AL139" s="82" t="str" cm="1">
        <f t="array" aca="1" ref="AL139" ca="1">_xlfn.IFS(
 AND($AK139&lt;&gt;"", M139&lt;&gt;0, M139&lt;=EDATE(TODAY(),2)),"도래",
 AND($AK139&lt;&gt;"", M139&lt;&gt;0, M139&lt;=EDATE(TODAY(),3)),"예정",
 AND($AK139&lt;&gt;"", M139&lt;&gt;0, M139&lt;=EDATE(TODAY(),6)),"관심",
 TRUE,""
)</f>
        <v/>
      </c>
      <c r="AM139" s="198">
        <f t="shared" si="6"/>
        <v>6</v>
      </c>
    </row>
    <row r="140" spans="1:39" ht="18" customHeight="1">
      <c r="A140" s="81"/>
      <c r="B140" s="205" t="str">
        <f>_xlfn.LET(_xlpm.var,◆관리정보!B140,IF(_xlpm.var&lt;&gt;0,_xlpm.var,""))</f>
        <v>모닝빌</v>
      </c>
      <c r="C140" s="82">
        <f>_xlfn.LET(_xlpm.var,◆관리정보!C140,IF(_xlpm.var&lt;&gt;0,_xlpm.var,""))</f>
        <v>305</v>
      </c>
      <c r="D140" s="83" t="s">
        <v>636</v>
      </c>
      <c r="E140" s="84" t="str">
        <f t="shared" si="5"/>
        <v>모닝빌305</v>
      </c>
      <c r="F140" s="85">
        <v>46097</v>
      </c>
      <c r="G140" s="229"/>
      <c r="H140" s="229"/>
      <c r="I140" s="229"/>
      <c r="J140" s="229">
        <v>1358480</v>
      </c>
      <c r="K140" s="218"/>
      <c r="L140" s="87">
        <v>45824</v>
      </c>
      <c r="M140" s="87">
        <v>45915</v>
      </c>
      <c r="N140" s="82" t="s">
        <v>637</v>
      </c>
      <c r="O140" s="82" t="s">
        <v>638</v>
      </c>
      <c r="P140" s="241">
        <v>1200000</v>
      </c>
      <c r="Q140" s="241">
        <v>1100000</v>
      </c>
      <c r="R140" s="82"/>
      <c r="S140" s="241">
        <v>80000</v>
      </c>
      <c r="T140" s="82" t="s">
        <v>40</v>
      </c>
      <c r="U140" s="241">
        <v>25000</v>
      </c>
      <c r="V140" s="82" t="s">
        <v>40</v>
      </c>
      <c r="W140" s="88">
        <v>25000</v>
      </c>
      <c r="X140" s="82" t="s">
        <v>40</v>
      </c>
      <c r="Y140" s="89"/>
      <c r="Z140" s="82"/>
      <c r="AA140" s="220" t="s">
        <v>639</v>
      </c>
      <c r="AB140" s="241">
        <v>150000</v>
      </c>
      <c r="AC140" s="241">
        <v>150000</v>
      </c>
      <c r="AD140" s="241"/>
      <c r="AE140" s="82" t="s">
        <v>41</v>
      </c>
      <c r="AF140" s="82" t="s">
        <v>418</v>
      </c>
      <c r="AG140" s="90"/>
      <c r="AH140" s="90"/>
      <c r="AI140" s="90" t="s">
        <v>640</v>
      </c>
      <c r="AJ140" s="90"/>
      <c r="AK140" s="82"/>
      <c r="AL140" s="82" t="str" cm="1">
        <f t="array" aca="1" ref="AL140" ca="1">_xlfn.IFS(
 AND($AK140&lt;&gt;"", M140&lt;&gt;0, M140&lt;=EDATE(TODAY(),2)),"도래",
 AND($AK140&lt;&gt;"", M140&lt;&gt;0, M140&lt;=EDATE(TODAY(),3)),"예정",
 AND($AK140&lt;&gt;"", M140&lt;&gt;0, M140&lt;=EDATE(TODAY(),6)),"관심",
 TRUE,""
)</f>
        <v/>
      </c>
      <c r="AM140" s="198">
        <f t="shared" si="6"/>
        <v>16</v>
      </c>
    </row>
    <row r="141" spans="1:39" ht="18" customHeight="1">
      <c r="A141" s="81"/>
      <c r="B141" s="378" t="str">
        <f>_xlfn.LET(_xlpm.var,◆관리정보!B141,IF(_xlpm.var&lt;&gt;0,_xlpm.var,""))</f>
        <v>모닝빌</v>
      </c>
      <c r="C141" s="379">
        <f>_xlfn.LET(_xlpm.var,◆관리정보!C141,IF(_xlpm.var&lt;&gt;0,_xlpm.var,""))</f>
        <v>401</v>
      </c>
      <c r="D141" s="383" t="s">
        <v>641</v>
      </c>
      <c r="E141" s="84" t="str">
        <f t="shared" si="5"/>
        <v>모닝빌401</v>
      </c>
      <c r="F141" s="85">
        <v>46098</v>
      </c>
      <c r="G141" s="229"/>
      <c r="H141" s="229"/>
      <c r="I141" s="229"/>
      <c r="J141" s="229">
        <v>1445090</v>
      </c>
      <c r="K141" s="218"/>
      <c r="L141" s="87">
        <v>45429</v>
      </c>
      <c r="M141" s="87">
        <v>45520</v>
      </c>
      <c r="N141" s="82" t="s">
        <v>642</v>
      </c>
      <c r="O141" s="82" t="s">
        <v>643</v>
      </c>
      <c r="P141" s="241">
        <v>1250000</v>
      </c>
      <c r="Q141" s="241">
        <v>1250000</v>
      </c>
      <c r="R141" s="82"/>
      <c r="S141" s="241">
        <v>80000</v>
      </c>
      <c r="T141" s="82" t="s">
        <v>40</v>
      </c>
      <c r="U141" s="241">
        <v>25000</v>
      </c>
      <c r="V141" s="82" t="s">
        <v>40</v>
      </c>
      <c r="W141" s="88">
        <v>25000</v>
      </c>
      <c r="X141" s="82" t="s">
        <v>40</v>
      </c>
      <c r="Y141" s="89"/>
      <c r="Z141" s="82"/>
      <c r="AA141" s="220"/>
      <c r="AB141" s="241">
        <v>180000</v>
      </c>
      <c r="AC141" s="241">
        <v>150000</v>
      </c>
      <c r="AD141" s="241"/>
      <c r="AE141" s="82" t="s">
        <v>63</v>
      </c>
      <c r="AF141" s="82" t="s">
        <v>644</v>
      </c>
      <c r="AG141" s="90"/>
      <c r="AH141" s="90"/>
      <c r="AI141" s="90" t="s">
        <v>645</v>
      </c>
      <c r="AJ141" s="90"/>
      <c r="AK141" s="82"/>
      <c r="AL141" s="82" t="str" cm="1">
        <f t="array" aca="1" ref="AL141" ca="1">_xlfn.IFS(
 AND($AK141&lt;&gt;"", M141&lt;&gt;0, M141&lt;=EDATE(TODAY(),2)),"도래",
 AND($AK141&lt;&gt;"", M141&lt;&gt;0, M141&lt;=EDATE(TODAY(),3)),"예정",
 AND($AK141&lt;&gt;"", M141&lt;&gt;0, M141&lt;=EDATE(TODAY(),6)),"관심",
 TRUE,""
)</f>
        <v/>
      </c>
      <c r="AM141" s="198">
        <f t="shared" si="6"/>
        <v>17</v>
      </c>
    </row>
    <row r="142" spans="1:39" ht="18" customHeight="1">
      <c r="A142" s="81"/>
      <c r="B142" s="378" t="str">
        <f>_xlfn.LET(_xlpm.var,◆관리정보!B142,IF(_xlpm.var&lt;&gt;0,_xlpm.var,""))</f>
        <v>모닝빌</v>
      </c>
      <c r="C142" s="379">
        <f>_xlfn.LET(_xlpm.var,◆관리정보!C142,IF(_xlpm.var&lt;&gt;0,_xlpm.var,""))</f>
        <v>402</v>
      </c>
      <c r="D142" s="383" t="s">
        <v>646</v>
      </c>
      <c r="E142" s="84" t="str">
        <f t="shared" si="5"/>
        <v>모닝빌402</v>
      </c>
      <c r="F142" s="85">
        <v>46117</v>
      </c>
      <c r="G142" s="229"/>
      <c r="H142" s="229"/>
      <c r="I142" s="229"/>
      <c r="J142" s="229"/>
      <c r="K142" s="218"/>
      <c r="L142" s="87">
        <v>45601</v>
      </c>
      <c r="M142" s="87">
        <v>45692</v>
      </c>
      <c r="N142" s="82" t="s">
        <v>647</v>
      </c>
      <c r="O142" s="82" t="s">
        <v>648</v>
      </c>
      <c r="P142" s="241">
        <v>1100000</v>
      </c>
      <c r="Q142" s="241">
        <v>1000000</v>
      </c>
      <c r="R142" s="82"/>
      <c r="S142" s="241">
        <v>80000</v>
      </c>
      <c r="T142" s="82" t="s">
        <v>40</v>
      </c>
      <c r="U142" s="241">
        <v>25000</v>
      </c>
      <c r="V142" s="82" t="s">
        <v>40</v>
      </c>
      <c r="W142" s="88">
        <v>25000</v>
      </c>
      <c r="X142" s="82" t="s">
        <v>40</v>
      </c>
      <c r="Y142" s="89"/>
      <c r="Z142" s="82"/>
      <c r="AA142" s="220"/>
      <c r="AB142" s="241">
        <v>150000</v>
      </c>
      <c r="AC142" s="241">
        <v>150000</v>
      </c>
      <c r="AD142" s="241"/>
      <c r="AE142" s="82" t="s">
        <v>151</v>
      </c>
      <c r="AF142" s="82" t="s">
        <v>649</v>
      </c>
      <c r="AG142" s="90"/>
      <c r="AH142" s="90"/>
      <c r="AI142" s="90"/>
      <c r="AJ142" s="90"/>
      <c r="AK142" s="82"/>
      <c r="AL142" s="82" t="str" cm="1">
        <f t="array" aca="1" ref="AL142" ca="1">_xlfn.IFS(
 AND($AK142&lt;&gt;"", M142&lt;&gt;0, M142&lt;=EDATE(TODAY(),2)),"도래",
 AND($AK142&lt;&gt;"", M142&lt;&gt;0, M142&lt;=EDATE(TODAY(),3)),"예정",
 AND($AK142&lt;&gt;"", M142&lt;&gt;0, M142&lt;=EDATE(TODAY(),6)),"관심",
 TRUE,""
)</f>
        <v/>
      </c>
      <c r="AM142" s="198">
        <f t="shared" si="6"/>
        <v>5</v>
      </c>
    </row>
    <row r="143" spans="1:39" ht="18" customHeight="1">
      <c r="A143" s="81"/>
      <c r="B143" s="205" t="str">
        <f>_xlfn.LET(_xlpm.var,◆관리정보!B143,IF(_xlpm.var&lt;&gt;0,_xlpm.var,""))</f>
        <v>모닝빌</v>
      </c>
      <c r="C143" s="82">
        <f>_xlfn.LET(_xlpm.var,◆관리정보!C143,IF(_xlpm.var&lt;&gt;0,_xlpm.var,""))</f>
        <v>403</v>
      </c>
      <c r="D143" s="83" t="s">
        <v>650</v>
      </c>
      <c r="E143" s="84" t="str">
        <f t="shared" si="5"/>
        <v>모닝빌403</v>
      </c>
      <c r="F143" s="85">
        <v>46125</v>
      </c>
      <c r="G143" s="229"/>
      <c r="H143" s="229"/>
      <c r="I143" s="229"/>
      <c r="J143" s="229"/>
      <c r="K143" s="218"/>
      <c r="L143" s="87">
        <v>45486</v>
      </c>
      <c r="M143" s="87">
        <v>45577</v>
      </c>
      <c r="N143" s="82" t="s">
        <v>651</v>
      </c>
      <c r="O143" s="82" t="s">
        <v>652</v>
      </c>
      <c r="P143" s="241">
        <v>1000000</v>
      </c>
      <c r="Q143" s="241">
        <v>1000000</v>
      </c>
      <c r="R143" s="82"/>
      <c r="S143" s="241">
        <v>80000</v>
      </c>
      <c r="T143" s="82" t="s">
        <v>40</v>
      </c>
      <c r="U143" s="241">
        <v>25000</v>
      </c>
      <c r="V143" s="82" t="s">
        <v>40</v>
      </c>
      <c r="W143" s="88">
        <v>25000</v>
      </c>
      <c r="X143" s="82" t="s">
        <v>40</v>
      </c>
      <c r="Y143" s="89"/>
      <c r="Z143" s="82"/>
      <c r="AA143" s="220"/>
      <c r="AB143" s="241">
        <v>150000</v>
      </c>
      <c r="AC143" s="241">
        <v>150000</v>
      </c>
      <c r="AD143" s="241"/>
      <c r="AE143" s="82" t="s">
        <v>63</v>
      </c>
      <c r="AF143" s="82" t="s">
        <v>359</v>
      </c>
      <c r="AG143" s="90"/>
      <c r="AH143" s="90"/>
      <c r="AI143" s="90" t="s">
        <v>653</v>
      </c>
      <c r="AJ143" s="90"/>
      <c r="AK143" s="82"/>
      <c r="AL143" s="82" t="str" cm="1">
        <f t="array" aca="1" ref="AL143" ca="1">_xlfn.IFS(
 AND($AK143&lt;&gt;"", M143&lt;&gt;0, M143&lt;=EDATE(TODAY(),2)),"도래",
 AND($AK143&lt;&gt;"", M143&lt;&gt;0, M143&lt;=EDATE(TODAY(),3)),"예정",
 AND($AK143&lt;&gt;"", M143&lt;&gt;0, M143&lt;=EDATE(TODAY(),6)),"관심",
 TRUE,""
)</f>
        <v/>
      </c>
      <c r="AM143" s="198">
        <f t="shared" si="6"/>
        <v>13</v>
      </c>
    </row>
    <row r="144" spans="1:39" ht="18" customHeight="1">
      <c r="A144" s="81"/>
      <c r="B144" s="205" t="str">
        <f>_xlfn.LET(_xlpm.var,◆관리정보!B144,IF(_xlpm.var&lt;&gt;0,_xlpm.var,""))</f>
        <v>모닝빌</v>
      </c>
      <c r="C144" s="82">
        <f>_xlfn.LET(_xlpm.var,◆관리정보!C144,IF(_xlpm.var&lt;&gt;0,_xlpm.var,""))</f>
        <v>404</v>
      </c>
      <c r="D144" s="83" t="s">
        <v>654</v>
      </c>
      <c r="E144" s="84" t="str">
        <f t="shared" si="5"/>
        <v>모닝빌404</v>
      </c>
      <c r="F144" s="85">
        <v>46118</v>
      </c>
      <c r="G144" s="229"/>
      <c r="H144" s="229"/>
      <c r="I144" s="229"/>
      <c r="J144" s="229"/>
      <c r="K144" s="218"/>
      <c r="L144" s="87">
        <v>45997</v>
      </c>
      <c r="M144" s="87">
        <v>46086</v>
      </c>
      <c r="N144" s="82" t="s">
        <v>655</v>
      </c>
      <c r="O144" s="82" t="s">
        <v>656</v>
      </c>
      <c r="P144" s="241">
        <v>920000</v>
      </c>
      <c r="Q144" s="241">
        <v>920000</v>
      </c>
      <c r="R144" s="82"/>
      <c r="S144" s="241">
        <v>80000</v>
      </c>
      <c r="T144" s="82" t="s">
        <v>40</v>
      </c>
      <c r="U144" s="241">
        <v>25000</v>
      </c>
      <c r="V144" s="82" t="s">
        <v>40</v>
      </c>
      <c r="W144" s="88">
        <v>25000</v>
      </c>
      <c r="X144" s="82" t="s">
        <v>40</v>
      </c>
      <c r="Y144" s="89"/>
      <c r="Z144" s="82"/>
      <c r="AA144" s="220"/>
      <c r="AB144" s="241">
        <v>180000</v>
      </c>
      <c r="AC144" s="241">
        <v>150000</v>
      </c>
      <c r="AD144" s="241"/>
      <c r="AE144" s="82" t="s">
        <v>63</v>
      </c>
      <c r="AF144" s="82" t="s">
        <v>570</v>
      </c>
      <c r="AG144" s="90"/>
      <c r="AH144" s="90"/>
      <c r="AI144" s="90"/>
      <c r="AJ144" s="90"/>
      <c r="AK144" s="82"/>
      <c r="AL144" s="82" t="str" cm="1">
        <f t="array" aca="1" ref="AL144" ca="1">_xlfn.IFS(
 AND($AK144&lt;&gt;"", M144&lt;&gt;0, M144&lt;=EDATE(TODAY(),2)),"도래",
 AND($AK144&lt;&gt;"", M144&lt;&gt;0, M144&lt;=EDATE(TODAY(),3)),"예정",
 AND($AK144&lt;&gt;"", M144&lt;&gt;0, M144&lt;=EDATE(TODAY(),6)),"관심",
 TRUE,""
)</f>
        <v/>
      </c>
      <c r="AM144" s="198">
        <f t="shared" si="6"/>
        <v>6</v>
      </c>
    </row>
    <row r="145" spans="1:39" ht="18" customHeight="1">
      <c r="A145" s="81"/>
      <c r="B145" s="205" t="str">
        <f>_xlfn.LET(_xlpm.var,◆관리정보!B145,IF(_xlpm.var&lt;&gt;0,_xlpm.var,""))</f>
        <v>모닝빌</v>
      </c>
      <c r="C145" s="82">
        <f>_xlfn.LET(_xlpm.var,◆관리정보!C145,IF(_xlpm.var&lt;&gt;0,_xlpm.var,""))</f>
        <v>405</v>
      </c>
      <c r="D145" s="83" t="s">
        <v>131</v>
      </c>
      <c r="E145" s="84" t="str">
        <f t="shared" si="5"/>
        <v>모닝빌405</v>
      </c>
      <c r="F145" s="85">
        <v>46101</v>
      </c>
      <c r="G145" s="229"/>
      <c r="H145" s="229"/>
      <c r="I145" s="229"/>
      <c r="J145" s="229">
        <v>1380410</v>
      </c>
      <c r="K145" s="218"/>
      <c r="L145" s="87">
        <v>45981</v>
      </c>
      <c r="M145" s="87">
        <v>46072</v>
      </c>
      <c r="N145" s="82" t="s">
        <v>657</v>
      </c>
      <c r="O145" s="82" t="s">
        <v>658</v>
      </c>
      <c r="P145" s="241">
        <v>1150000</v>
      </c>
      <c r="Q145" s="241">
        <v>1150000</v>
      </c>
      <c r="R145" s="82"/>
      <c r="S145" s="241">
        <v>80000</v>
      </c>
      <c r="T145" s="82" t="s">
        <v>40</v>
      </c>
      <c r="U145" s="241">
        <v>25000</v>
      </c>
      <c r="V145" s="82" t="s">
        <v>40</v>
      </c>
      <c r="W145" s="88">
        <v>25000</v>
      </c>
      <c r="X145" s="82" t="s">
        <v>40</v>
      </c>
      <c r="Y145" s="89"/>
      <c r="Z145" s="82"/>
      <c r="AA145" s="220"/>
      <c r="AB145" s="241">
        <v>180000</v>
      </c>
      <c r="AC145" s="241"/>
      <c r="AD145" s="241"/>
      <c r="AE145" s="82" t="s">
        <v>659</v>
      </c>
      <c r="AF145" s="82"/>
      <c r="AG145" s="90"/>
      <c r="AH145" s="90"/>
      <c r="AI145" s="90" t="s">
        <v>660</v>
      </c>
      <c r="AJ145" s="90"/>
      <c r="AK145" s="82"/>
      <c r="AL145" s="82" t="str" cm="1">
        <f t="array" aca="1" ref="AL145" ca="1">_xlfn.IFS(
 AND($AK145&lt;&gt;"", M145&lt;&gt;0, M145&lt;=EDATE(TODAY(),2)),"도래",
 AND($AK145&lt;&gt;"", M145&lt;&gt;0, M145&lt;=EDATE(TODAY(),3)),"예정",
 AND($AK145&lt;&gt;"", M145&lt;&gt;0, M145&lt;=EDATE(TODAY(),6)),"관심",
 TRUE,""
)</f>
        <v/>
      </c>
      <c r="AM145" s="198">
        <f t="shared" si="6"/>
        <v>20</v>
      </c>
    </row>
    <row r="146" spans="1:39" ht="18" customHeight="1">
      <c r="A146" s="81"/>
      <c r="B146" s="242" t="str">
        <f>_xlfn.LET(_xlpm.var,◆관리정보!B146,IF(_xlpm.var&lt;&gt;0,_xlpm.var,""))</f>
        <v>모닝빌</v>
      </c>
      <c r="C146" s="243">
        <f>_xlfn.LET(_xlpm.var,◆관리정보!C146,IF(_xlpm.var&lt;&gt;0,_xlpm.var,""))</f>
        <v>501</v>
      </c>
      <c r="D146" s="244" t="s">
        <v>209</v>
      </c>
      <c r="E146" s="84" t="str">
        <f t="shared" si="5"/>
        <v>모닝빌501</v>
      </c>
      <c r="F146" s="85"/>
      <c r="G146" s="229"/>
      <c r="H146" s="229"/>
      <c r="I146" s="229"/>
      <c r="J146" s="229"/>
      <c r="K146" s="218"/>
      <c r="L146" s="87"/>
      <c r="M146" s="87"/>
      <c r="N146" s="82"/>
      <c r="O146" s="82"/>
      <c r="P146" s="241"/>
      <c r="Q146" s="241"/>
      <c r="R146" s="82"/>
      <c r="S146" s="241"/>
      <c r="T146" s="82"/>
      <c r="U146" s="241"/>
      <c r="V146" s="82"/>
      <c r="W146" s="88"/>
      <c r="X146" s="82"/>
      <c r="Y146" s="89"/>
      <c r="Z146" s="82"/>
      <c r="AA146" s="220"/>
      <c r="AB146" s="241"/>
      <c r="AC146" s="241"/>
      <c r="AD146" s="241"/>
      <c r="AE146" s="82"/>
      <c r="AF146" s="82"/>
      <c r="AG146" s="90"/>
      <c r="AH146" s="90"/>
      <c r="AI146" s="90"/>
      <c r="AJ146" s="90"/>
      <c r="AK146" s="82"/>
      <c r="AL146" s="82" t="str" cm="1">
        <f t="array" aca="1" ref="AL146" ca="1">_xlfn.IFS(
 AND($AK146&lt;&gt;"", M146&lt;&gt;0, M146&lt;=EDATE(TODAY(),2)),"도래",
 AND($AK146&lt;&gt;"", M146&lt;&gt;0, M146&lt;=EDATE(TODAY(),3)),"예정",
 AND($AK146&lt;&gt;"", M146&lt;&gt;0, M146&lt;=EDATE(TODAY(),6)),"관심",
 TRUE,""
)</f>
        <v/>
      </c>
      <c r="AM146" s="198">
        <f t="shared" si="6"/>
        <v>0</v>
      </c>
    </row>
    <row r="147" spans="1:39" ht="18" customHeight="1">
      <c r="A147" s="81"/>
      <c r="B147" s="205" t="str">
        <f>_xlfn.LET(_xlpm.var,◆관리정보!B147,IF(_xlpm.var&lt;&gt;0,_xlpm.var,""))</f>
        <v>에덴빌</v>
      </c>
      <c r="C147" s="82">
        <f>_xlfn.LET(_xlpm.var,◆관리정보!C147,IF(_xlpm.var&lt;&gt;0,_xlpm.var,""))</f>
        <v>102</v>
      </c>
      <c r="D147" s="83" t="s">
        <v>661</v>
      </c>
      <c r="E147" s="84" t="str">
        <f t="shared" si="5"/>
        <v>에덴빌102</v>
      </c>
      <c r="F147" s="85">
        <v>46115</v>
      </c>
      <c r="G147" s="229"/>
      <c r="H147" s="229"/>
      <c r="I147" s="229"/>
      <c r="J147" s="229"/>
      <c r="K147" s="218"/>
      <c r="L147" s="87">
        <v>45599</v>
      </c>
      <c r="M147" s="87">
        <v>45690</v>
      </c>
      <c r="N147" s="82" t="s">
        <v>662</v>
      </c>
      <c r="O147" s="82" t="s">
        <v>663</v>
      </c>
      <c r="P147" s="241">
        <v>1500000</v>
      </c>
      <c r="Q147" s="241">
        <v>1500000</v>
      </c>
      <c r="R147" s="82"/>
      <c r="S147" s="241">
        <v>80000</v>
      </c>
      <c r="T147" s="82" t="s">
        <v>40</v>
      </c>
      <c r="U147" s="241">
        <v>30000</v>
      </c>
      <c r="V147" s="82" t="s">
        <v>40</v>
      </c>
      <c r="W147" s="88">
        <v>25000</v>
      </c>
      <c r="X147" s="82" t="s">
        <v>40</v>
      </c>
      <c r="Y147" s="89"/>
      <c r="Z147" s="82"/>
      <c r="AA147" s="220"/>
      <c r="AB147" s="241">
        <v>200000</v>
      </c>
      <c r="AC147" s="241">
        <v>200000</v>
      </c>
      <c r="AD147" s="241"/>
      <c r="AE147" s="82" t="s">
        <v>664</v>
      </c>
      <c r="AF147" s="82" t="s">
        <v>665</v>
      </c>
      <c r="AG147" s="90"/>
      <c r="AH147" s="90"/>
      <c r="AI147" s="90"/>
      <c r="AJ147" s="90"/>
      <c r="AK147" s="82"/>
      <c r="AL147" s="82" t="str" cm="1">
        <f t="array" aca="1" ref="AL147" ca="1">_xlfn.IFS(
 AND($AK147&lt;&gt;"", M147&lt;&gt;0, M147&lt;=EDATE(TODAY(),2)),"도래",
 AND($AK147&lt;&gt;"", M147&lt;&gt;0, M147&lt;=EDATE(TODAY(),3)),"예정",
 AND($AK147&lt;&gt;"", M147&lt;&gt;0, M147&lt;=EDATE(TODAY(),6)),"관심",
 TRUE,""
)</f>
        <v/>
      </c>
      <c r="AM147" s="198">
        <f t="shared" si="6"/>
        <v>3</v>
      </c>
    </row>
    <row r="148" spans="1:39" ht="18" customHeight="1">
      <c r="A148" s="81"/>
      <c r="B148" s="205" t="str">
        <f>_xlfn.LET(_xlpm.var,◆관리정보!B148,IF(_xlpm.var&lt;&gt;0,_xlpm.var,""))</f>
        <v>에덴빌</v>
      </c>
      <c r="C148" s="82">
        <f>_xlfn.LET(_xlpm.var,◆관리정보!C148,IF(_xlpm.var&lt;&gt;0,_xlpm.var,""))</f>
        <v>201</v>
      </c>
      <c r="D148" s="83" t="s">
        <v>410</v>
      </c>
      <c r="E148" s="84" t="str">
        <f t="shared" si="5"/>
        <v>에덴빌201</v>
      </c>
      <c r="F148" s="85">
        <v>46101</v>
      </c>
      <c r="G148" s="229"/>
      <c r="H148" s="229"/>
      <c r="I148" s="229"/>
      <c r="J148" s="229">
        <v>1250990</v>
      </c>
      <c r="K148" s="218"/>
      <c r="L148" s="87">
        <v>45981</v>
      </c>
      <c r="M148" s="87">
        <v>46072</v>
      </c>
      <c r="N148" s="82" t="s">
        <v>411</v>
      </c>
      <c r="O148" s="82" t="s">
        <v>412</v>
      </c>
      <c r="P148" s="241">
        <v>950000</v>
      </c>
      <c r="Q148" s="241">
        <v>950000</v>
      </c>
      <c r="R148" s="82"/>
      <c r="S148" s="241">
        <v>80000</v>
      </c>
      <c r="T148" s="82" t="s">
        <v>40</v>
      </c>
      <c r="U148" s="241">
        <v>25000</v>
      </c>
      <c r="V148" s="82" t="s">
        <v>40</v>
      </c>
      <c r="W148" s="88">
        <v>25000</v>
      </c>
      <c r="X148" s="82" t="s">
        <v>40</v>
      </c>
      <c r="Y148" s="89"/>
      <c r="Z148" s="82"/>
      <c r="AA148" s="220"/>
      <c r="AB148" s="241">
        <v>180000</v>
      </c>
      <c r="AC148" s="241">
        <v>150000</v>
      </c>
      <c r="AD148" s="241"/>
      <c r="AE148" s="82" t="s">
        <v>108</v>
      </c>
      <c r="AF148" s="82" t="s">
        <v>413</v>
      </c>
      <c r="AG148" s="90"/>
      <c r="AH148" s="90"/>
      <c r="AI148" s="90"/>
      <c r="AJ148" s="90"/>
      <c r="AK148" s="82"/>
      <c r="AL148" s="82" t="str" cm="1">
        <f t="array" aca="1" ref="AL148" ca="1">_xlfn.IFS(
 AND($AK148&lt;&gt;"", M148&lt;&gt;0, M148&lt;=EDATE(TODAY(),2)),"도래",
 AND($AK148&lt;&gt;"", M148&lt;&gt;0, M148&lt;=EDATE(TODAY(),3)),"예정",
 AND($AK148&lt;&gt;"", M148&lt;&gt;0, M148&lt;=EDATE(TODAY(),6)),"관심",
 TRUE,""
)</f>
        <v/>
      </c>
      <c r="AM148" s="198">
        <f t="shared" si="6"/>
        <v>20</v>
      </c>
    </row>
    <row r="149" spans="1:39" ht="18" customHeight="1">
      <c r="A149" s="81"/>
      <c r="B149" s="205" t="str">
        <f>_xlfn.LET(_xlpm.var,◆관리정보!B149,IF(_xlpm.var&lt;&gt;0,_xlpm.var,""))</f>
        <v>에덴빌</v>
      </c>
      <c r="C149" s="82">
        <f>_xlfn.LET(_xlpm.var,◆관리정보!C149,IF(_xlpm.var&lt;&gt;0,_xlpm.var,""))</f>
        <v>202</v>
      </c>
      <c r="D149" s="83" t="s">
        <v>666</v>
      </c>
      <c r="E149" s="84" t="str">
        <f t="shared" si="5"/>
        <v>에덴빌202</v>
      </c>
      <c r="F149" s="85">
        <v>46114</v>
      </c>
      <c r="G149" s="229"/>
      <c r="H149" s="229"/>
      <c r="I149" s="229"/>
      <c r="J149" s="229"/>
      <c r="K149" s="218"/>
      <c r="L149" s="87">
        <v>45871</v>
      </c>
      <c r="M149" s="87">
        <v>45962</v>
      </c>
      <c r="N149" s="82" t="s">
        <v>667</v>
      </c>
      <c r="O149" s="82" t="s">
        <v>668</v>
      </c>
      <c r="P149" s="241">
        <v>900000</v>
      </c>
      <c r="Q149" s="241">
        <v>900000</v>
      </c>
      <c r="R149" s="82"/>
      <c r="S149" s="241">
        <v>80000</v>
      </c>
      <c r="T149" s="82" t="s">
        <v>40</v>
      </c>
      <c r="U149" s="241">
        <v>25000</v>
      </c>
      <c r="V149" s="82" t="s">
        <v>40</v>
      </c>
      <c r="W149" s="88">
        <v>25000</v>
      </c>
      <c r="X149" s="82" t="s">
        <v>40</v>
      </c>
      <c r="Y149" s="89"/>
      <c r="Z149" s="82"/>
      <c r="AA149" s="220"/>
      <c r="AB149" s="241">
        <v>180000</v>
      </c>
      <c r="AC149" s="241">
        <v>150000</v>
      </c>
      <c r="AD149" s="241"/>
      <c r="AE149" s="82" t="s">
        <v>669</v>
      </c>
      <c r="AF149" s="82" t="s">
        <v>670</v>
      </c>
      <c r="AG149" s="90"/>
      <c r="AH149" s="90"/>
      <c r="AI149" s="90" t="s">
        <v>671</v>
      </c>
      <c r="AJ149" s="90"/>
      <c r="AK149" s="82"/>
      <c r="AL149" s="82" t="str" cm="1">
        <f t="array" aca="1" ref="AL149" ca="1">_xlfn.IFS(
 AND($AK149&lt;&gt;"", M149&lt;&gt;0, M149&lt;=EDATE(TODAY(),2)),"도래",
 AND($AK149&lt;&gt;"", M149&lt;&gt;0, M149&lt;=EDATE(TODAY(),3)),"예정",
 AND($AK149&lt;&gt;"", M149&lt;&gt;0, M149&lt;=EDATE(TODAY(),6)),"관심",
 TRUE,""
)</f>
        <v/>
      </c>
      <c r="AM149" s="198">
        <f t="shared" si="6"/>
        <v>2</v>
      </c>
    </row>
    <row r="150" spans="1:39" ht="18" customHeight="1">
      <c r="A150" s="81"/>
      <c r="B150" s="205" t="str">
        <f>_xlfn.LET(_xlpm.var,◆관리정보!B150,IF(_xlpm.var&lt;&gt;0,_xlpm.var,""))</f>
        <v>에덴빌</v>
      </c>
      <c r="C150" s="82">
        <f>_xlfn.LET(_xlpm.var,◆관리정보!C150,IF(_xlpm.var&lt;&gt;0,_xlpm.var,""))</f>
        <v>203</v>
      </c>
      <c r="D150" s="83" t="s">
        <v>672</v>
      </c>
      <c r="E150" s="84" t="str">
        <f t="shared" si="5"/>
        <v>에덴빌203</v>
      </c>
      <c r="F150" s="85">
        <v>46104</v>
      </c>
      <c r="G150" s="229"/>
      <c r="H150" s="229"/>
      <c r="I150" s="229"/>
      <c r="J150" s="229">
        <v>1172460</v>
      </c>
      <c r="K150" s="218"/>
      <c r="L150" s="87">
        <v>45861</v>
      </c>
      <c r="M150" s="87">
        <v>45952</v>
      </c>
      <c r="N150" s="82" t="s">
        <v>673</v>
      </c>
      <c r="O150" s="82" t="s">
        <v>674</v>
      </c>
      <c r="P150" s="241">
        <v>950000</v>
      </c>
      <c r="Q150" s="241">
        <v>900000</v>
      </c>
      <c r="R150" s="82"/>
      <c r="S150" s="241">
        <v>80000</v>
      </c>
      <c r="T150" s="82" t="s">
        <v>40</v>
      </c>
      <c r="U150" s="241">
        <v>25000</v>
      </c>
      <c r="V150" s="82" t="s">
        <v>40</v>
      </c>
      <c r="W150" s="88">
        <v>25000</v>
      </c>
      <c r="X150" s="82" t="s">
        <v>40</v>
      </c>
      <c r="Y150" s="89"/>
      <c r="Z150" s="82"/>
      <c r="AA150" s="220"/>
      <c r="AB150" s="241">
        <v>180000</v>
      </c>
      <c r="AC150" s="241">
        <v>150000</v>
      </c>
      <c r="AD150" s="241"/>
      <c r="AE150" s="82" t="s">
        <v>57</v>
      </c>
      <c r="AF150" s="82" t="s">
        <v>58</v>
      </c>
      <c r="AG150" s="90"/>
      <c r="AH150" s="90"/>
      <c r="AI150" s="90" t="s">
        <v>675</v>
      </c>
      <c r="AJ150" s="90"/>
      <c r="AK150" s="82"/>
      <c r="AL150" s="82" t="str" cm="1">
        <f t="array" aca="1" ref="AL150" ca="1">_xlfn.IFS(
 AND($AK150&lt;&gt;"", M150&lt;&gt;0, M150&lt;=EDATE(TODAY(),2)),"도래",
 AND($AK150&lt;&gt;"", M150&lt;&gt;0, M150&lt;=EDATE(TODAY(),3)),"예정",
 AND($AK150&lt;&gt;"", M150&lt;&gt;0, M150&lt;=EDATE(TODAY(),6)),"관심",
 TRUE,""
)</f>
        <v/>
      </c>
      <c r="AM150" s="198">
        <f t="shared" si="6"/>
        <v>23</v>
      </c>
    </row>
    <row r="151" spans="1:39" ht="18" customHeight="1">
      <c r="A151" s="81"/>
      <c r="B151" s="205" t="str">
        <f>_xlfn.LET(_xlpm.var,◆관리정보!B151,IF(_xlpm.var&lt;&gt;0,_xlpm.var,""))</f>
        <v>에덴빌</v>
      </c>
      <c r="C151" s="82">
        <f>_xlfn.LET(_xlpm.var,◆관리정보!C151,IF(_xlpm.var&lt;&gt;0,_xlpm.var,""))</f>
        <v>204</v>
      </c>
      <c r="D151" s="83" t="s">
        <v>676</v>
      </c>
      <c r="E151" s="84" t="str">
        <f t="shared" si="5"/>
        <v>에덴빌204</v>
      </c>
      <c r="F151" s="85">
        <v>46125</v>
      </c>
      <c r="G151" s="229"/>
      <c r="H151" s="229"/>
      <c r="I151" s="229"/>
      <c r="J151" s="229"/>
      <c r="K151" s="218"/>
      <c r="L151" s="87">
        <v>45882</v>
      </c>
      <c r="M151" s="87">
        <v>45973</v>
      </c>
      <c r="N151" s="82" t="s">
        <v>677</v>
      </c>
      <c r="O151" s="82" t="s">
        <v>678</v>
      </c>
      <c r="P151" s="241">
        <v>950000</v>
      </c>
      <c r="Q151" s="241">
        <v>900000</v>
      </c>
      <c r="R151" s="82"/>
      <c r="S151" s="241">
        <v>80000</v>
      </c>
      <c r="T151" s="82" t="s">
        <v>40</v>
      </c>
      <c r="U151" s="241">
        <v>25000</v>
      </c>
      <c r="V151" s="82" t="s">
        <v>40</v>
      </c>
      <c r="W151" s="88">
        <v>25000</v>
      </c>
      <c r="X151" s="82" t="s">
        <v>40</v>
      </c>
      <c r="Y151" s="89"/>
      <c r="Z151" s="82"/>
      <c r="AA151" s="220"/>
      <c r="AB151" s="241">
        <v>180000</v>
      </c>
      <c r="AC151" s="241">
        <v>150000</v>
      </c>
      <c r="AD151" s="241"/>
      <c r="AE151" s="82" t="s">
        <v>553</v>
      </c>
      <c r="AF151" s="82" t="s">
        <v>679</v>
      </c>
      <c r="AG151" s="90"/>
      <c r="AH151" s="90"/>
      <c r="AI151" s="90"/>
      <c r="AJ151" s="90"/>
      <c r="AK151" s="82"/>
      <c r="AL151" s="82" t="str" cm="1">
        <f t="array" aca="1" ref="AL151" ca="1">_xlfn.IFS(
 AND($AK151&lt;&gt;"", M151&lt;&gt;0, M151&lt;=EDATE(TODAY(),2)),"도래",
 AND($AK151&lt;&gt;"", M151&lt;&gt;0, M151&lt;=EDATE(TODAY(),3)),"예정",
 AND($AK151&lt;&gt;"", M151&lt;&gt;0, M151&lt;=EDATE(TODAY(),6)),"관심",
 TRUE,""
)</f>
        <v/>
      </c>
      <c r="AM151" s="198">
        <f t="shared" si="6"/>
        <v>13</v>
      </c>
    </row>
    <row r="152" spans="1:39" ht="18" customHeight="1">
      <c r="A152" s="81"/>
      <c r="B152" s="205" t="str">
        <f>_xlfn.LET(_xlpm.var,◆관리정보!B152,IF(_xlpm.var&lt;&gt;0,_xlpm.var,""))</f>
        <v>에덴빌</v>
      </c>
      <c r="C152" s="82">
        <f>_xlfn.LET(_xlpm.var,◆관리정보!C152,IF(_xlpm.var&lt;&gt;0,_xlpm.var,""))</f>
        <v>301</v>
      </c>
      <c r="D152" s="83" t="s">
        <v>680</v>
      </c>
      <c r="E152" s="84" t="str">
        <f t="shared" si="5"/>
        <v>에덴빌301</v>
      </c>
      <c r="F152" s="85">
        <v>46082</v>
      </c>
      <c r="G152" s="229"/>
      <c r="H152" s="229"/>
      <c r="I152" s="229"/>
      <c r="J152" s="229">
        <f>1146260-(200000-710-45000)</f>
        <v>991970</v>
      </c>
      <c r="K152" s="218"/>
      <c r="L152" s="87">
        <v>45992</v>
      </c>
      <c r="M152" s="316">
        <v>46081</v>
      </c>
      <c r="N152" s="82" t="s">
        <v>681</v>
      </c>
      <c r="O152" s="82" t="s">
        <v>682</v>
      </c>
      <c r="P152" s="241">
        <v>900000</v>
      </c>
      <c r="Q152" s="241">
        <v>900000</v>
      </c>
      <c r="R152" s="82"/>
      <c r="S152" s="241">
        <v>80000</v>
      </c>
      <c r="T152" s="82" t="s">
        <v>40</v>
      </c>
      <c r="U152" s="241">
        <v>25000</v>
      </c>
      <c r="V152" s="82" t="s">
        <v>40</v>
      </c>
      <c r="W152" s="88">
        <v>25000</v>
      </c>
      <c r="X152" s="82" t="s">
        <v>40</v>
      </c>
      <c r="Y152" s="89"/>
      <c r="Z152" s="82"/>
      <c r="AA152" s="220"/>
      <c r="AB152" s="241">
        <v>180000</v>
      </c>
      <c r="AC152" s="241">
        <v>150000</v>
      </c>
      <c r="AD152" s="241"/>
      <c r="AE152" s="82" t="s">
        <v>683</v>
      </c>
      <c r="AF152" s="82" t="s">
        <v>684</v>
      </c>
      <c r="AG152" s="90"/>
      <c r="AH152" s="90"/>
      <c r="AI152" s="90" t="s">
        <v>685</v>
      </c>
      <c r="AJ152" s="90"/>
      <c r="AK152" s="82"/>
      <c r="AL152" s="82" t="str" cm="1">
        <f t="array" aca="1" ref="AL152" ca="1">_xlfn.IFS(
 AND($AK152&lt;&gt;"", M152&lt;&gt;0, M152&lt;=EDATE(TODAY(),2)),"도래",
 AND($AK152&lt;&gt;"", M152&lt;&gt;0, M152&lt;=EDATE(TODAY(),3)),"예정",
 AND($AK152&lt;&gt;"", M152&lt;&gt;0, M152&lt;=EDATE(TODAY(),6)),"관심",
 TRUE,""
)</f>
        <v/>
      </c>
      <c r="AM152" s="198">
        <f t="shared" si="6"/>
        <v>1</v>
      </c>
    </row>
    <row r="153" spans="1:39" ht="18" customHeight="1">
      <c r="A153" s="81"/>
      <c r="B153" s="205" t="str">
        <f>_xlfn.LET(_xlpm.var,◆관리정보!B153,IF(_xlpm.var&lt;&gt;0,_xlpm.var,""))</f>
        <v>에덴빌</v>
      </c>
      <c r="C153" s="82">
        <f>_xlfn.LET(_xlpm.var,◆관리정보!C153,IF(_xlpm.var&lt;&gt;0,_xlpm.var,""))</f>
        <v>302</v>
      </c>
      <c r="D153" s="83" t="s">
        <v>686</v>
      </c>
      <c r="E153" s="84" t="str">
        <f t="shared" si="5"/>
        <v>에덴빌302</v>
      </c>
      <c r="F153" s="85">
        <v>46122</v>
      </c>
      <c r="G153" s="229"/>
      <c r="H153" s="229"/>
      <c r="I153" s="229"/>
      <c r="J153" s="229"/>
      <c r="K153" s="318"/>
      <c r="L153" s="87">
        <v>45879</v>
      </c>
      <c r="M153" s="87">
        <v>45970</v>
      </c>
      <c r="N153" s="82" t="s">
        <v>687</v>
      </c>
      <c r="O153" s="82" t="s">
        <v>688</v>
      </c>
      <c r="P153" s="241">
        <v>950000</v>
      </c>
      <c r="Q153" s="241">
        <v>900000</v>
      </c>
      <c r="R153" s="82"/>
      <c r="S153" s="241">
        <v>80000</v>
      </c>
      <c r="T153" s="82" t="s">
        <v>40</v>
      </c>
      <c r="U153" s="241">
        <v>25000</v>
      </c>
      <c r="V153" s="82" t="s">
        <v>40</v>
      </c>
      <c r="W153" s="88">
        <v>25000</v>
      </c>
      <c r="X153" s="82" t="s">
        <v>40</v>
      </c>
      <c r="Y153" s="89"/>
      <c r="Z153" s="82"/>
      <c r="AA153" s="220"/>
      <c r="AB153" s="241">
        <v>180000</v>
      </c>
      <c r="AC153" s="241">
        <v>150000</v>
      </c>
      <c r="AD153" s="241"/>
      <c r="AE153" s="82" t="s">
        <v>95</v>
      </c>
      <c r="AF153" s="82" t="s">
        <v>96</v>
      </c>
      <c r="AG153" s="90"/>
      <c r="AH153" s="90"/>
      <c r="AI153" s="90" t="s">
        <v>689</v>
      </c>
      <c r="AJ153" s="90"/>
      <c r="AK153" s="82"/>
      <c r="AL153" s="82" t="str" cm="1">
        <f t="array" aca="1" ref="AL153" ca="1">_xlfn.IFS(
 AND($AK153&lt;&gt;"", M153&lt;&gt;0, M153&lt;=EDATE(TODAY(),2)),"도래",
 AND($AK153&lt;&gt;"", M153&lt;&gt;0, M153&lt;=EDATE(TODAY(),3)),"예정",
 AND($AK153&lt;&gt;"", M153&lt;&gt;0, M153&lt;=EDATE(TODAY(),6)),"관심",
 TRUE,""
)</f>
        <v/>
      </c>
      <c r="AM153" s="198">
        <f t="shared" si="6"/>
        <v>10</v>
      </c>
    </row>
    <row r="154" spans="1:39" ht="18" customHeight="1">
      <c r="A154" s="81"/>
      <c r="B154" s="242" t="str">
        <f>_xlfn.LET(_xlpm.var,◆관리정보!B154,IF(_xlpm.var&lt;&gt;0,_xlpm.var,""))</f>
        <v>에덴빌</v>
      </c>
      <c r="C154" s="243">
        <f>_xlfn.LET(_xlpm.var,◆관리정보!C154,IF(_xlpm.var&lt;&gt;0,_xlpm.var,""))</f>
        <v>303</v>
      </c>
      <c r="D154" s="244" t="s">
        <v>482</v>
      </c>
      <c r="E154" s="84" t="str">
        <f t="shared" si="5"/>
        <v>에덴빌303</v>
      </c>
      <c r="F154" s="85"/>
      <c r="G154" s="229"/>
      <c r="H154" s="229"/>
      <c r="I154" s="229"/>
      <c r="J154" s="229"/>
      <c r="K154" s="218"/>
      <c r="L154" s="87"/>
      <c r="M154" s="87"/>
      <c r="N154" s="82"/>
      <c r="O154" s="82"/>
      <c r="P154" s="241"/>
      <c r="Q154" s="241"/>
      <c r="R154" s="82"/>
      <c r="S154" s="241"/>
      <c r="T154" s="82"/>
      <c r="U154" s="241"/>
      <c r="V154" s="82"/>
      <c r="W154" s="88"/>
      <c r="X154" s="82"/>
      <c r="Y154" s="89"/>
      <c r="Z154" s="82"/>
      <c r="AA154" s="220"/>
      <c r="AB154" s="241"/>
      <c r="AC154" s="241"/>
      <c r="AD154" s="241"/>
      <c r="AE154" s="82"/>
      <c r="AF154" s="82"/>
      <c r="AG154" s="90"/>
      <c r="AH154" s="90"/>
      <c r="AI154" s="90" t="s">
        <v>690</v>
      </c>
      <c r="AJ154" s="90"/>
      <c r="AK154" s="82"/>
      <c r="AL154" s="82" t="str" cm="1">
        <f t="array" aca="1" ref="AL154" ca="1">_xlfn.IFS(
 AND($AK154&lt;&gt;"", M154&lt;&gt;0, M154&lt;=EDATE(TODAY(),2)),"도래",
 AND($AK154&lt;&gt;"", M154&lt;&gt;0, M154&lt;=EDATE(TODAY(),3)),"예정",
 AND($AK154&lt;&gt;"", M154&lt;&gt;0, M154&lt;=EDATE(TODAY(),6)),"관심",
 TRUE,""
)</f>
        <v/>
      </c>
      <c r="AM154" s="198">
        <f t="shared" si="6"/>
        <v>0</v>
      </c>
    </row>
    <row r="155" spans="1:39" ht="18" customHeight="1">
      <c r="A155" s="81"/>
      <c r="B155" s="205" t="str">
        <f>_xlfn.LET(_xlpm.var,◆관리정보!B155,IF(_xlpm.var&lt;&gt;0,_xlpm.var,""))</f>
        <v>에덴빌</v>
      </c>
      <c r="C155" s="82">
        <f>_xlfn.LET(_xlpm.var,◆관리정보!C155,IF(_xlpm.var&lt;&gt;0,_xlpm.var,""))</f>
        <v>304</v>
      </c>
      <c r="D155" s="83" t="s">
        <v>691</v>
      </c>
      <c r="E155" s="84" t="str">
        <f t="shared" si="5"/>
        <v>에덴빌304</v>
      </c>
      <c r="F155" s="85">
        <v>46125</v>
      </c>
      <c r="G155" s="229"/>
      <c r="H155" s="229"/>
      <c r="I155" s="229"/>
      <c r="J155" s="229"/>
      <c r="K155" s="218"/>
      <c r="L155" s="87">
        <v>45548</v>
      </c>
      <c r="M155" s="87">
        <v>45638</v>
      </c>
      <c r="N155" s="82" t="s">
        <v>692</v>
      </c>
      <c r="O155" s="82" t="s">
        <v>693</v>
      </c>
      <c r="P155" s="241">
        <v>950000</v>
      </c>
      <c r="Q155" s="241">
        <v>950000</v>
      </c>
      <c r="R155" s="82"/>
      <c r="S155" s="241">
        <v>80000</v>
      </c>
      <c r="T155" s="82" t="s">
        <v>40</v>
      </c>
      <c r="U155" s="241">
        <v>25000</v>
      </c>
      <c r="V155" s="82" t="s">
        <v>40</v>
      </c>
      <c r="W155" s="88">
        <v>25000</v>
      </c>
      <c r="X155" s="82" t="s">
        <v>40</v>
      </c>
      <c r="Y155" s="89"/>
      <c r="Z155" s="82"/>
      <c r="AA155" s="220"/>
      <c r="AB155" s="241">
        <v>150000</v>
      </c>
      <c r="AC155" s="241">
        <v>150000</v>
      </c>
      <c r="AD155" s="241"/>
      <c r="AE155" s="82" t="s">
        <v>63</v>
      </c>
      <c r="AF155" s="82" t="s">
        <v>86</v>
      </c>
      <c r="AG155" s="90"/>
      <c r="AH155" s="90"/>
      <c r="AI155" s="90"/>
      <c r="AJ155" s="90"/>
      <c r="AK155" s="82"/>
      <c r="AL155" s="82" t="str" cm="1">
        <f t="array" aca="1" ref="AL155" ca="1">_xlfn.IFS(
 AND($AK155&lt;&gt;"", M155&lt;&gt;0, M155&lt;=EDATE(TODAY(),2)),"도래",
 AND($AK155&lt;&gt;"", M155&lt;&gt;0, M155&lt;=EDATE(TODAY(),3)),"예정",
 AND($AK155&lt;&gt;"", M155&lt;&gt;0, M155&lt;=EDATE(TODAY(),6)),"관심",
 TRUE,""
)</f>
        <v/>
      </c>
      <c r="AM155" s="198">
        <f t="shared" si="6"/>
        <v>13</v>
      </c>
    </row>
    <row r="156" spans="1:39" ht="18" customHeight="1">
      <c r="A156" s="81"/>
      <c r="B156" s="205" t="str">
        <f>_xlfn.LET(_xlpm.var,◆관리정보!B156,IF(_xlpm.var&lt;&gt;0,_xlpm.var,""))</f>
        <v>와이원빈티지</v>
      </c>
      <c r="C156" s="82">
        <f>_xlfn.LET(_xlpm.var,◆관리정보!C156,IF(_xlpm.var&lt;&gt;0,_xlpm.var,""))</f>
        <v>201</v>
      </c>
      <c r="D156" s="83" t="s">
        <v>694</v>
      </c>
      <c r="E156" s="84" t="str">
        <f t="shared" si="5"/>
        <v>와이원빈티지201</v>
      </c>
      <c r="F156" s="85">
        <v>46104</v>
      </c>
      <c r="G156" s="229"/>
      <c r="H156" s="229"/>
      <c r="I156" s="229">
        <v>1000000</v>
      </c>
      <c r="J156" s="229">
        <v>242600</v>
      </c>
      <c r="K156" s="218"/>
      <c r="L156" s="87">
        <v>45527</v>
      </c>
      <c r="M156" s="87">
        <v>45618</v>
      </c>
      <c r="N156" s="82" t="s">
        <v>695</v>
      </c>
      <c r="O156" s="82" t="s">
        <v>696</v>
      </c>
      <c r="P156" s="241">
        <v>1100000</v>
      </c>
      <c r="Q156" s="241">
        <v>1000000</v>
      </c>
      <c r="R156" s="82"/>
      <c r="S156" s="241">
        <v>80000</v>
      </c>
      <c r="T156" s="82" t="s">
        <v>40</v>
      </c>
      <c r="U156" s="241">
        <v>25000</v>
      </c>
      <c r="V156" s="82" t="s">
        <v>40</v>
      </c>
      <c r="W156" s="88">
        <v>25000</v>
      </c>
      <c r="X156" s="82" t="s">
        <v>40</v>
      </c>
      <c r="Y156" s="89"/>
      <c r="Z156" s="82"/>
      <c r="AA156" s="220"/>
      <c r="AB156" s="241">
        <v>180000</v>
      </c>
      <c r="AC156" s="241">
        <v>150000</v>
      </c>
      <c r="AD156" s="241"/>
      <c r="AE156" s="82" t="s">
        <v>63</v>
      </c>
      <c r="AF156" s="82" t="s">
        <v>697</v>
      </c>
      <c r="AG156" s="90"/>
      <c r="AH156" s="90"/>
      <c r="AI156" s="90"/>
      <c r="AJ156" s="90"/>
      <c r="AK156" s="82"/>
      <c r="AL156" s="82" t="str" cm="1">
        <f t="array" aca="1" ref="AL156" ca="1">_xlfn.IFS(
 AND($AK156&lt;&gt;"", M156&lt;&gt;0, M156&lt;=EDATE(TODAY(),2)),"도래",
 AND($AK156&lt;&gt;"", M156&lt;&gt;0, M156&lt;=EDATE(TODAY(),3)),"예정",
 AND($AK156&lt;&gt;"", M156&lt;&gt;0, M156&lt;=EDATE(TODAY(),6)),"관심",
 TRUE,""
)</f>
        <v/>
      </c>
      <c r="AM156" s="198">
        <f t="shared" si="6"/>
        <v>23</v>
      </c>
    </row>
    <row r="157" spans="1:39" ht="18" customHeight="1">
      <c r="A157" s="81"/>
      <c r="B157" s="237" t="str">
        <f>_xlfn.LET(_xlpm.var,◆관리정보!B157,IF(_xlpm.var&lt;&gt;0,_xlpm.var,""))</f>
        <v>와이원빈티지</v>
      </c>
      <c r="C157" s="238">
        <f>_xlfn.LET(_xlpm.var,◆관리정보!C157,IF(_xlpm.var&lt;&gt;0,_xlpm.var,""))</f>
        <v>202</v>
      </c>
      <c r="D157" s="239" t="s">
        <v>195</v>
      </c>
      <c r="E157" s="84" t="str">
        <f t="shared" si="5"/>
        <v>와이원빈티지202</v>
      </c>
      <c r="F157" s="85"/>
      <c r="G157" s="229"/>
      <c r="H157" s="229"/>
      <c r="I157" s="229"/>
      <c r="J157" s="229"/>
      <c r="K157" s="218"/>
      <c r="L157" s="309"/>
      <c r="M157" s="87"/>
      <c r="N157" s="82"/>
      <c r="O157" s="82"/>
      <c r="P157" s="241"/>
      <c r="Q157" s="241"/>
      <c r="R157" s="82"/>
      <c r="S157" s="241"/>
      <c r="T157" s="82"/>
      <c r="U157" s="241"/>
      <c r="V157" s="82"/>
      <c r="W157" s="88"/>
      <c r="X157" s="82"/>
      <c r="Y157" s="89"/>
      <c r="Z157" s="82"/>
      <c r="AA157" s="220"/>
      <c r="AB157" s="241"/>
      <c r="AC157" s="241"/>
      <c r="AD157" s="241"/>
      <c r="AE157" s="82"/>
      <c r="AF157" s="82"/>
      <c r="AG157" s="90"/>
      <c r="AH157" s="90"/>
      <c r="AI157" s="90"/>
      <c r="AJ157" s="90"/>
      <c r="AK157" s="82"/>
      <c r="AL157" s="82" t="str" cm="1">
        <f t="array" aca="1" ref="AL157" ca="1">_xlfn.IFS(
 AND($AK157&lt;&gt;"", M157&lt;&gt;0, M157&lt;=EDATE(TODAY(),2)),"도래",
 AND($AK157&lt;&gt;"", M157&lt;&gt;0, M157&lt;=EDATE(TODAY(),3)),"예정",
 AND($AK157&lt;&gt;"", M157&lt;&gt;0, M157&lt;=EDATE(TODAY(),6)),"관심",
 TRUE,""
)</f>
        <v/>
      </c>
      <c r="AM157" s="198">
        <f t="shared" si="6"/>
        <v>0</v>
      </c>
    </row>
    <row r="158" spans="1:39" ht="18" customHeight="1">
      <c r="A158" s="81"/>
      <c r="B158" s="205" t="str">
        <f>_xlfn.LET(_xlpm.var,◆관리정보!B158,IF(_xlpm.var&lt;&gt;0,_xlpm.var,""))</f>
        <v>와이원빈티지</v>
      </c>
      <c r="C158" s="82">
        <f>_xlfn.LET(_xlpm.var,◆관리정보!C158,IF(_xlpm.var&lt;&gt;0,_xlpm.var,""))</f>
        <v>203</v>
      </c>
      <c r="D158" s="83" t="s">
        <v>698</v>
      </c>
      <c r="E158" s="84" t="str">
        <f t="shared" si="5"/>
        <v>와이원빈티지203</v>
      </c>
      <c r="F158" s="85">
        <v>46105</v>
      </c>
      <c r="G158" s="229"/>
      <c r="H158" s="229"/>
      <c r="I158" s="229">
        <v>950000</v>
      </c>
      <c r="J158" s="229">
        <v>208440</v>
      </c>
      <c r="K158" s="218"/>
      <c r="L158" s="87">
        <v>44705</v>
      </c>
      <c r="M158" s="87">
        <v>44796</v>
      </c>
      <c r="N158" s="82" t="s">
        <v>699</v>
      </c>
      <c r="O158" s="82" t="s">
        <v>700</v>
      </c>
      <c r="P158" s="241">
        <v>950000</v>
      </c>
      <c r="Q158" s="241">
        <v>950000</v>
      </c>
      <c r="R158" s="82"/>
      <c r="S158" s="241">
        <v>80000</v>
      </c>
      <c r="T158" s="82" t="s">
        <v>40</v>
      </c>
      <c r="U158" s="241">
        <v>15000</v>
      </c>
      <c r="V158" s="82" t="s">
        <v>40</v>
      </c>
      <c r="W158" s="88">
        <v>25000</v>
      </c>
      <c r="X158" s="82" t="s">
        <v>40</v>
      </c>
      <c r="Y158" s="89"/>
      <c r="Z158" s="82"/>
      <c r="AA158" s="220"/>
      <c r="AB158" s="241">
        <v>120000</v>
      </c>
      <c r="AC158" s="241">
        <v>150000</v>
      </c>
      <c r="AD158" s="241"/>
      <c r="AE158" s="82" t="s">
        <v>701</v>
      </c>
      <c r="AF158" s="82" t="s">
        <v>702</v>
      </c>
      <c r="AG158" s="90"/>
      <c r="AH158" s="90"/>
      <c r="AI158" s="90"/>
      <c r="AJ158" s="90"/>
      <c r="AK158" s="82"/>
      <c r="AL158" s="82" t="str" cm="1">
        <f t="array" aca="1" ref="AL158" ca="1">_xlfn.IFS(
 AND($AK158&lt;&gt;"", M158&lt;&gt;0, M158&lt;=EDATE(TODAY(),2)),"도래",
 AND($AK158&lt;&gt;"", M158&lt;&gt;0, M158&lt;=EDATE(TODAY(),3)),"예정",
 AND($AK158&lt;&gt;"", M158&lt;&gt;0, M158&lt;=EDATE(TODAY(),6)),"관심",
 TRUE,""
)</f>
        <v/>
      </c>
      <c r="AM158" s="198">
        <f t="shared" si="6"/>
        <v>24</v>
      </c>
    </row>
    <row r="159" spans="1:39" ht="18" customHeight="1">
      <c r="A159" s="81"/>
      <c r="B159" s="378" t="str">
        <f>_xlfn.LET(_xlpm.var,◆관리정보!B159,IF(_xlpm.var&lt;&gt;0,_xlpm.var,""))</f>
        <v>와이원빈티지</v>
      </c>
      <c r="C159" s="379">
        <f>_xlfn.LET(_xlpm.var,◆관리정보!C159,IF(_xlpm.var&lt;&gt;0,_xlpm.var,""))</f>
        <v>204</v>
      </c>
      <c r="D159" s="236" t="s">
        <v>703</v>
      </c>
      <c r="E159" s="84" t="str">
        <f t="shared" si="5"/>
        <v>와이원빈티지204</v>
      </c>
      <c r="F159" s="85">
        <v>46125</v>
      </c>
      <c r="G159" s="229"/>
      <c r="H159" s="229"/>
      <c r="I159" s="229"/>
      <c r="J159" s="229"/>
      <c r="K159" s="218"/>
      <c r="L159" s="359">
        <v>46095</v>
      </c>
      <c r="M159" s="87">
        <v>46186</v>
      </c>
      <c r="N159" s="82" t="s">
        <v>704</v>
      </c>
      <c r="O159" s="82" t="s">
        <v>705</v>
      </c>
      <c r="P159" s="241">
        <v>1000000</v>
      </c>
      <c r="Q159" s="241">
        <v>1000000</v>
      </c>
      <c r="R159" s="82"/>
      <c r="S159" s="241">
        <v>80000</v>
      </c>
      <c r="T159" s="82" t="s">
        <v>40</v>
      </c>
      <c r="U159" s="261">
        <v>25000</v>
      </c>
      <c r="V159" s="82" t="s">
        <v>40</v>
      </c>
      <c r="W159" s="261">
        <v>25000</v>
      </c>
      <c r="X159" s="82" t="s">
        <v>40</v>
      </c>
      <c r="Y159" s="89"/>
      <c r="Z159" s="82"/>
      <c r="AA159" s="220"/>
      <c r="AB159" s="241">
        <v>180000</v>
      </c>
      <c r="AC159" s="241">
        <v>150000</v>
      </c>
      <c r="AD159" s="241"/>
      <c r="AE159" s="82" t="s">
        <v>85</v>
      </c>
      <c r="AF159" s="82" t="s">
        <v>706</v>
      </c>
      <c r="AG159" s="90"/>
      <c r="AH159" s="90"/>
      <c r="AI159" s="90"/>
      <c r="AJ159" s="90"/>
      <c r="AK159" s="82"/>
      <c r="AL159" s="82" t="str" cm="1">
        <f t="array" aca="1" ref="AL159" ca="1">_xlfn.IFS(
 AND($AK159&lt;&gt;"", M159&lt;&gt;0, M159&lt;=EDATE(TODAY(),2)),"도래",
 AND($AK159&lt;&gt;"", M159&lt;&gt;0, M159&lt;=EDATE(TODAY(),3)),"예정",
 AND($AK159&lt;&gt;"", M159&lt;&gt;0, M159&lt;=EDATE(TODAY(),6)),"관심",
 TRUE,""
)</f>
        <v/>
      </c>
      <c r="AM159" s="198">
        <f t="shared" si="6"/>
        <v>14</v>
      </c>
    </row>
    <row r="160" spans="1:39" ht="18" customHeight="1">
      <c r="A160" s="81"/>
      <c r="B160" s="205" t="str">
        <f>_xlfn.LET(_xlpm.var,◆관리정보!B160,IF(_xlpm.var&lt;&gt;0,_xlpm.var,""))</f>
        <v>와이원빈티지</v>
      </c>
      <c r="C160" s="82">
        <f>_xlfn.LET(_xlpm.var,◆관리정보!C160,IF(_xlpm.var&lt;&gt;0,_xlpm.var,""))</f>
        <v>301</v>
      </c>
      <c r="D160" s="83" t="s">
        <v>707</v>
      </c>
      <c r="E160" s="84" t="str">
        <f t="shared" si="5"/>
        <v>와이원빈티지301</v>
      </c>
      <c r="F160" s="85">
        <v>46113</v>
      </c>
      <c r="G160" s="229"/>
      <c r="H160" s="229"/>
      <c r="I160" s="229"/>
      <c r="J160" s="229"/>
      <c r="K160" s="218"/>
      <c r="L160" s="309">
        <v>46023</v>
      </c>
      <c r="M160" s="87">
        <v>46112</v>
      </c>
      <c r="N160" s="82" t="s">
        <v>708</v>
      </c>
      <c r="O160" s="82" t="s">
        <v>709</v>
      </c>
      <c r="P160" s="241">
        <v>1000000</v>
      </c>
      <c r="Q160" s="241">
        <v>1000000</v>
      </c>
      <c r="R160" s="82"/>
      <c r="S160" s="241">
        <v>80000</v>
      </c>
      <c r="T160" s="82" t="s">
        <v>40</v>
      </c>
      <c r="U160" s="241">
        <v>25000</v>
      </c>
      <c r="V160" s="82" t="s">
        <v>40</v>
      </c>
      <c r="W160" s="88">
        <v>25000</v>
      </c>
      <c r="X160" s="82" t="s">
        <v>40</v>
      </c>
      <c r="Y160" s="89"/>
      <c r="Z160" s="82"/>
      <c r="AA160" s="220"/>
      <c r="AB160" s="241">
        <v>180000</v>
      </c>
      <c r="AC160" s="241">
        <v>0</v>
      </c>
      <c r="AD160" s="241"/>
      <c r="AE160" s="82" t="s">
        <v>710</v>
      </c>
      <c r="AF160" s="82"/>
      <c r="AG160" s="90"/>
      <c r="AH160" s="90"/>
      <c r="AI160" s="90"/>
      <c r="AJ160" s="90"/>
      <c r="AK160" s="82"/>
      <c r="AL160" s="82" t="str" cm="1">
        <f t="array" aca="1" ref="AL160" ca="1">_xlfn.IFS(
 AND($AK160&lt;&gt;"", M160&lt;&gt;0, M160&lt;=EDATE(TODAY(),2)),"도래",
 AND($AK160&lt;&gt;"", M160&lt;&gt;0, M160&lt;=EDATE(TODAY(),3)),"예정",
 AND($AK160&lt;&gt;"", M160&lt;&gt;0, M160&lt;=EDATE(TODAY(),6)),"관심",
 TRUE,""
)</f>
        <v/>
      </c>
      <c r="AM160" s="198">
        <f t="shared" si="6"/>
        <v>1</v>
      </c>
    </row>
    <row r="161" spans="1:39" ht="18" customHeight="1">
      <c r="A161" s="81"/>
      <c r="B161" s="205" t="str">
        <f>_xlfn.LET(_xlpm.var,◆관리정보!B161,IF(_xlpm.var&lt;&gt;0,_xlpm.var,""))</f>
        <v>와이원빈티지</v>
      </c>
      <c r="C161" s="82">
        <f>_xlfn.LET(_xlpm.var,◆관리정보!C161,IF(_xlpm.var&lt;&gt;0,_xlpm.var,""))</f>
        <v>302</v>
      </c>
      <c r="D161" s="83" t="s">
        <v>711</v>
      </c>
      <c r="E161" s="84" t="str">
        <f t="shared" si="5"/>
        <v>와이원빈티지302</v>
      </c>
      <c r="F161" s="85">
        <v>46114</v>
      </c>
      <c r="G161" s="229"/>
      <c r="H161" s="229"/>
      <c r="I161" s="229"/>
      <c r="J161" s="229"/>
      <c r="K161" s="218"/>
      <c r="L161" s="309">
        <v>45932</v>
      </c>
      <c r="M161" s="87">
        <v>46023</v>
      </c>
      <c r="N161" s="82" t="s">
        <v>712</v>
      </c>
      <c r="O161" s="82" t="s">
        <v>713</v>
      </c>
      <c r="P161" s="241">
        <v>1000000</v>
      </c>
      <c r="Q161" s="241">
        <v>950000</v>
      </c>
      <c r="R161" s="82"/>
      <c r="S161" s="241">
        <v>80000</v>
      </c>
      <c r="T161" s="82" t="s">
        <v>40</v>
      </c>
      <c r="U161" s="241">
        <v>25000</v>
      </c>
      <c r="V161" s="82" t="s">
        <v>40</v>
      </c>
      <c r="W161" s="88">
        <v>25000</v>
      </c>
      <c r="X161" s="82" t="s">
        <v>40</v>
      </c>
      <c r="Y161" s="89"/>
      <c r="Z161" s="82"/>
      <c r="AA161" s="220"/>
      <c r="AB161" s="241">
        <v>180000</v>
      </c>
      <c r="AC161" s="241">
        <v>150000</v>
      </c>
      <c r="AD161" s="241"/>
      <c r="AE161" s="82" t="s">
        <v>85</v>
      </c>
      <c r="AF161" s="82" t="s">
        <v>570</v>
      </c>
      <c r="AG161" s="90"/>
      <c r="AH161" s="90"/>
      <c r="AI161" s="90"/>
      <c r="AJ161" s="90"/>
      <c r="AK161" s="82"/>
      <c r="AL161" s="82" t="str" cm="1">
        <f t="array" aca="1" ref="AL161" ca="1">_xlfn.IFS(
 AND($AK161&lt;&gt;"", M161&lt;&gt;0, M161&lt;=EDATE(TODAY(),2)),"도래",
 AND($AK161&lt;&gt;"", M161&lt;&gt;0, M161&lt;=EDATE(TODAY(),3)),"예정",
 AND($AK161&lt;&gt;"", M161&lt;&gt;0, M161&lt;=EDATE(TODAY(),6)),"관심",
 TRUE,""
)</f>
        <v/>
      </c>
      <c r="AM161" s="198">
        <f t="shared" si="6"/>
        <v>2</v>
      </c>
    </row>
    <row r="162" spans="1:39" ht="18" customHeight="1">
      <c r="A162" s="81"/>
      <c r="B162" s="237" t="str">
        <f>_xlfn.LET(_xlpm.var,◆관리정보!B162,IF(_xlpm.var&lt;&gt;0,_xlpm.var,""))</f>
        <v>와이원빈티지</v>
      </c>
      <c r="C162" s="238">
        <f>_xlfn.LET(_xlpm.var,◆관리정보!C162,IF(_xlpm.var&lt;&gt;0,_xlpm.var,""))</f>
        <v>303</v>
      </c>
      <c r="D162" s="239" t="s">
        <v>195</v>
      </c>
      <c r="E162" s="84" t="str">
        <f t="shared" si="5"/>
        <v>와이원빈티지303</v>
      </c>
      <c r="F162" s="85"/>
      <c r="G162" s="229"/>
      <c r="H162" s="229"/>
      <c r="I162" s="229"/>
      <c r="J162" s="229"/>
      <c r="K162" s="218"/>
      <c r="L162" s="381"/>
      <c r="M162" s="87"/>
      <c r="N162" s="82"/>
      <c r="O162" s="82"/>
      <c r="P162" s="241"/>
      <c r="Q162" s="241"/>
      <c r="R162" s="82"/>
      <c r="S162" s="241"/>
      <c r="T162" s="82"/>
      <c r="U162" s="241"/>
      <c r="V162" s="82"/>
      <c r="W162" s="88"/>
      <c r="X162" s="82"/>
      <c r="Y162" s="89"/>
      <c r="Z162" s="82"/>
      <c r="AA162" s="220"/>
      <c r="AB162" s="241"/>
      <c r="AC162" s="241"/>
      <c r="AD162" s="241"/>
      <c r="AE162" s="82"/>
      <c r="AF162" s="82"/>
      <c r="AG162" s="90"/>
      <c r="AH162" s="90"/>
      <c r="AI162" s="90"/>
      <c r="AJ162" s="90"/>
      <c r="AK162" s="82"/>
      <c r="AL162" s="82" t="str" cm="1">
        <f t="array" aca="1" ref="AL162" ca="1">_xlfn.IFS(
 AND($AK162&lt;&gt;"", M162&lt;&gt;0, M162&lt;=EDATE(TODAY(),2)),"도래",
 AND($AK162&lt;&gt;"", M162&lt;&gt;0, M162&lt;=EDATE(TODAY(),3)),"예정",
 AND($AK162&lt;&gt;"", M162&lt;&gt;0, M162&lt;=EDATE(TODAY(),6)),"관심",
 TRUE,""
)</f>
        <v/>
      </c>
      <c r="AM162" s="198">
        <f t="shared" si="6"/>
        <v>0</v>
      </c>
    </row>
    <row r="163" spans="1:39" ht="18" customHeight="1">
      <c r="A163" s="81"/>
      <c r="B163" s="205" t="str">
        <f>_xlfn.LET(_xlpm.var,◆관리정보!B163,IF(_xlpm.var&lt;&gt;0,_xlpm.var,""))</f>
        <v>와이원빈티지</v>
      </c>
      <c r="C163" s="82">
        <f>_xlfn.LET(_xlpm.var,◆관리정보!C163,IF(_xlpm.var&lt;&gt;0,_xlpm.var,""))</f>
        <v>304</v>
      </c>
      <c r="D163" s="83" t="s">
        <v>714</v>
      </c>
      <c r="E163" s="84" t="str">
        <f t="shared" si="5"/>
        <v>와이원빈티지304</v>
      </c>
      <c r="F163" s="85">
        <v>46093</v>
      </c>
      <c r="G163" s="229"/>
      <c r="H163" s="229"/>
      <c r="I163" s="229">
        <v>900000</v>
      </c>
      <c r="J163" s="229">
        <v>295660</v>
      </c>
      <c r="K163" s="318"/>
      <c r="L163" s="87">
        <v>45669</v>
      </c>
      <c r="M163" s="87">
        <v>45758</v>
      </c>
      <c r="N163" s="379" t="s">
        <v>715</v>
      </c>
      <c r="O163" s="82" t="s">
        <v>716</v>
      </c>
      <c r="P163" s="241">
        <v>1700000</v>
      </c>
      <c r="Q163" s="241">
        <v>900000</v>
      </c>
      <c r="R163" s="82"/>
      <c r="S163" s="241">
        <v>80000</v>
      </c>
      <c r="T163" s="82" t="s">
        <v>40</v>
      </c>
      <c r="U163" s="241">
        <v>20000</v>
      </c>
      <c r="V163" s="82" t="s">
        <v>40</v>
      </c>
      <c r="W163" s="88">
        <v>25000</v>
      </c>
      <c r="X163" s="82" t="s">
        <v>40</v>
      </c>
      <c r="Y163" s="89"/>
      <c r="Z163" s="82"/>
      <c r="AA163" s="220"/>
      <c r="AB163" s="241">
        <v>100000</v>
      </c>
      <c r="AC163" s="241">
        <v>150000</v>
      </c>
      <c r="AD163" s="241"/>
      <c r="AE163" s="82" t="s">
        <v>63</v>
      </c>
      <c r="AF163" s="82" t="s">
        <v>64</v>
      </c>
      <c r="AG163" s="90"/>
      <c r="AH163" s="90"/>
      <c r="AI163" s="90" t="s">
        <v>717</v>
      </c>
      <c r="AJ163" s="90"/>
      <c r="AK163" s="82"/>
      <c r="AL163" s="82" t="str" cm="1">
        <f t="array" aca="1" ref="AL163" ca="1">_xlfn.IFS(
 AND($AK163&lt;&gt;"", M163&lt;&gt;0, M163&lt;=EDATE(TODAY(),2)),"도래",
 AND($AK163&lt;&gt;"", M163&lt;&gt;0, M163&lt;=EDATE(TODAY(),3)),"예정",
 AND($AK163&lt;&gt;"", M163&lt;&gt;0, M163&lt;=EDATE(TODAY(),6)),"관심",
 TRUE,""
)</f>
        <v/>
      </c>
      <c r="AM163" s="198">
        <f t="shared" si="6"/>
        <v>12</v>
      </c>
    </row>
    <row r="164" spans="1:39" ht="18" customHeight="1">
      <c r="A164" s="81"/>
      <c r="B164" s="205" t="str">
        <f>_xlfn.LET(_xlpm.var,◆관리정보!B164,IF(_xlpm.var&lt;&gt;0,_xlpm.var,""))</f>
        <v>와이원빈티지</v>
      </c>
      <c r="C164" s="82">
        <f>_xlfn.LET(_xlpm.var,◆관리정보!C164,IF(_xlpm.var&lt;&gt;0,_xlpm.var,""))</f>
        <v>401</v>
      </c>
      <c r="D164" s="83" t="s">
        <v>718</v>
      </c>
      <c r="E164" s="84" t="str">
        <f t="shared" si="5"/>
        <v>와이원빈티지401</v>
      </c>
      <c r="F164" s="85">
        <v>46094</v>
      </c>
      <c r="G164" s="229"/>
      <c r="H164" s="229"/>
      <c r="I164" s="229"/>
      <c r="J164" s="229">
        <f>174800-174500</f>
        <v>300</v>
      </c>
      <c r="K164" s="218"/>
      <c r="L164" s="87">
        <v>46066</v>
      </c>
      <c r="M164" s="87">
        <v>46154</v>
      </c>
      <c r="N164" s="82" t="s">
        <v>719</v>
      </c>
      <c r="O164" s="82" t="s">
        <v>720</v>
      </c>
      <c r="P164" s="241">
        <v>1000000</v>
      </c>
      <c r="Q164" s="241">
        <v>1000000</v>
      </c>
      <c r="R164" s="82"/>
      <c r="S164" s="241">
        <v>80000</v>
      </c>
      <c r="T164" s="82" t="s">
        <v>40</v>
      </c>
      <c r="U164" s="261">
        <v>25000</v>
      </c>
      <c r="V164" s="82" t="s">
        <v>40</v>
      </c>
      <c r="W164" s="88">
        <v>25000</v>
      </c>
      <c r="X164" s="82" t="s">
        <v>40</v>
      </c>
      <c r="Y164" s="89"/>
      <c r="Z164" s="82"/>
      <c r="AA164" s="220"/>
      <c r="AB164" s="241">
        <v>180000</v>
      </c>
      <c r="AC164" s="241">
        <v>150000</v>
      </c>
      <c r="AD164" s="241"/>
      <c r="AE164" s="82" t="s">
        <v>353</v>
      </c>
      <c r="AF164" s="82" t="s">
        <v>559</v>
      </c>
      <c r="AG164" s="90"/>
      <c r="AH164" s="90"/>
      <c r="AI164" s="90"/>
      <c r="AJ164" s="90"/>
      <c r="AK164" s="82"/>
      <c r="AL164" s="82" t="str" cm="1">
        <f t="array" aca="1" ref="AL164" ca="1">_xlfn.IFS(
 AND($AK164&lt;&gt;"", M164&lt;&gt;0, M164&lt;=EDATE(TODAY(),2)),"도래",
 AND($AK164&lt;&gt;"", M164&lt;&gt;0, M164&lt;=EDATE(TODAY(),3)),"예정",
 AND($AK164&lt;&gt;"", M164&lt;&gt;0, M164&lt;=EDATE(TODAY(),6)),"관심",
 TRUE,""
)</f>
        <v/>
      </c>
      <c r="AM164" s="198">
        <f t="shared" si="6"/>
        <v>13</v>
      </c>
    </row>
    <row r="165" spans="1:39" ht="18" customHeight="1">
      <c r="A165" s="81"/>
      <c r="B165" s="205" t="str">
        <f>_xlfn.LET(_xlpm.var,◆관리정보!B165,IF(_xlpm.var&lt;&gt;0,_xlpm.var,""))</f>
        <v>와이원빈티지</v>
      </c>
      <c r="C165" s="82">
        <f>_xlfn.LET(_xlpm.var,◆관리정보!C165,IF(_xlpm.var&lt;&gt;0,_xlpm.var,""))</f>
        <v>402</v>
      </c>
      <c r="D165" s="83" t="s">
        <v>721</v>
      </c>
      <c r="E165" s="84" t="str">
        <f t="shared" si="5"/>
        <v>와이원빈티지402</v>
      </c>
      <c r="F165" s="85">
        <v>46102</v>
      </c>
      <c r="G165" s="229"/>
      <c r="H165" s="229"/>
      <c r="I165" s="229">
        <v>1300000</v>
      </c>
      <c r="J165" s="229">
        <v>243030</v>
      </c>
      <c r="K165" s="218"/>
      <c r="L165" s="87">
        <v>45951</v>
      </c>
      <c r="M165" s="87">
        <v>46042</v>
      </c>
      <c r="N165" s="82" t="s">
        <v>722</v>
      </c>
      <c r="O165" s="82" t="s">
        <v>723</v>
      </c>
      <c r="P165" s="241">
        <v>1300000</v>
      </c>
      <c r="Q165" s="241">
        <v>1300000</v>
      </c>
      <c r="R165" s="82"/>
      <c r="S165" s="241">
        <v>80000</v>
      </c>
      <c r="T165" s="82" t="s">
        <v>40</v>
      </c>
      <c r="U165" s="241">
        <v>25000</v>
      </c>
      <c r="V165" s="82" t="s">
        <v>40</v>
      </c>
      <c r="W165" s="88">
        <v>25000</v>
      </c>
      <c r="X165" s="82" t="s">
        <v>40</v>
      </c>
      <c r="Y165" s="89">
        <v>100000</v>
      </c>
      <c r="Z165" s="82"/>
      <c r="AA165" s="220" t="s">
        <v>724</v>
      </c>
      <c r="AB165" s="241">
        <v>200000</v>
      </c>
      <c r="AC165" s="241">
        <v>200000</v>
      </c>
      <c r="AD165" s="241"/>
      <c r="AE165" s="82" t="s">
        <v>108</v>
      </c>
      <c r="AF165" s="82" t="s">
        <v>80</v>
      </c>
      <c r="AG165" s="90"/>
      <c r="AH165" s="90"/>
      <c r="AI165" s="90" t="s">
        <v>725</v>
      </c>
      <c r="AJ165" s="90"/>
      <c r="AK165" s="82"/>
      <c r="AL165" s="82" t="str" cm="1">
        <f t="array" aca="1" ref="AL165" ca="1">_xlfn.IFS(
 AND($AK165&lt;&gt;"", M165&lt;&gt;0, M165&lt;=EDATE(TODAY(),2)),"도래",
 AND($AK165&lt;&gt;"", M165&lt;&gt;0, M165&lt;=EDATE(TODAY(),3)),"예정",
 AND($AK165&lt;&gt;"", M165&lt;&gt;0, M165&lt;=EDATE(TODAY(),6)),"관심",
 TRUE,""
)</f>
        <v/>
      </c>
      <c r="AM165" s="198">
        <f t="shared" si="6"/>
        <v>21</v>
      </c>
    </row>
    <row r="166" spans="1:39" ht="18" customHeight="1">
      <c r="A166" s="81"/>
      <c r="B166" s="205" t="str">
        <f>_xlfn.LET(_xlpm.var,◆관리정보!B166,IF(_xlpm.var&lt;&gt;0,_xlpm.var,""))</f>
        <v>와이원빈티지</v>
      </c>
      <c r="C166" s="82">
        <f>_xlfn.LET(_xlpm.var,◆관리정보!C166,IF(_xlpm.var&lt;&gt;0,_xlpm.var,""))</f>
        <v>403</v>
      </c>
      <c r="D166" s="83" t="s">
        <v>726</v>
      </c>
      <c r="E166" s="84" t="str">
        <f t="shared" si="5"/>
        <v>와이원빈티지403</v>
      </c>
      <c r="F166" s="85">
        <v>46112</v>
      </c>
      <c r="G166" s="229"/>
      <c r="H166" s="229"/>
      <c r="I166" s="229"/>
      <c r="J166" s="229"/>
      <c r="K166" s="218"/>
      <c r="L166" s="87">
        <v>45443</v>
      </c>
      <c r="M166" s="87">
        <v>45534</v>
      </c>
      <c r="N166" s="82" t="s">
        <v>727</v>
      </c>
      <c r="O166" s="82" t="s">
        <v>728</v>
      </c>
      <c r="P166" s="241">
        <v>1300000</v>
      </c>
      <c r="Q166" s="241">
        <v>1300000</v>
      </c>
      <c r="R166" s="82"/>
      <c r="S166" s="241">
        <v>80000</v>
      </c>
      <c r="T166" s="82" t="s">
        <v>40</v>
      </c>
      <c r="U166" s="241">
        <v>25000</v>
      </c>
      <c r="V166" s="82" t="s">
        <v>40</v>
      </c>
      <c r="W166" s="88">
        <v>25000</v>
      </c>
      <c r="X166" s="82" t="s">
        <v>40</v>
      </c>
      <c r="Y166" s="89">
        <v>100000</v>
      </c>
      <c r="Z166" s="82"/>
      <c r="AA166" s="220">
        <v>4584</v>
      </c>
      <c r="AB166" s="241">
        <v>180000</v>
      </c>
      <c r="AC166" s="241">
        <v>150000</v>
      </c>
      <c r="AD166" s="241"/>
      <c r="AE166" s="82" t="s">
        <v>176</v>
      </c>
      <c r="AF166" s="82" t="s">
        <v>729</v>
      </c>
      <c r="AG166" s="90"/>
      <c r="AH166" s="90"/>
      <c r="AI166" s="90" t="s">
        <v>730</v>
      </c>
      <c r="AJ166" s="90"/>
      <c r="AK166" s="82"/>
      <c r="AL166" s="82" t="str" cm="1">
        <f t="array" aca="1" ref="AL166" ca="1">_xlfn.IFS(
 AND($AK166&lt;&gt;"", M166&lt;&gt;0, M166&lt;=EDATE(TODAY(),2)),"도래",
 AND($AK166&lt;&gt;"", M166&lt;&gt;0, M166&lt;=EDATE(TODAY(),3)),"예정",
 AND($AK166&lt;&gt;"", M166&lt;&gt;0, M166&lt;=EDATE(TODAY(),6)),"관심",
 TRUE,""
)</f>
        <v/>
      </c>
      <c r="AM166" s="198">
        <f t="shared" si="6"/>
        <v>31</v>
      </c>
    </row>
    <row r="167" spans="1:39" ht="18" customHeight="1">
      <c r="A167" s="81"/>
      <c r="B167" s="205" t="str">
        <f>_xlfn.LET(_xlpm.var,◆관리정보!B167,IF(_xlpm.var&lt;&gt;0,_xlpm.var,""))</f>
        <v>와이원빈티지</v>
      </c>
      <c r="C167" s="82">
        <f>_xlfn.LET(_xlpm.var,◆관리정보!C167,IF(_xlpm.var&lt;&gt;0,_xlpm.var,""))</f>
        <v>404</v>
      </c>
      <c r="D167" s="83" t="s">
        <v>731</v>
      </c>
      <c r="E167" s="84" t="str">
        <f t="shared" si="5"/>
        <v>와이원빈티지404</v>
      </c>
      <c r="F167" s="85">
        <v>46108</v>
      </c>
      <c r="G167" s="229"/>
      <c r="H167" s="229"/>
      <c r="I167" s="229"/>
      <c r="J167" s="229"/>
      <c r="K167" s="218"/>
      <c r="L167" s="87">
        <v>45896</v>
      </c>
      <c r="M167" s="87">
        <v>45987</v>
      </c>
      <c r="N167" s="82" t="s">
        <v>732</v>
      </c>
      <c r="O167" s="82" t="s">
        <v>733</v>
      </c>
      <c r="P167" s="241">
        <v>1300000</v>
      </c>
      <c r="Q167" s="241">
        <v>1300000</v>
      </c>
      <c r="R167" s="82"/>
      <c r="S167" s="241">
        <v>80000</v>
      </c>
      <c r="T167" s="82" t="s">
        <v>40</v>
      </c>
      <c r="U167" s="241">
        <v>25000</v>
      </c>
      <c r="V167" s="82" t="s">
        <v>40</v>
      </c>
      <c r="W167" s="88">
        <v>25000</v>
      </c>
      <c r="X167" s="82" t="s">
        <v>40</v>
      </c>
      <c r="Y167" s="89"/>
      <c r="Z167" s="82"/>
      <c r="AA167" s="220"/>
      <c r="AB167" s="241">
        <v>200000</v>
      </c>
      <c r="AC167" s="241">
        <v>150000</v>
      </c>
      <c r="AD167" s="241"/>
      <c r="AE167" s="82" t="s">
        <v>353</v>
      </c>
      <c r="AF167" s="82" t="s">
        <v>559</v>
      </c>
      <c r="AG167" s="90"/>
      <c r="AH167" s="90"/>
      <c r="AI167" s="90" t="s">
        <v>734</v>
      </c>
      <c r="AJ167" s="90"/>
      <c r="AK167" s="82"/>
      <c r="AL167" s="82" t="str" cm="1">
        <f t="array" aca="1" ref="AL167" ca="1">_xlfn.IFS(
 AND($AK167&lt;&gt;"", M167&lt;&gt;0, M167&lt;=EDATE(TODAY(),2)),"도래",
 AND($AK167&lt;&gt;"", M167&lt;&gt;0, M167&lt;=EDATE(TODAY(),3)),"예정",
 AND($AK167&lt;&gt;"", M167&lt;&gt;0, M167&lt;=EDATE(TODAY(),6)),"관심",
 TRUE,""
)</f>
        <v/>
      </c>
      <c r="AM167" s="198">
        <f t="shared" si="6"/>
        <v>27</v>
      </c>
    </row>
    <row r="168" spans="1:39" ht="18" customHeight="1">
      <c r="A168" s="81"/>
      <c r="B168" s="205" t="str">
        <f>_xlfn.LET(_xlpm.var,◆관리정보!B168,IF(_xlpm.var&lt;&gt;0,_xlpm.var,""))</f>
        <v>와이원빈티지</v>
      </c>
      <c r="C168" s="82">
        <f>_xlfn.LET(_xlpm.var,◆관리정보!C168,IF(_xlpm.var&lt;&gt;0,_xlpm.var,""))</f>
        <v>501</v>
      </c>
      <c r="D168" s="83" t="s">
        <v>735</v>
      </c>
      <c r="E168" s="84" t="str">
        <f t="shared" si="5"/>
        <v>와이원빈티지501</v>
      </c>
      <c r="F168" s="85">
        <v>46111</v>
      </c>
      <c r="G168" s="229"/>
      <c r="H168" s="229"/>
      <c r="I168" s="229"/>
      <c r="J168" s="229"/>
      <c r="K168" s="218"/>
      <c r="L168" s="87">
        <v>45168</v>
      </c>
      <c r="M168" s="87">
        <v>45259</v>
      </c>
      <c r="N168" s="82" t="s">
        <v>736</v>
      </c>
      <c r="O168" s="82" t="s">
        <v>737</v>
      </c>
      <c r="P168" s="241">
        <v>1050000</v>
      </c>
      <c r="Q168" s="241">
        <v>1050000</v>
      </c>
      <c r="R168" s="82"/>
      <c r="S168" s="241">
        <v>80000</v>
      </c>
      <c r="T168" s="82" t="s">
        <v>40</v>
      </c>
      <c r="U168" s="241">
        <v>25000</v>
      </c>
      <c r="V168" s="82" t="s">
        <v>40</v>
      </c>
      <c r="W168" s="88">
        <v>25000</v>
      </c>
      <c r="X168" s="82" t="s">
        <v>40</v>
      </c>
      <c r="Y168" s="89">
        <v>100000</v>
      </c>
      <c r="Z168" s="82"/>
      <c r="AA168" s="220">
        <v>1</v>
      </c>
      <c r="AB168" s="241">
        <v>150000</v>
      </c>
      <c r="AC168" s="241">
        <v>150000</v>
      </c>
      <c r="AD168" s="241"/>
      <c r="AE168" s="82" t="s">
        <v>738</v>
      </c>
      <c r="AF168" s="82" t="s">
        <v>739</v>
      </c>
      <c r="AG168" s="90"/>
      <c r="AH168" s="90"/>
      <c r="AI168" s="90" t="s">
        <v>740</v>
      </c>
      <c r="AJ168" s="90"/>
      <c r="AK168" s="82"/>
      <c r="AL168" s="82" t="str" cm="1">
        <f t="array" aca="1" ref="AL168" ca="1">_xlfn.IFS(
 AND($AK168&lt;&gt;"", M168&lt;&gt;0, M168&lt;=EDATE(TODAY(),2)),"도래",
 AND($AK168&lt;&gt;"", M168&lt;&gt;0, M168&lt;=EDATE(TODAY(),3)),"예정",
 AND($AK168&lt;&gt;"", M168&lt;&gt;0, M168&lt;=EDATE(TODAY(),6)),"관심",
 TRUE,""
)</f>
        <v/>
      </c>
      <c r="AM168" s="198">
        <f t="shared" si="6"/>
        <v>30</v>
      </c>
    </row>
    <row r="169" spans="1:39" ht="18" customHeight="1">
      <c r="A169" s="81"/>
      <c r="B169" s="205" t="str">
        <f>_xlfn.LET(_xlpm.var,◆관리정보!B169,IF(_xlpm.var&lt;&gt;0,_xlpm.var,""))</f>
        <v>와이원빈티지</v>
      </c>
      <c r="C169" s="82">
        <f>_xlfn.LET(_xlpm.var,◆관리정보!C169,IF(_xlpm.var&lt;&gt;0,_xlpm.var,""))</f>
        <v>502</v>
      </c>
      <c r="D169" s="83" t="s">
        <v>741</v>
      </c>
      <c r="E169" s="84" t="str">
        <f t="shared" si="5"/>
        <v>와이원빈티지502</v>
      </c>
      <c r="F169" s="85">
        <v>46124</v>
      </c>
      <c r="G169" s="229"/>
      <c r="H169" s="229"/>
      <c r="I169" s="229"/>
      <c r="J169" s="229"/>
      <c r="K169" s="318"/>
      <c r="L169" s="87">
        <v>45820</v>
      </c>
      <c r="M169" s="87">
        <v>45911</v>
      </c>
      <c r="N169" s="82" t="s">
        <v>742</v>
      </c>
      <c r="O169" s="82" t="s">
        <v>743</v>
      </c>
      <c r="P169" s="241">
        <v>1000000</v>
      </c>
      <c r="Q169" s="241">
        <v>1000000</v>
      </c>
      <c r="R169" s="82"/>
      <c r="S169" s="241">
        <v>80000</v>
      </c>
      <c r="T169" s="82" t="s">
        <v>40</v>
      </c>
      <c r="U169" s="241">
        <v>25000</v>
      </c>
      <c r="V169" s="82" t="s">
        <v>40</v>
      </c>
      <c r="W169" s="88">
        <v>25000</v>
      </c>
      <c r="X169" s="82" t="s">
        <v>40</v>
      </c>
      <c r="Y169" s="89">
        <v>100000</v>
      </c>
      <c r="Z169" s="82"/>
      <c r="AA169" s="220">
        <v>1</v>
      </c>
      <c r="AB169" s="241">
        <v>180000</v>
      </c>
      <c r="AC169" s="241">
        <v>150000</v>
      </c>
      <c r="AD169" s="241"/>
      <c r="AE169" s="82" t="s">
        <v>620</v>
      </c>
      <c r="AF169" s="82" t="s">
        <v>744</v>
      </c>
      <c r="AG169" s="90"/>
      <c r="AH169" s="90"/>
      <c r="AI169" s="90" t="s">
        <v>745</v>
      </c>
      <c r="AJ169" s="90"/>
      <c r="AK169" s="82"/>
      <c r="AL169" s="82" t="str" cm="1">
        <f t="array" aca="1" ref="AL169" ca="1">_xlfn.IFS(
 AND($AK169&lt;&gt;"", M169&lt;&gt;0, M169&lt;=EDATE(TODAY(),2)),"도래",
 AND($AK169&lt;&gt;"", M169&lt;&gt;0, M169&lt;=EDATE(TODAY(),3)),"예정",
 AND($AK169&lt;&gt;"", M169&lt;&gt;0, M169&lt;=EDATE(TODAY(),6)),"관심",
 TRUE,""
)</f>
        <v/>
      </c>
      <c r="AM169" s="198">
        <f t="shared" si="6"/>
        <v>12</v>
      </c>
    </row>
    <row r="170" spans="1:39" ht="18" customHeight="1">
      <c r="A170" s="81"/>
      <c r="B170" s="205" t="str">
        <f>_xlfn.LET(_xlpm.var,◆관리정보!B170,IF(_xlpm.var&lt;&gt;0,_xlpm.var,""))</f>
        <v>한스텔</v>
      </c>
      <c r="C170" s="82" t="str">
        <f>_xlfn.LET(_xlpm.var,◆관리정보!C170,IF(_xlpm.var&lt;&gt;0,_xlpm.var,""))</f>
        <v>B01</v>
      </c>
      <c r="D170" s="83" t="s">
        <v>746</v>
      </c>
      <c r="E170" s="84" t="str">
        <f t="shared" si="5"/>
        <v>한스텔B01</v>
      </c>
      <c r="F170" s="85">
        <v>46128</v>
      </c>
      <c r="G170" s="229"/>
      <c r="H170" s="229"/>
      <c r="I170" s="229"/>
      <c r="J170" s="229"/>
      <c r="K170" s="218"/>
      <c r="L170" s="87">
        <v>46038</v>
      </c>
      <c r="M170" s="87">
        <v>46127</v>
      </c>
      <c r="N170" s="82" t="s">
        <v>747</v>
      </c>
      <c r="O170" s="82" t="s">
        <v>748</v>
      </c>
      <c r="P170" s="241">
        <v>700000</v>
      </c>
      <c r="Q170" s="241">
        <v>700000</v>
      </c>
      <c r="R170" s="82"/>
      <c r="S170" s="241">
        <v>80000</v>
      </c>
      <c r="T170" s="82" t="s">
        <v>40</v>
      </c>
      <c r="U170" s="241">
        <v>25000</v>
      </c>
      <c r="V170" s="82" t="s">
        <v>40</v>
      </c>
      <c r="W170" s="88">
        <v>25000</v>
      </c>
      <c r="X170" s="82" t="s">
        <v>40</v>
      </c>
      <c r="Y170" s="89"/>
      <c r="Z170" s="82"/>
      <c r="AA170" s="220"/>
      <c r="AB170" s="241">
        <v>150000</v>
      </c>
      <c r="AC170" s="241">
        <v>100000</v>
      </c>
      <c r="AD170" s="241"/>
      <c r="AE170" s="82" t="s">
        <v>74</v>
      </c>
      <c r="AF170" s="82" t="s">
        <v>749</v>
      </c>
      <c r="AG170" s="90"/>
      <c r="AH170" s="90"/>
      <c r="AI170" s="90"/>
      <c r="AJ170" s="90"/>
      <c r="AK170" s="82"/>
      <c r="AL170" s="82" t="str" cm="1">
        <f t="array" aca="1" ref="AL170" ca="1">_xlfn.IFS(
 AND($AK170&lt;&gt;"", M170&lt;&gt;0, M170&lt;=EDATE(TODAY(),2)),"도래",
 AND($AK170&lt;&gt;"", M170&lt;&gt;0, M170&lt;=EDATE(TODAY(),3)),"예정",
 AND($AK170&lt;&gt;"", M170&lt;&gt;0, M170&lt;=EDATE(TODAY(),6)),"관심",
 TRUE,""
)</f>
        <v/>
      </c>
      <c r="AM170" s="198">
        <f t="shared" si="6"/>
        <v>16</v>
      </c>
    </row>
    <row r="171" spans="1:39" ht="18" customHeight="1">
      <c r="A171" s="81"/>
      <c r="B171" s="384" t="str">
        <f>_xlfn.LET(_xlpm.var,◆관리정보!B171,IF(_xlpm.var&lt;&gt;0,_xlpm.var,""))</f>
        <v>한스텔</v>
      </c>
      <c r="C171" s="380" t="str">
        <f>_xlfn.LET(_xlpm.var,◆관리정보!C171,IF(_xlpm.var&lt;&gt;0,_xlpm.var,""))</f>
        <v>B02</v>
      </c>
      <c r="D171" s="385" t="s">
        <v>750</v>
      </c>
      <c r="E171" s="84" t="str">
        <f t="shared" si="5"/>
        <v>한스텔B02</v>
      </c>
      <c r="F171" s="85">
        <v>46129</v>
      </c>
      <c r="G171" s="229"/>
      <c r="H171" s="229"/>
      <c r="I171" s="229"/>
      <c r="J171" s="229"/>
      <c r="K171" s="218"/>
      <c r="L171" s="316">
        <v>46070</v>
      </c>
      <c r="M171" s="316">
        <v>46158</v>
      </c>
      <c r="N171" s="82" t="s">
        <v>751</v>
      </c>
      <c r="O171" s="82" t="s">
        <v>752</v>
      </c>
      <c r="P171" s="241">
        <v>700000</v>
      </c>
      <c r="Q171" s="241">
        <v>700000</v>
      </c>
      <c r="R171" s="82"/>
      <c r="S171" s="241">
        <v>80000</v>
      </c>
      <c r="T171" s="82" t="s">
        <v>40</v>
      </c>
      <c r="U171" s="241">
        <v>25000</v>
      </c>
      <c r="V171" s="82" t="s">
        <v>40</v>
      </c>
      <c r="W171" s="88">
        <v>25000</v>
      </c>
      <c r="X171" s="82" t="s">
        <v>40</v>
      </c>
      <c r="Y171" s="89"/>
      <c r="Z171" s="82"/>
      <c r="AA171" s="220"/>
      <c r="AB171" s="241">
        <v>180000</v>
      </c>
      <c r="AC171" s="241">
        <v>100000</v>
      </c>
      <c r="AD171" s="241"/>
      <c r="AE171" s="82" t="s">
        <v>74</v>
      </c>
      <c r="AF171" s="82" t="s">
        <v>753</v>
      </c>
      <c r="AG171" s="90"/>
      <c r="AH171" s="90"/>
      <c r="AI171" s="90" t="s">
        <v>754</v>
      </c>
      <c r="AJ171" s="90"/>
      <c r="AK171" s="82"/>
      <c r="AL171" s="82" t="str" cm="1">
        <f t="array" aca="1" ref="AL171" ca="1">_xlfn.IFS(
 AND($AK171&lt;&gt;"", M171&lt;&gt;0, M171&lt;=EDATE(TODAY(),2)),"도래",
 AND($AK171&lt;&gt;"", M171&lt;&gt;0, M171&lt;=EDATE(TODAY(),3)),"예정",
 AND($AK171&lt;&gt;"", M171&lt;&gt;0, M171&lt;=EDATE(TODAY(),6)),"관심",
 TRUE,""
)</f>
        <v/>
      </c>
      <c r="AM171" s="198">
        <f t="shared" si="6"/>
        <v>17</v>
      </c>
    </row>
    <row r="172" spans="1:39" ht="18" customHeight="1">
      <c r="A172" s="81"/>
      <c r="B172" s="205" t="str">
        <f>_xlfn.LET(_xlpm.var,◆관리정보!B172,IF(_xlpm.var&lt;&gt;0,_xlpm.var,""))</f>
        <v>한스텔</v>
      </c>
      <c r="C172" s="82" t="str">
        <f>_xlfn.LET(_xlpm.var,◆관리정보!C172,IF(_xlpm.var&lt;&gt;0,_xlpm.var,""))</f>
        <v>B03</v>
      </c>
      <c r="D172" s="323" t="s">
        <v>755</v>
      </c>
      <c r="E172" s="84" t="str">
        <f t="shared" si="5"/>
        <v>한스텔B03</v>
      </c>
      <c r="F172" s="85">
        <v>46121</v>
      </c>
      <c r="G172" s="229"/>
      <c r="H172" s="229"/>
      <c r="I172" s="229"/>
      <c r="J172" s="229"/>
      <c r="K172" s="318"/>
      <c r="L172" s="87">
        <v>44721</v>
      </c>
      <c r="M172" s="87">
        <v>44812</v>
      </c>
      <c r="N172" s="82" t="s">
        <v>756</v>
      </c>
      <c r="O172" s="82" t="s">
        <v>757</v>
      </c>
      <c r="P172" s="241">
        <v>650000</v>
      </c>
      <c r="Q172" s="241">
        <v>650000</v>
      </c>
      <c r="R172" s="82"/>
      <c r="S172" s="241">
        <v>70000</v>
      </c>
      <c r="T172" s="82" t="s">
        <v>40</v>
      </c>
      <c r="U172" s="241">
        <v>15000</v>
      </c>
      <c r="V172" s="82" t="s">
        <v>40</v>
      </c>
      <c r="W172" s="88">
        <v>25000</v>
      </c>
      <c r="X172" s="82" t="s">
        <v>40</v>
      </c>
      <c r="Y172" s="89"/>
      <c r="Z172" s="82"/>
      <c r="AA172" s="220"/>
      <c r="AB172" s="241">
        <v>100000</v>
      </c>
      <c r="AC172" s="241">
        <v>100000</v>
      </c>
      <c r="AD172" s="241"/>
      <c r="AE172" s="82" t="s">
        <v>63</v>
      </c>
      <c r="AF172" s="82" t="s">
        <v>758</v>
      </c>
      <c r="AG172" s="90"/>
      <c r="AH172" s="90"/>
      <c r="AI172" s="90" t="s">
        <v>759</v>
      </c>
      <c r="AJ172" s="90"/>
      <c r="AK172" s="82"/>
      <c r="AL172" s="82" t="str" cm="1">
        <f t="array" aca="1" ref="AL172" ca="1">_xlfn.IFS(
 AND($AK172&lt;&gt;"", M172&lt;&gt;0, M172&lt;=EDATE(TODAY(),2)),"도래",
 AND($AK172&lt;&gt;"", M172&lt;&gt;0, M172&lt;=EDATE(TODAY(),3)),"예정",
 AND($AK172&lt;&gt;"", M172&lt;&gt;0, M172&lt;=EDATE(TODAY(),6)),"관심",
 TRUE,""
)</f>
        <v/>
      </c>
      <c r="AM172" s="198">
        <f t="shared" si="6"/>
        <v>9</v>
      </c>
    </row>
    <row r="173" spans="1:39" ht="18" customHeight="1">
      <c r="A173" s="81"/>
      <c r="B173" s="205" t="str">
        <f>_xlfn.LET(_xlpm.var,◆관리정보!B173,IF(_xlpm.var&lt;&gt;0,_xlpm.var,""))</f>
        <v>한스텔</v>
      </c>
      <c r="C173" s="82" t="str">
        <f>_xlfn.LET(_xlpm.var,◆관리정보!C173,IF(_xlpm.var&lt;&gt;0,_xlpm.var,""))</f>
        <v>B04</v>
      </c>
      <c r="D173" s="324" t="s">
        <v>760</v>
      </c>
      <c r="E173" s="84" t="str">
        <f t="shared" si="5"/>
        <v>한스텔B04</v>
      </c>
      <c r="F173" s="85">
        <v>46107</v>
      </c>
      <c r="G173" s="229"/>
      <c r="H173" s="229"/>
      <c r="I173" s="229"/>
      <c r="J173" s="308"/>
      <c r="K173" s="218"/>
      <c r="L173" s="87">
        <v>45622</v>
      </c>
      <c r="M173" s="87">
        <v>45713</v>
      </c>
      <c r="N173" s="82" t="s">
        <v>761</v>
      </c>
      <c r="O173" s="82" t="s">
        <v>762</v>
      </c>
      <c r="P173" s="241">
        <v>700000</v>
      </c>
      <c r="Q173" s="241">
        <v>700000</v>
      </c>
      <c r="R173" s="82"/>
      <c r="S173" s="241">
        <v>80000</v>
      </c>
      <c r="T173" s="82" t="s">
        <v>40</v>
      </c>
      <c r="U173" s="241">
        <v>25000</v>
      </c>
      <c r="V173" s="82" t="s">
        <v>40</v>
      </c>
      <c r="W173" s="88">
        <v>25000</v>
      </c>
      <c r="X173" s="82" t="s">
        <v>40</v>
      </c>
      <c r="Y173" s="89"/>
      <c r="Z173" s="82"/>
      <c r="AA173" s="220"/>
      <c r="AB173" s="241">
        <v>150000</v>
      </c>
      <c r="AC173" s="241">
        <v>100000</v>
      </c>
      <c r="AD173" s="241"/>
      <c r="AE173" s="82" t="s">
        <v>79</v>
      </c>
      <c r="AF173" s="82" t="s">
        <v>763</v>
      </c>
      <c r="AG173" s="90"/>
      <c r="AH173" s="90"/>
      <c r="AI173" s="90" t="s">
        <v>764</v>
      </c>
      <c r="AJ173" s="90"/>
      <c r="AK173" s="82"/>
      <c r="AL173" s="82" t="str" cm="1">
        <f t="array" aca="1" ref="AL173" ca="1">_xlfn.IFS(
 AND($AK173&lt;&gt;"", M173&lt;&gt;0, M173&lt;=EDATE(TODAY(),2)),"도래",
 AND($AK173&lt;&gt;"", M173&lt;&gt;0, M173&lt;=EDATE(TODAY(),3)),"예정",
 AND($AK173&lt;&gt;"", M173&lt;&gt;0, M173&lt;=EDATE(TODAY(),6)),"관심",
 TRUE,""
)</f>
        <v/>
      </c>
      <c r="AM173" s="198">
        <f t="shared" si="6"/>
        <v>26</v>
      </c>
    </row>
    <row r="174" spans="1:39" ht="18" customHeight="1">
      <c r="A174" s="81"/>
      <c r="B174" s="205" t="str">
        <f>_xlfn.LET(_xlpm.var,◆관리정보!B174,IF(_xlpm.var&lt;&gt;0,_xlpm.var,""))</f>
        <v>한스텔</v>
      </c>
      <c r="C174" s="82">
        <f>_xlfn.LET(_xlpm.var,◆관리정보!C174,IF(_xlpm.var&lt;&gt;0,_xlpm.var,""))</f>
        <v>101</v>
      </c>
      <c r="D174" s="83" t="s">
        <v>765</v>
      </c>
      <c r="E174" s="84" t="str">
        <f t="shared" si="5"/>
        <v>한스텔101</v>
      </c>
      <c r="F174" s="85">
        <v>46109</v>
      </c>
      <c r="G174" s="229"/>
      <c r="H174" s="229"/>
      <c r="I174" s="229"/>
      <c r="J174" s="229"/>
      <c r="K174" s="218"/>
      <c r="L174" s="87">
        <v>45989</v>
      </c>
      <c r="M174" s="87">
        <v>46080</v>
      </c>
      <c r="N174" s="82" t="s">
        <v>766</v>
      </c>
      <c r="O174" s="82" t="s">
        <v>767</v>
      </c>
      <c r="P174" s="241">
        <v>1050000</v>
      </c>
      <c r="Q174" s="241">
        <v>1050000</v>
      </c>
      <c r="R174" s="82"/>
      <c r="S174" s="241">
        <v>80000</v>
      </c>
      <c r="T174" s="82" t="s">
        <v>40</v>
      </c>
      <c r="U174" s="241">
        <v>25000</v>
      </c>
      <c r="V174" s="82" t="s">
        <v>40</v>
      </c>
      <c r="W174" s="88">
        <v>25000</v>
      </c>
      <c r="X174" s="82" t="s">
        <v>40</v>
      </c>
      <c r="Y174" s="89"/>
      <c r="Z174" s="82"/>
      <c r="AA174" s="220"/>
      <c r="AB174" s="241">
        <v>180000</v>
      </c>
      <c r="AC174" s="241">
        <v>150000</v>
      </c>
      <c r="AD174" s="241"/>
      <c r="AE174" s="82" t="s">
        <v>768</v>
      </c>
      <c r="AF174" s="82" t="s">
        <v>769</v>
      </c>
      <c r="AG174" s="90"/>
      <c r="AH174" s="90"/>
      <c r="AI174" s="90"/>
      <c r="AJ174" s="90"/>
      <c r="AK174" s="82"/>
      <c r="AL174" s="82" t="str" cm="1">
        <f t="array" aca="1" ref="AL174" ca="1">_xlfn.IFS(
 AND($AK174&lt;&gt;"", M174&lt;&gt;0, M174&lt;=EDATE(TODAY(),2)),"도래",
 AND($AK174&lt;&gt;"", M174&lt;&gt;0, M174&lt;=EDATE(TODAY(),3)),"예정",
 AND($AK174&lt;&gt;"", M174&lt;&gt;0, M174&lt;=EDATE(TODAY(),6)),"관심",
 TRUE,""
)</f>
        <v/>
      </c>
      <c r="AM174" s="198">
        <f t="shared" si="6"/>
        <v>28</v>
      </c>
    </row>
    <row r="175" spans="1:39" ht="18" customHeight="1">
      <c r="A175" s="81"/>
      <c r="B175" s="205" t="str">
        <f>_xlfn.LET(_xlpm.var,◆관리정보!B175,IF(_xlpm.var&lt;&gt;0,_xlpm.var,""))</f>
        <v>한스텔</v>
      </c>
      <c r="C175" s="82">
        <f>_xlfn.LET(_xlpm.var,◆관리정보!C175,IF(_xlpm.var&lt;&gt;0,_xlpm.var,""))</f>
        <v>102</v>
      </c>
      <c r="D175" s="83" t="s">
        <v>770</v>
      </c>
      <c r="E175" s="84" t="str">
        <f t="shared" si="5"/>
        <v>한스텔102</v>
      </c>
      <c r="F175" s="85">
        <v>46108</v>
      </c>
      <c r="G175" s="229"/>
      <c r="H175" s="229"/>
      <c r="I175" s="229"/>
      <c r="J175" s="229"/>
      <c r="K175" s="218"/>
      <c r="L175" s="87">
        <v>45257</v>
      </c>
      <c r="M175" s="87">
        <v>45348</v>
      </c>
      <c r="N175" s="82" t="s">
        <v>771</v>
      </c>
      <c r="O175" s="82" t="s">
        <v>772</v>
      </c>
      <c r="P175" s="241">
        <v>1500000</v>
      </c>
      <c r="Q175" s="241">
        <v>1000000</v>
      </c>
      <c r="R175" s="82"/>
      <c r="S175" s="241">
        <v>80000</v>
      </c>
      <c r="T175" s="82" t="s">
        <v>40</v>
      </c>
      <c r="U175" s="241">
        <v>25000</v>
      </c>
      <c r="V175" s="82" t="s">
        <v>40</v>
      </c>
      <c r="W175" s="88">
        <v>25000</v>
      </c>
      <c r="X175" s="82" t="s">
        <v>40</v>
      </c>
      <c r="Y175" s="89"/>
      <c r="Z175" s="82"/>
      <c r="AA175" s="220"/>
      <c r="AB175" s="241">
        <v>150000</v>
      </c>
      <c r="AC175" s="241">
        <v>150000</v>
      </c>
      <c r="AD175" s="241"/>
      <c r="AE175" s="82" t="s">
        <v>773</v>
      </c>
      <c r="AF175" s="82" t="s">
        <v>774</v>
      </c>
      <c r="AG175" s="90"/>
      <c r="AH175" s="90"/>
      <c r="AI175" s="90" t="s">
        <v>775</v>
      </c>
      <c r="AJ175" s="90"/>
      <c r="AK175" s="82"/>
      <c r="AL175" s="82" t="str" cm="1">
        <f t="array" aca="1" ref="AL175" ca="1">_xlfn.IFS(
 AND($AK175&lt;&gt;"", M175&lt;&gt;0, M175&lt;=EDATE(TODAY(),2)),"도래",
 AND($AK175&lt;&gt;"", M175&lt;&gt;0, M175&lt;=EDATE(TODAY(),3)),"예정",
 AND($AK175&lt;&gt;"", M175&lt;&gt;0, M175&lt;=EDATE(TODAY(),6)),"관심",
 TRUE,""
)</f>
        <v/>
      </c>
      <c r="AM175" s="198">
        <f t="shared" si="6"/>
        <v>27</v>
      </c>
    </row>
    <row r="176" spans="1:39" ht="18" customHeight="1">
      <c r="A176" s="81"/>
      <c r="B176" s="205" t="str">
        <f>_xlfn.LET(_xlpm.var,◆관리정보!B176,IF(_xlpm.var&lt;&gt;0,_xlpm.var,""))</f>
        <v>한스텔</v>
      </c>
      <c r="C176" s="82">
        <f>_xlfn.LET(_xlpm.var,◆관리정보!C176,IF(_xlpm.var&lt;&gt;0,_xlpm.var,""))</f>
        <v>103</v>
      </c>
      <c r="D176" s="83" t="s">
        <v>776</v>
      </c>
      <c r="E176" s="84" t="str">
        <f t="shared" si="5"/>
        <v>한스텔103</v>
      </c>
      <c r="F176" s="85">
        <v>46103</v>
      </c>
      <c r="G176" s="229"/>
      <c r="H176" s="229"/>
      <c r="I176" s="229">
        <v>1050000</v>
      </c>
      <c r="J176" s="229">
        <v>208670</v>
      </c>
      <c r="K176" s="218"/>
      <c r="L176" s="87">
        <v>45587</v>
      </c>
      <c r="M176" s="87">
        <v>45678</v>
      </c>
      <c r="N176" s="82" t="s">
        <v>777</v>
      </c>
      <c r="O176" s="82" t="s">
        <v>778</v>
      </c>
      <c r="P176" s="241">
        <v>1050000</v>
      </c>
      <c r="Q176" s="241">
        <v>1050000</v>
      </c>
      <c r="R176" s="82"/>
      <c r="S176" s="241">
        <v>80000</v>
      </c>
      <c r="T176" s="82" t="s">
        <v>40</v>
      </c>
      <c r="U176" s="241">
        <v>25000</v>
      </c>
      <c r="V176" s="82" t="s">
        <v>40</v>
      </c>
      <c r="W176" s="88">
        <v>25000</v>
      </c>
      <c r="X176" s="82" t="s">
        <v>40</v>
      </c>
      <c r="Y176" s="89"/>
      <c r="Z176" s="82"/>
      <c r="AA176" s="220"/>
      <c r="AB176" s="241">
        <v>150000</v>
      </c>
      <c r="AC176" s="241">
        <v>150000</v>
      </c>
      <c r="AD176" s="241"/>
      <c r="AE176" s="82" t="s">
        <v>79</v>
      </c>
      <c r="AF176" s="82" t="s">
        <v>763</v>
      </c>
      <c r="AG176" s="90"/>
      <c r="AH176" s="90"/>
      <c r="AI176" s="90"/>
      <c r="AJ176" s="90"/>
      <c r="AK176" s="82"/>
      <c r="AL176" s="82" t="str" cm="1">
        <f t="array" aca="1" ref="AL176" ca="1">_xlfn.IFS(
 AND($AK176&lt;&gt;"", M176&lt;&gt;0, M176&lt;=EDATE(TODAY(),2)),"도래",
 AND($AK176&lt;&gt;"", M176&lt;&gt;0, M176&lt;=EDATE(TODAY(),3)),"예정",
 AND($AK176&lt;&gt;"", M176&lt;&gt;0, M176&lt;=EDATE(TODAY(),6)),"관심",
 TRUE,""
)</f>
        <v/>
      </c>
      <c r="AM176" s="198">
        <f t="shared" si="6"/>
        <v>22</v>
      </c>
    </row>
    <row r="177" spans="1:39" ht="18" customHeight="1">
      <c r="A177" s="81"/>
      <c r="B177" s="205" t="str">
        <f>_xlfn.LET(_xlpm.var,◆관리정보!B177,IF(_xlpm.var&lt;&gt;0,_xlpm.var,""))</f>
        <v>한스텔</v>
      </c>
      <c r="C177" s="82">
        <f>_xlfn.LET(_xlpm.var,◆관리정보!C177,IF(_xlpm.var&lt;&gt;0,_xlpm.var,""))</f>
        <v>104</v>
      </c>
      <c r="D177" s="83" t="s">
        <v>779</v>
      </c>
      <c r="E177" s="84" t="str">
        <f t="shared" si="5"/>
        <v>한스텔104</v>
      </c>
      <c r="F177" s="85">
        <v>46081</v>
      </c>
      <c r="G177" s="229"/>
      <c r="H177" s="229"/>
      <c r="I177" s="229"/>
      <c r="J177" s="229">
        <f>365770-(365770-50000)</f>
        <v>50000</v>
      </c>
      <c r="K177" s="218"/>
      <c r="L177" s="87">
        <v>45350</v>
      </c>
      <c r="M177" s="87">
        <v>45439</v>
      </c>
      <c r="N177" s="82" t="s">
        <v>780</v>
      </c>
      <c r="O177" s="82" t="s">
        <v>781</v>
      </c>
      <c r="P177" s="241">
        <v>1000000</v>
      </c>
      <c r="Q177" s="241">
        <v>1000000</v>
      </c>
      <c r="R177" s="82"/>
      <c r="S177" s="241">
        <v>80000</v>
      </c>
      <c r="T177" s="82" t="s">
        <v>40</v>
      </c>
      <c r="U177" s="241">
        <v>25000</v>
      </c>
      <c r="V177" s="82" t="s">
        <v>40</v>
      </c>
      <c r="W177" s="88">
        <v>25000</v>
      </c>
      <c r="X177" s="82" t="s">
        <v>40</v>
      </c>
      <c r="Y177" s="89"/>
      <c r="Z177" s="82"/>
      <c r="AA177" s="220"/>
      <c r="AB177" s="241">
        <v>150000</v>
      </c>
      <c r="AC177" s="241">
        <v>150000</v>
      </c>
      <c r="AD177" s="241"/>
      <c r="AE177" s="82" t="s">
        <v>782</v>
      </c>
      <c r="AF177" s="82" t="s">
        <v>783</v>
      </c>
      <c r="AG177" s="90"/>
      <c r="AH177" s="90"/>
      <c r="AI177" s="90"/>
      <c r="AJ177" s="90"/>
      <c r="AK177" s="82"/>
      <c r="AL177" s="82" t="str" cm="1">
        <f t="array" aca="1" ref="AL177" ca="1">_xlfn.IFS(
 AND($AK177&lt;&gt;"", M177&lt;&gt;0, M177&lt;=EDATE(TODAY(),2)),"도래",
 AND($AK177&lt;&gt;"", M177&lt;&gt;0, M177&lt;=EDATE(TODAY(),3)),"예정",
 AND($AK177&lt;&gt;"", M177&lt;&gt;0, M177&lt;=EDATE(TODAY(),6)),"관심",
 TRUE,""
)</f>
        <v/>
      </c>
      <c r="AM177" s="198">
        <f t="shared" si="6"/>
        <v>28</v>
      </c>
    </row>
    <row r="178" spans="1:39" ht="18" customHeight="1">
      <c r="A178" s="81"/>
      <c r="B178" s="205" t="str">
        <f>_xlfn.LET(_xlpm.var,◆관리정보!B178,IF(_xlpm.var&lt;&gt;0,_xlpm.var,""))</f>
        <v>한스텔</v>
      </c>
      <c r="C178" s="82">
        <f>_xlfn.LET(_xlpm.var,◆관리정보!C178,IF(_xlpm.var&lt;&gt;0,_xlpm.var,""))</f>
        <v>201</v>
      </c>
      <c r="D178" s="83" t="s">
        <v>784</v>
      </c>
      <c r="E178" s="84" t="str">
        <f t="shared" si="5"/>
        <v>한스텔201</v>
      </c>
      <c r="F178" s="85">
        <v>46113</v>
      </c>
      <c r="G178" s="229"/>
      <c r="H178" s="229"/>
      <c r="I178" s="229"/>
      <c r="J178" s="229"/>
      <c r="K178" s="218"/>
      <c r="L178" s="87">
        <v>43525</v>
      </c>
      <c r="M178" s="87">
        <v>43708</v>
      </c>
      <c r="N178" s="82" t="s">
        <v>785</v>
      </c>
      <c r="O178" s="82" t="s">
        <v>786</v>
      </c>
      <c r="P178" s="241">
        <v>850000</v>
      </c>
      <c r="Q178" s="241">
        <v>900000</v>
      </c>
      <c r="R178" s="82"/>
      <c r="S178" s="241">
        <v>80000</v>
      </c>
      <c r="T178" s="82" t="s">
        <v>40</v>
      </c>
      <c r="U178" s="241">
        <v>20000</v>
      </c>
      <c r="V178" s="82" t="s">
        <v>40</v>
      </c>
      <c r="W178" s="88">
        <v>25000</v>
      </c>
      <c r="X178" s="82" t="s">
        <v>40</v>
      </c>
      <c r="Y178" s="89"/>
      <c r="Z178" s="82"/>
      <c r="AA178" s="220"/>
      <c r="AB178" s="241">
        <v>100000</v>
      </c>
      <c r="AC178" s="241">
        <v>200000</v>
      </c>
      <c r="AD178" s="241"/>
      <c r="AE178" s="82" t="s">
        <v>787</v>
      </c>
      <c r="AF178" s="82" t="s">
        <v>788</v>
      </c>
      <c r="AG178" s="90"/>
      <c r="AH178" s="90"/>
      <c r="AI178" s="90" t="s">
        <v>789</v>
      </c>
      <c r="AJ178" s="90"/>
      <c r="AK178" s="82"/>
      <c r="AL178" s="82" t="str" cm="1">
        <f t="array" aca="1" ref="AL178" ca="1">_xlfn.IFS(
 AND($AK178&lt;&gt;"", M178&lt;&gt;0, M178&lt;=EDATE(TODAY(),2)),"도래",
 AND($AK178&lt;&gt;"", M178&lt;&gt;0, M178&lt;=EDATE(TODAY(),3)),"예정",
 AND($AK178&lt;&gt;"", M178&lt;&gt;0, M178&lt;=EDATE(TODAY(),6)),"관심",
 TRUE,""
)</f>
        <v/>
      </c>
      <c r="AM178" s="198">
        <f t="shared" si="6"/>
        <v>1</v>
      </c>
    </row>
    <row r="179" spans="1:39" ht="18" customHeight="1">
      <c r="A179" s="81"/>
      <c r="B179" s="205" t="str">
        <f>_xlfn.LET(_xlpm.var,◆관리정보!B179,IF(_xlpm.var&lt;&gt;0,_xlpm.var,""))</f>
        <v>한스텔</v>
      </c>
      <c r="C179" s="82">
        <f>_xlfn.LET(_xlpm.var,◆관리정보!C179,IF(_xlpm.var&lt;&gt;0,_xlpm.var,""))</f>
        <v>202</v>
      </c>
      <c r="D179" s="83" t="s">
        <v>790</v>
      </c>
      <c r="E179" s="84" t="str">
        <f t="shared" si="5"/>
        <v>한스텔202</v>
      </c>
      <c r="F179" s="85">
        <v>46126</v>
      </c>
      <c r="G179" s="229"/>
      <c r="H179" s="229"/>
      <c r="I179" s="229"/>
      <c r="J179" s="229"/>
      <c r="K179" s="218"/>
      <c r="L179" s="87">
        <v>45274</v>
      </c>
      <c r="M179" s="87">
        <v>45364</v>
      </c>
      <c r="N179" s="82" t="s">
        <v>791</v>
      </c>
      <c r="O179" s="82" t="s">
        <v>792</v>
      </c>
      <c r="P179" s="241">
        <v>1000000</v>
      </c>
      <c r="Q179" s="241">
        <v>1000000</v>
      </c>
      <c r="R179" s="82"/>
      <c r="S179" s="241">
        <v>80000</v>
      </c>
      <c r="T179" s="82" t="s">
        <v>40</v>
      </c>
      <c r="U179" s="241">
        <v>25000</v>
      </c>
      <c r="V179" s="82" t="s">
        <v>40</v>
      </c>
      <c r="W179" s="88">
        <v>25000</v>
      </c>
      <c r="X179" s="82" t="s">
        <v>40</v>
      </c>
      <c r="Y179" s="89"/>
      <c r="Z179" s="82"/>
      <c r="AA179" s="220"/>
      <c r="AB179" s="241">
        <v>150000</v>
      </c>
      <c r="AC179" s="241">
        <v>150000</v>
      </c>
      <c r="AD179" s="241"/>
      <c r="AE179" s="82" t="s">
        <v>773</v>
      </c>
      <c r="AF179" s="82" t="s">
        <v>774</v>
      </c>
      <c r="AG179" s="90"/>
      <c r="AH179" s="90"/>
      <c r="AI179" s="90"/>
      <c r="AJ179" s="90"/>
      <c r="AK179" s="82"/>
      <c r="AL179" s="82" t="str" cm="1">
        <f t="array" aca="1" ref="AL179" ca="1">_xlfn.IFS(
 AND($AK179&lt;&gt;"", M179&lt;&gt;0, M179&lt;=EDATE(TODAY(),2)),"도래",
 AND($AK179&lt;&gt;"", M179&lt;&gt;0, M179&lt;=EDATE(TODAY(),3)),"예정",
 AND($AK179&lt;&gt;"", M179&lt;&gt;0, M179&lt;=EDATE(TODAY(),6)),"관심",
 TRUE,""
)</f>
        <v/>
      </c>
      <c r="AM179" s="198">
        <f t="shared" si="6"/>
        <v>14</v>
      </c>
    </row>
    <row r="180" spans="1:39" ht="18" customHeight="1">
      <c r="A180" s="81"/>
      <c r="B180" s="205" t="str">
        <f>_xlfn.LET(_xlpm.var,◆관리정보!B180,IF(_xlpm.var&lt;&gt;0,_xlpm.var,""))</f>
        <v>한스텔</v>
      </c>
      <c r="C180" s="82">
        <f>_xlfn.LET(_xlpm.var,◆관리정보!C180,IF(_xlpm.var&lt;&gt;0,_xlpm.var,""))</f>
        <v>203</v>
      </c>
      <c r="D180" s="83" t="s">
        <v>793</v>
      </c>
      <c r="E180" s="84" t="str">
        <f t="shared" si="5"/>
        <v>한스텔203</v>
      </c>
      <c r="F180" s="85">
        <v>46126</v>
      </c>
      <c r="G180" s="229"/>
      <c r="H180" s="229"/>
      <c r="I180" s="229"/>
      <c r="J180" s="229"/>
      <c r="K180" s="218"/>
      <c r="L180" s="87">
        <v>45944</v>
      </c>
      <c r="M180" s="87">
        <v>46035</v>
      </c>
      <c r="N180" s="82" t="s">
        <v>794</v>
      </c>
      <c r="O180" s="82" t="s">
        <v>795</v>
      </c>
      <c r="P180" s="241">
        <v>1000000</v>
      </c>
      <c r="Q180" s="241">
        <v>1000000</v>
      </c>
      <c r="R180" s="82"/>
      <c r="S180" s="241">
        <v>80000</v>
      </c>
      <c r="T180" s="82" t="s">
        <v>40</v>
      </c>
      <c r="U180" s="241">
        <v>25000</v>
      </c>
      <c r="V180" s="82" t="s">
        <v>40</v>
      </c>
      <c r="W180" s="88">
        <v>25000</v>
      </c>
      <c r="X180" s="82" t="s">
        <v>40</v>
      </c>
      <c r="Y180" s="89"/>
      <c r="Z180" s="82"/>
      <c r="AA180" s="220"/>
      <c r="AB180" s="241">
        <v>150000</v>
      </c>
      <c r="AC180" s="241">
        <v>150000</v>
      </c>
      <c r="AD180" s="241"/>
      <c r="AE180" s="82" t="s">
        <v>796</v>
      </c>
      <c r="AF180" s="82" t="s">
        <v>104</v>
      </c>
      <c r="AG180" s="90"/>
      <c r="AH180" s="90"/>
      <c r="AI180" s="90" t="s">
        <v>797</v>
      </c>
      <c r="AJ180" s="90"/>
      <c r="AK180" s="82"/>
      <c r="AL180" s="82" t="str" cm="1">
        <f t="array" aca="1" ref="AL180" ca="1">_xlfn.IFS(
 AND($AK180&lt;&gt;"", M180&lt;&gt;0, M180&lt;=EDATE(TODAY(),2)),"도래",
 AND($AK180&lt;&gt;"", M180&lt;&gt;0, M180&lt;=EDATE(TODAY(),3)),"예정",
 AND($AK180&lt;&gt;"", M180&lt;&gt;0, M180&lt;=EDATE(TODAY(),6)),"관심",
 TRUE,""
)</f>
        <v/>
      </c>
      <c r="AM180" s="198">
        <f t="shared" si="6"/>
        <v>14</v>
      </c>
    </row>
    <row r="181" spans="1:39" ht="18" customHeight="1">
      <c r="A181" s="81"/>
      <c r="B181" s="205" t="str">
        <f>_xlfn.LET(_xlpm.var,◆관리정보!B181,IF(_xlpm.var&lt;&gt;0,_xlpm.var,""))</f>
        <v>한스텔</v>
      </c>
      <c r="C181" s="82">
        <f>_xlfn.LET(_xlpm.var,◆관리정보!C181,IF(_xlpm.var&lt;&gt;0,_xlpm.var,""))</f>
        <v>204</v>
      </c>
      <c r="D181" s="83" t="s">
        <v>798</v>
      </c>
      <c r="E181" s="84" t="str">
        <f t="shared" si="5"/>
        <v>한스텔204</v>
      </c>
      <c r="F181" s="85">
        <v>46100</v>
      </c>
      <c r="G181" s="229"/>
      <c r="H181" s="229"/>
      <c r="I181" s="229">
        <v>855000</v>
      </c>
      <c r="J181" s="229">
        <v>207700</v>
      </c>
      <c r="K181" s="218"/>
      <c r="L181" s="87">
        <v>43909</v>
      </c>
      <c r="M181" s="87">
        <v>44000</v>
      </c>
      <c r="N181" s="82" t="s">
        <v>799</v>
      </c>
      <c r="O181" s="82" t="s">
        <v>800</v>
      </c>
      <c r="P181" s="241">
        <v>850000</v>
      </c>
      <c r="Q181" s="241">
        <v>900000</v>
      </c>
      <c r="R181" s="82"/>
      <c r="S181" s="241">
        <v>80000</v>
      </c>
      <c r="T181" s="82" t="s">
        <v>40</v>
      </c>
      <c r="U181" s="241">
        <v>20000</v>
      </c>
      <c r="V181" s="82" t="s">
        <v>40</v>
      </c>
      <c r="W181" s="88">
        <v>25000</v>
      </c>
      <c r="X181" s="82" t="s">
        <v>40</v>
      </c>
      <c r="Y181" s="89"/>
      <c r="Z181" s="82"/>
      <c r="AA181" s="220"/>
      <c r="AB181" s="241">
        <v>100000</v>
      </c>
      <c r="AC181" s="241">
        <v>150000</v>
      </c>
      <c r="AD181" s="241"/>
      <c r="AE181" s="82" t="s">
        <v>801</v>
      </c>
      <c r="AF181" s="82" t="s">
        <v>802</v>
      </c>
      <c r="AG181" s="90"/>
      <c r="AH181" s="90"/>
      <c r="AI181" s="90" t="s">
        <v>803</v>
      </c>
      <c r="AJ181" s="90"/>
      <c r="AK181" s="82"/>
      <c r="AL181" s="82" t="str" cm="1">
        <f t="array" aca="1" ref="AL181" ca="1">_xlfn.IFS(
 AND($AK181&lt;&gt;"", M181&lt;&gt;0, M181&lt;=EDATE(TODAY(),2)),"도래",
 AND($AK181&lt;&gt;"", M181&lt;&gt;0, M181&lt;=EDATE(TODAY(),3)),"예정",
 AND($AK181&lt;&gt;"", M181&lt;&gt;0, M181&lt;=EDATE(TODAY(),6)),"관심",
 TRUE,""
)</f>
        <v/>
      </c>
      <c r="AM181" s="198">
        <f t="shared" si="6"/>
        <v>19</v>
      </c>
    </row>
    <row r="182" spans="1:39" ht="18" customHeight="1">
      <c r="A182" s="81"/>
      <c r="B182" s="205" t="str">
        <f>_xlfn.LET(_xlpm.var,◆관리정보!B182,IF(_xlpm.var&lt;&gt;0,_xlpm.var,""))</f>
        <v>한스텔</v>
      </c>
      <c r="C182" s="82">
        <f>_xlfn.LET(_xlpm.var,◆관리정보!C182,IF(_xlpm.var&lt;&gt;0,_xlpm.var,""))</f>
        <v>301</v>
      </c>
      <c r="D182" s="83" t="s">
        <v>804</v>
      </c>
      <c r="E182" s="84" t="str">
        <f t="shared" si="5"/>
        <v>한스텔301</v>
      </c>
      <c r="F182" s="85">
        <v>46115</v>
      </c>
      <c r="G182" s="229"/>
      <c r="H182" s="229"/>
      <c r="I182" s="229"/>
      <c r="J182" s="229"/>
      <c r="K182" s="218"/>
      <c r="L182" s="87">
        <v>45263</v>
      </c>
      <c r="M182" s="87">
        <v>45353</v>
      </c>
      <c r="N182" s="82" t="s">
        <v>805</v>
      </c>
      <c r="O182" s="82" t="s">
        <v>806</v>
      </c>
      <c r="P182" s="241">
        <v>1000000</v>
      </c>
      <c r="Q182" s="241">
        <v>1000000</v>
      </c>
      <c r="R182" s="82"/>
      <c r="S182" s="241">
        <v>80000</v>
      </c>
      <c r="T182" s="82" t="s">
        <v>40</v>
      </c>
      <c r="U182" s="241">
        <v>25000</v>
      </c>
      <c r="V182" s="82" t="s">
        <v>40</v>
      </c>
      <c r="W182" s="88">
        <v>25000</v>
      </c>
      <c r="X182" s="82" t="s">
        <v>40</v>
      </c>
      <c r="Y182" s="89"/>
      <c r="Z182" s="82"/>
      <c r="AA182" s="220"/>
      <c r="AB182" s="241">
        <v>150000</v>
      </c>
      <c r="AC182" s="241">
        <v>150000</v>
      </c>
      <c r="AD182" s="241"/>
      <c r="AE182" s="82" t="s">
        <v>807</v>
      </c>
      <c r="AF182" s="82" t="s">
        <v>808</v>
      </c>
      <c r="AG182" s="90"/>
      <c r="AH182" s="90"/>
      <c r="AI182" s="90"/>
      <c r="AJ182" s="90"/>
      <c r="AK182" s="82"/>
      <c r="AL182" s="82" t="str" cm="1">
        <f t="array" aca="1" ref="AL182" ca="1">_xlfn.IFS(
 AND($AK182&lt;&gt;"", M182&lt;&gt;0, M182&lt;=EDATE(TODAY(),2)),"도래",
 AND($AK182&lt;&gt;"", M182&lt;&gt;0, M182&lt;=EDATE(TODAY(),3)),"예정",
 AND($AK182&lt;&gt;"", M182&lt;&gt;0, M182&lt;=EDATE(TODAY(),6)),"관심",
 TRUE,""
)</f>
        <v/>
      </c>
      <c r="AM182" s="198">
        <f t="shared" si="6"/>
        <v>3</v>
      </c>
    </row>
    <row r="183" spans="1:39" ht="18" customHeight="1">
      <c r="A183" s="81"/>
      <c r="B183" s="205" t="str">
        <f>_xlfn.LET(_xlpm.var,◆관리정보!B183,IF(_xlpm.var&lt;&gt;0,_xlpm.var,""))</f>
        <v>한스텔</v>
      </c>
      <c r="C183" s="82">
        <f>_xlfn.LET(_xlpm.var,◆관리정보!C183,IF(_xlpm.var&lt;&gt;0,_xlpm.var,""))</f>
        <v>302</v>
      </c>
      <c r="D183" s="83" t="s">
        <v>809</v>
      </c>
      <c r="E183" s="84" t="str">
        <f t="shared" si="5"/>
        <v>한스텔302</v>
      </c>
      <c r="F183" s="85">
        <v>46081</v>
      </c>
      <c r="G183" s="229"/>
      <c r="H183" s="229"/>
      <c r="I183" s="229"/>
      <c r="J183" s="229">
        <f>275060-(275060-50000)</f>
        <v>50000</v>
      </c>
      <c r="K183" s="218"/>
      <c r="L183" s="87">
        <v>45260</v>
      </c>
      <c r="M183" s="87">
        <v>45350</v>
      </c>
      <c r="N183" s="82" t="s">
        <v>810</v>
      </c>
      <c r="O183" s="82" t="s">
        <v>811</v>
      </c>
      <c r="P183" s="241">
        <v>1000000</v>
      </c>
      <c r="Q183" s="241">
        <v>1000000</v>
      </c>
      <c r="R183" s="82"/>
      <c r="S183" s="241">
        <v>80000</v>
      </c>
      <c r="T183" s="82" t="s">
        <v>40</v>
      </c>
      <c r="U183" s="241">
        <v>25000</v>
      </c>
      <c r="V183" s="82" t="s">
        <v>40</v>
      </c>
      <c r="W183" s="88">
        <v>25000</v>
      </c>
      <c r="X183" s="82" t="s">
        <v>40</v>
      </c>
      <c r="Y183" s="89"/>
      <c r="Z183" s="82"/>
      <c r="AA183" s="220"/>
      <c r="AB183" s="241">
        <v>150000</v>
      </c>
      <c r="AC183" s="241">
        <v>150000</v>
      </c>
      <c r="AD183" s="241"/>
      <c r="AE183" s="82" t="s">
        <v>773</v>
      </c>
      <c r="AF183" s="82" t="s">
        <v>774</v>
      </c>
      <c r="AG183" s="90"/>
      <c r="AH183" s="90"/>
      <c r="AI183" s="90"/>
      <c r="AJ183" s="90"/>
      <c r="AK183" s="82"/>
      <c r="AL183" s="82" t="str" cm="1">
        <f t="array" aca="1" ref="AL183" ca="1">_xlfn.IFS(
 AND($AK183&lt;&gt;"", M183&lt;&gt;0, M183&lt;=EDATE(TODAY(),2)),"도래",
 AND($AK183&lt;&gt;"", M183&lt;&gt;0, M183&lt;=EDATE(TODAY(),3)),"예정",
 AND($AK183&lt;&gt;"", M183&lt;&gt;0, M183&lt;=EDATE(TODAY(),6)),"관심",
 TRUE,""
)</f>
        <v/>
      </c>
      <c r="AM183" s="198">
        <f t="shared" si="6"/>
        <v>30</v>
      </c>
    </row>
    <row r="184" spans="1:39" ht="18" customHeight="1">
      <c r="A184" s="81"/>
      <c r="B184" s="205" t="str">
        <f>_xlfn.LET(_xlpm.var,◆관리정보!B184,IF(_xlpm.var&lt;&gt;0,_xlpm.var,""))</f>
        <v>한스텔</v>
      </c>
      <c r="C184" s="82">
        <f>_xlfn.LET(_xlpm.var,◆관리정보!C184,IF(_xlpm.var&lt;&gt;0,_xlpm.var,""))</f>
        <v>303</v>
      </c>
      <c r="D184" s="83" t="s">
        <v>812</v>
      </c>
      <c r="E184" s="84" t="str">
        <f t="shared" si="5"/>
        <v>한스텔303</v>
      </c>
      <c r="F184" s="85">
        <v>46107</v>
      </c>
      <c r="G184" s="229"/>
      <c r="H184" s="229"/>
      <c r="I184" s="229"/>
      <c r="J184" s="229"/>
      <c r="K184" s="218"/>
      <c r="L184" s="87">
        <v>46017</v>
      </c>
      <c r="M184" s="87">
        <v>46106</v>
      </c>
      <c r="N184" s="82" t="s">
        <v>813</v>
      </c>
      <c r="O184" s="82" t="s">
        <v>814</v>
      </c>
      <c r="P184" s="241">
        <v>1000000</v>
      </c>
      <c r="Q184" s="241">
        <v>1000000</v>
      </c>
      <c r="R184" s="82"/>
      <c r="S184" s="241">
        <v>80000</v>
      </c>
      <c r="T184" s="82" t="s">
        <v>40</v>
      </c>
      <c r="U184" s="241">
        <v>25000</v>
      </c>
      <c r="V184" s="82" t="s">
        <v>40</v>
      </c>
      <c r="W184" s="88">
        <v>25000</v>
      </c>
      <c r="X184" s="82" t="s">
        <v>40</v>
      </c>
      <c r="Y184" s="89"/>
      <c r="Z184" s="82"/>
      <c r="AA184" s="220"/>
      <c r="AB184" s="241">
        <v>180000</v>
      </c>
      <c r="AC184" s="241">
        <v>150000</v>
      </c>
      <c r="AD184" s="241"/>
      <c r="AE184" s="82" t="s">
        <v>332</v>
      </c>
      <c r="AF184" s="82" t="s">
        <v>815</v>
      </c>
      <c r="AG184" s="90"/>
      <c r="AH184" s="90"/>
      <c r="AI184" s="90" t="s">
        <v>816</v>
      </c>
      <c r="AJ184" s="90"/>
      <c r="AK184" s="82"/>
      <c r="AL184" s="82" t="str" cm="1">
        <f t="array" aca="1" ref="AL184" ca="1">_xlfn.IFS(
 AND($AK184&lt;&gt;"", M184&lt;&gt;0, M184&lt;=EDATE(TODAY(),2)),"도래",
 AND($AK184&lt;&gt;"", M184&lt;&gt;0, M184&lt;=EDATE(TODAY(),3)),"예정",
 AND($AK184&lt;&gt;"", M184&lt;&gt;0, M184&lt;=EDATE(TODAY(),6)),"관심",
 TRUE,""
)</f>
        <v/>
      </c>
      <c r="AM184" s="198">
        <f t="shared" si="6"/>
        <v>26</v>
      </c>
    </row>
    <row r="185" spans="1:39" ht="18" customHeight="1">
      <c r="A185" s="81"/>
      <c r="B185" s="205" t="str">
        <f>_xlfn.LET(_xlpm.var,◆관리정보!B185,IF(_xlpm.var&lt;&gt;0,_xlpm.var,""))</f>
        <v>한스텔</v>
      </c>
      <c r="C185" s="82">
        <f>_xlfn.LET(_xlpm.var,◆관리정보!C185,IF(_xlpm.var&lt;&gt;0,_xlpm.var,""))</f>
        <v>304</v>
      </c>
      <c r="D185" s="83" t="s">
        <v>817</v>
      </c>
      <c r="E185" s="84" t="str">
        <f t="shared" si="5"/>
        <v>한스텔304</v>
      </c>
      <c r="F185" s="85">
        <v>46116</v>
      </c>
      <c r="G185" s="229"/>
      <c r="H185" s="229"/>
      <c r="I185" s="229"/>
      <c r="J185" s="229"/>
      <c r="K185" s="218"/>
      <c r="L185" s="87">
        <v>46085</v>
      </c>
      <c r="M185" s="87">
        <v>46176</v>
      </c>
      <c r="N185" s="82" t="s">
        <v>818</v>
      </c>
      <c r="O185" s="82" t="s">
        <v>819</v>
      </c>
      <c r="P185" s="373">
        <v>1000000</v>
      </c>
      <c r="Q185" s="373">
        <v>1000000</v>
      </c>
      <c r="R185" s="82"/>
      <c r="S185" s="373">
        <v>80000</v>
      </c>
      <c r="T185" s="82" t="s">
        <v>40</v>
      </c>
      <c r="U185" s="373">
        <v>25000</v>
      </c>
      <c r="V185" s="82" t="s">
        <v>40</v>
      </c>
      <c r="W185" s="374">
        <v>25000</v>
      </c>
      <c r="X185" s="82" t="s">
        <v>40</v>
      </c>
      <c r="Y185" s="322"/>
      <c r="Z185" s="82"/>
      <c r="AA185" s="220"/>
      <c r="AB185" s="373">
        <v>180000</v>
      </c>
      <c r="AC185" s="373">
        <v>150000</v>
      </c>
      <c r="AD185" s="320"/>
      <c r="AE185" s="82" t="s">
        <v>63</v>
      </c>
      <c r="AF185" s="82" t="s">
        <v>86</v>
      </c>
      <c r="AG185" s="90"/>
      <c r="AH185" s="90"/>
      <c r="AI185" s="90"/>
      <c r="AJ185" s="90"/>
      <c r="AK185" s="82"/>
      <c r="AL185" s="82" t="str" cm="1">
        <f t="array" aca="1" ref="AL185" ca="1">_xlfn.IFS(
 AND($AK185&lt;&gt;"", M185&lt;&gt;0, M185&lt;=EDATE(TODAY(),2)),"도래",
 AND($AK185&lt;&gt;"", M185&lt;&gt;0, M185&lt;=EDATE(TODAY(),3)),"예정",
 AND($AK185&lt;&gt;"", M185&lt;&gt;0, M185&lt;=EDATE(TODAY(),6)),"관심",
 TRUE,""
)</f>
        <v/>
      </c>
      <c r="AM185" s="198">
        <f t="shared" si="6"/>
        <v>4</v>
      </c>
    </row>
    <row r="186" spans="1:39" ht="18" customHeight="1">
      <c r="A186" s="81"/>
      <c r="B186" s="205" t="str">
        <f>_xlfn.LET(_xlpm.var,◆관리정보!B186,IF(_xlpm.var&lt;&gt;0,_xlpm.var,""))</f>
        <v>지앤지2</v>
      </c>
      <c r="C186" s="82">
        <f>_xlfn.LET(_xlpm.var,◆관리정보!C186,IF(_xlpm.var&lt;&gt;0,_xlpm.var,""))</f>
        <v>201</v>
      </c>
      <c r="D186" s="83" t="s">
        <v>820</v>
      </c>
      <c r="E186" s="84" t="str">
        <f t="shared" si="5"/>
        <v>지앤지2201</v>
      </c>
      <c r="F186" s="85">
        <v>46117</v>
      </c>
      <c r="G186" s="229"/>
      <c r="H186" s="229"/>
      <c r="I186" s="229"/>
      <c r="J186" s="229"/>
      <c r="K186" s="218"/>
      <c r="L186" s="87">
        <v>43317</v>
      </c>
      <c r="M186" s="87">
        <v>43408</v>
      </c>
      <c r="N186" s="82" t="s">
        <v>821</v>
      </c>
      <c r="O186" s="82" t="s">
        <v>822</v>
      </c>
      <c r="P186" s="241">
        <v>2550000</v>
      </c>
      <c r="Q186" s="241">
        <v>1850000</v>
      </c>
      <c r="R186" s="82"/>
      <c r="S186" s="241">
        <v>100000</v>
      </c>
      <c r="T186" s="82" t="s">
        <v>40</v>
      </c>
      <c r="U186" s="241">
        <v>20000</v>
      </c>
      <c r="V186" s="82" t="s">
        <v>40</v>
      </c>
      <c r="W186" s="88">
        <v>25000</v>
      </c>
      <c r="X186" s="82" t="s">
        <v>40</v>
      </c>
      <c r="Y186" s="89">
        <v>100000</v>
      </c>
      <c r="Z186" s="82"/>
      <c r="AA186" s="220" t="s">
        <v>823</v>
      </c>
      <c r="AB186" s="241">
        <v>200000</v>
      </c>
      <c r="AC186" s="241">
        <v>200000</v>
      </c>
      <c r="AD186" s="241"/>
      <c r="AE186" s="82" t="s">
        <v>824</v>
      </c>
      <c r="AF186" s="82" t="s">
        <v>702</v>
      </c>
      <c r="AG186" s="90"/>
      <c r="AH186" s="90"/>
      <c r="AI186" s="90" t="s">
        <v>825</v>
      </c>
      <c r="AJ186" s="90"/>
      <c r="AK186" s="82"/>
      <c r="AL186" s="82" t="str" cm="1">
        <f t="array" aca="1" ref="AL186" ca="1">_xlfn.IFS(
 AND($AK186&lt;&gt;"", M186&lt;&gt;0, M186&lt;=EDATE(TODAY(),2)),"도래",
 AND($AK186&lt;&gt;"", M186&lt;&gt;0, M186&lt;=EDATE(TODAY(),3)),"예정",
 AND($AK186&lt;&gt;"", M186&lt;&gt;0, M186&lt;=EDATE(TODAY(),6)),"관심",
 TRUE,""
)</f>
        <v/>
      </c>
      <c r="AM186" s="198">
        <f t="shared" si="6"/>
        <v>5</v>
      </c>
    </row>
    <row r="187" spans="1:39" ht="18" customHeight="1">
      <c r="A187" s="81"/>
      <c r="B187" s="205" t="str">
        <f>_xlfn.LET(_xlpm.var,◆관리정보!B187,IF(_xlpm.var&lt;&gt;0,_xlpm.var,""))</f>
        <v>지앤지2</v>
      </c>
      <c r="C187" s="82">
        <f>_xlfn.LET(_xlpm.var,◆관리정보!C187,IF(_xlpm.var&lt;&gt;0,_xlpm.var,""))</f>
        <v>202</v>
      </c>
      <c r="D187" s="83" t="s">
        <v>826</v>
      </c>
      <c r="E187" s="84" t="str">
        <f t="shared" si="5"/>
        <v>지앤지2202</v>
      </c>
      <c r="F187" s="85">
        <v>46115</v>
      </c>
      <c r="G187" s="229"/>
      <c r="H187" s="229"/>
      <c r="I187" s="229"/>
      <c r="J187" s="229"/>
      <c r="K187" s="218"/>
      <c r="L187" s="87">
        <v>43437</v>
      </c>
      <c r="M187" s="87">
        <v>43526</v>
      </c>
      <c r="N187" s="82" t="s">
        <v>827</v>
      </c>
      <c r="O187" s="82" t="s">
        <v>828</v>
      </c>
      <c r="P187" s="241">
        <v>1800000</v>
      </c>
      <c r="Q187" s="241">
        <v>1800000</v>
      </c>
      <c r="R187" s="82"/>
      <c r="S187" s="241">
        <v>100000</v>
      </c>
      <c r="T187" s="82" t="s">
        <v>40</v>
      </c>
      <c r="U187" s="241">
        <v>20000</v>
      </c>
      <c r="V187" s="82" t="s">
        <v>40</v>
      </c>
      <c r="W187" s="88"/>
      <c r="X187" s="82"/>
      <c r="Y187" s="89">
        <v>100000</v>
      </c>
      <c r="Z187" s="82"/>
      <c r="AA187" s="220" t="s">
        <v>823</v>
      </c>
      <c r="AB187" s="241">
        <v>200000</v>
      </c>
      <c r="AC187" s="241">
        <v>200000</v>
      </c>
      <c r="AD187" s="241">
        <v>100000</v>
      </c>
      <c r="AE187" s="82" t="s">
        <v>829</v>
      </c>
      <c r="AF187" s="82" t="s">
        <v>830</v>
      </c>
      <c r="AG187" s="90"/>
      <c r="AH187" s="90"/>
      <c r="AI187" s="90" t="s">
        <v>831</v>
      </c>
      <c r="AJ187" s="90"/>
      <c r="AK187" s="82"/>
      <c r="AL187" s="82" t="str" cm="1">
        <f t="array" aca="1" ref="AL187" ca="1">_xlfn.IFS(
 AND($AK187&lt;&gt;"", M187&lt;&gt;0, M187&lt;=EDATE(TODAY(),2)),"도래",
 AND($AK187&lt;&gt;"", M187&lt;&gt;0, M187&lt;=EDATE(TODAY(),3)),"예정",
 AND($AK187&lt;&gt;"", M187&lt;&gt;0, M187&lt;=EDATE(TODAY(),6)),"관심",
 TRUE,""
)</f>
        <v/>
      </c>
      <c r="AM187" s="198">
        <f t="shared" si="6"/>
        <v>3</v>
      </c>
    </row>
    <row r="188" spans="1:39" ht="18" customHeight="1">
      <c r="A188" s="81"/>
      <c r="B188" s="205" t="str">
        <f>_xlfn.LET(_xlpm.var,◆관리정보!B188,IF(_xlpm.var&lt;&gt;0,_xlpm.var,""))</f>
        <v>지앤지2</v>
      </c>
      <c r="C188" s="82">
        <f>_xlfn.LET(_xlpm.var,◆관리정보!C188,IF(_xlpm.var&lt;&gt;0,_xlpm.var,""))</f>
        <v>203</v>
      </c>
      <c r="D188" s="83" t="s">
        <v>832</v>
      </c>
      <c r="E188" s="84" t="str">
        <f t="shared" si="5"/>
        <v>지앤지2203</v>
      </c>
      <c r="F188" s="85">
        <v>46119</v>
      </c>
      <c r="G188" s="229"/>
      <c r="H188" s="229"/>
      <c r="I188" s="229"/>
      <c r="J188" s="229"/>
      <c r="K188" s="218"/>
      <c r="L188" s="87">
        <v>43562</v>
      </c>
      <c r="M188" s="87">
        <v>43683</v>
      </c>
      <c r="N188" s="82" t="s">
        <v>833</v>
      </c>
      <c r="O188" s="82" t="s">
        <v>834</v>
      </c>
      <c r="P188" s="241">
        <v>1800000</v>
      </c>
      <c r="Q188" s="241">
        <v>1800000</v>
      </c>
      <c r="R188" s="82"/>
      <c r="S188" s="241">
        <v>100000</v>
      </c>
      <c r="T188" s="82" t="s">
        <v>40</v>
      </c>
      <c r="U188" s="241">
        <v>20000</v>
      </c>
      <c r="V188" s="82" t="s">
        <v>40</v>
      </c>
      <c r="W188" s="88">
        <v>25000</v>
      </c>
      <c r="X188" s="82" t="s">
        <v>40</v>
      </c>
      <c r="Y188" s="89">
        <v>100000</v>
      </c>
      <c r="Z188" s="82"/>
      <c r="AA188" s="220" t="s">
        <v>823</v>
      </c>
      <c r="AB188" s="241">
        <v>200000</v>
      </c>
      <c r="AC188" s="241">
        <v>200000</v>
      </c>
      <c r="AD188" s="241">
        <v>100000</v>
      </c>
      <c r="AE188" s="82" t="s">
        <v>835</v>
      </c>
      <c r="AF188" s="82" t="s">
        <v>836</v>
      </c>
      <c r="AG188" s="90"/>
      <c r="AH188" s="90"/>
      <c r="AI188" s="90" t="s">
        <v>837</v>
      </c>
      <c r="AJ188" s="90"/>
      <c r="AK188" s="82"/>
      <c r="AL188" s="82" t="str" cm="1">
        <f t="array" aca="1" ref="AL188" ca="1">_xlfn.IFS(
 AND($AK188&lt;&gt;"", M188&lt;&gt;0, M188&lt;=EDATE(TODAY(),2)),"도래",
 AND($AK188&lt;&gt;"", M188&lt;&gt;0, M188&lt;=EDATE(TODAY(),3)),"예정",
 AND($AK188&lt;&gt;"", M188&lt;&gt;0, M188&lt;=EDATE(TODAY(),6)),"관심",
 TRUE,""
)</f>
        <v/>
      </c>
      <c r="AM188" s="198">
        <f t="shared" si="6"/>
        <v>7</v>
      </c>
    </row>
    <row r="189" spans="1:39" ht="18" customHeight="1">
      <c r="A189" s="81"/>
      <c r="B189" s="205" t="str">
        <f>_xlfn.LET(_xlpm.var,◆관리정보!B189,IF(_xlpm.var&lt;&gt;0,_xlpm.var,""))</f>
        <v>지앤지2</v>
      </c>
      <c r="C189" s="82">
        <f>_xlfn.LET(_xlpm.var,◆관리정보!C189,IF(_xlpm.var&lt;&gt;0,_xlpm.var,""))</f>
        <v>204</v>
      </c>
      <c r="D189" s="83" t="s">
        <v>838</v>
      </c>
      <c r="E189" s="84" t="str">
        <f t="shared" si="5"/>
        <v>지앤지2204</v>
      </c>
      <c r="F189" s="85">
        <v>46099</v>
      </c>
      <c r="G189" s="229"/>
      <c r="H189" s="229"/>
      <c r="I189" s="229"/>
      <c r="J189" s="229">
        <v>2055000</v>
      </c>
      <c r="K189" s="218"/>
      <c r="L189" s="87">
        <v>46071</v>
      </c>
      <c r="M189" s="87">
        <v>46159</v>
      </c>
      <c r="N189" s="82" t="s">
        <v>839</v>
      </c>
      <c r="O189" s="82" t="s">
        <v>840</v>
      </c>
      <c r="P189" s="241">
        <v>1900000</v>
      </c>
      <c r="Q189" s="261">
        <v>1900000</v>
      </c>
      <c r="R189" s="82"/>
      <c r="S189" s="261">
        <v>100000</v>
      </c>
      <c r="T189" s="82" t="s">
        <v>40</v>
      </c>
      <c r="U189" s="241">
        <v>30000</v>
      </c>
      <c r="V189" s="82" t="s">
        <v>40</v>
      </c>
      <c r="W189" s="88">
        <v>25000</v>
      </c>
      <c r="X189" s="82" t="s">
        <v>40</v>
      </c>
      <c r="Y189" s="89">
        <v>100000</v>
      </c>
      <c r="Z189" s="82"/>
      <c r="AA189" s="220" t="s">
        <v>841</v>
      </c>
      <c r="AB189" s="241">
        <v>250000</v>
      </c>
      <c r="AC189" s="241">
        <v>200000</v>
      </c>
      <c r="AD189" s="241"/>
      <c r="AE189" s="265" t="s">
        <v>327</v>
      </c>
      <c r="AF189" s="82" t="s">
        <v>842</v>
      </c>
      <c r="AG189" s="90"/>
      <c r="AH189" s="90"/>
      <c r="AI189" s="90" t="s">
        <v>843</v>
      </c>
      <c r="AJ189" s="90"/>
      <c r="AK189" s="82"/>
      <c r="AL189" s="82" t="str" cm="1">
        <f t="array" aca="1" ref="AL189" ca="1">_xlfn.IFS(
 AND($AK189&lt;&gt;"", M189&lt;&gt;0, M189&lt;=EDATE(TODAY(),2)),"도래",
 AND($AK189&lt;&gt;"", M189&lt;&gt;0, M189&lt;=EDATE(TODAY(),3)),"예정",
 AND($AK189&lt;&gt;"", M189&lt;&gt;0, M189&lt;=EDATE(TODAY(),6)),"관심",
 TRUE,""
)</f>
        <v/>
      </c>
      <c r="AM189" s="198">
        <f t="shared" si="6"/>
        <v>18</v>
      </c>
    </row>
    <row r="190" spans="1:39" ht="18" customHeight="1">
      <c r="A190" s="81"/>
      <c r="B190" s="205" t="str">
        <f>_xlfn.LET(_xlpm.var,◆관리정보!B190,IF(_xlpm.var&lt;&gt;0,_xlpm.var,""))</f>
        <v>지앤지2</v>
      </c>
      <c r="C190" s="82">
        <f>_xlfn.LET(_xlpm.var,◆관리정보!C190,IF(_xlpm.var&lt;&gt;0,_xlpm.var,""))</f>
        <v>301</v>
      </c>
      <c r="D190" s="83" t="s">
        <v>844</v>
      </c>
      <c r="E190" s="84" t="str">
        <f t="shared" si="5"/>
        <v>지앤지2301</v>
      </c>
      <c r="F190" s="85">
        <v>46118</v>
      </c>
      <c r="G190" s="229"/>
      <c r="H190" s="229"/>
      <c r="I190" s="229"/>
      <c r="J190" s="229"/>
      <c r="K190" s="218"/>
      <c r="L190" s="87">
        <v>45967</v>
      </c>
      <c r="M190" s="87">
        <v>46058</v>
      </c>
      <c r="N190" s="82" t="s">
        <v>845</v>
      </c>
      <c r="O190" s="82" t="s">
        <v>846</v>
      </c>
      <c r="P190" s="241">
        <v>1950000</v>
      </c>
      <c r="Q190" s="241">
        <v>1950000</v>
      </c>
      <c r="R190" s="82"/>
      <c r="S190" s="241">
        <v>120000</v>
      </c>
      <c r="T190" s="82" t="s">
        <v>40</v>
      </c>
      <c r="U190" s="241">
        <v>25000</v>
      </c>
      <c r="V190" s="82" t="s">
        <v>40</v>
      </c>
      <c r="W190" s="88">
        <v>25000</v>
      </c>
      <c r="X190" s="82" t="s">
        <v>40</v>
      </c>
      <c r="Y190" s="89">
        <v>100000</v>
      </c>
      <c r="Z190" s="82"/>
      <c r="AA190" s="220" t="s">
        <v>847</v>
      </c>
      <c r="AB190" s="241">
        <v>250000</v>
      </c>
      <c r="AC190" s="241">
        <v>200000</v>
      </c>
      <c r="AD190" s="241"/>
      <c r="AE190" s="82" t="s">
        <v>848</v>
      </c>
      <c r="AF190" s="82" t="s">
        <v>849</v>
      </c>
      <c r="AG190" s="90"/>
      <c r="AH190" s="90"/>
      <c r="AI190" s="90" t="s">
        <v>850</v>
      </c>
      <c r="AJ190" s="90"/>
      <c r="AK190" s="82"/>
      <c r="AL190" s="82" t="str" cm="1">
        <f t="array" aca="1" ref="AL190" ca="1">_xlfn.IFS(
 AND($AK190&lt;&gt;"", M190&lt;&gt;0, M190&lt;=EDATE(TODAY(),2)),"도래",
 AND($AK190&lt;&gt;"", M190&lt;&gt;0, M190&lt;=EDATE(TODAY(),3)),"예정",
 AND($AK190&lt;&gt;"", M190&lt;&gt;0, M190&lt;=EDATE(TODAY(),6)),"관심",
 TRUE,""
)</f>
        <v/>
      </c>
      <c r="AM190" s="198">
        <f t="shared" si="6"/>
        <v>6</v>
      </c>
    </row>
    <row r="191" spans="1:39" ht="18" customHeight="1">
      <c r="A191" s="81"/>
      <c r="B191" s="205" t="str">
        <f>_xlfn.LET(_xlpm.var,◆관리정보!B191,IF(_xlpm.var&lt;&gt;0,_xlpm.var,""))</f>
        <v>지앤지2</v>
      </c>
      <c r="C191" s="82">
        <f>_xlfn.LET(_xlpm.var,◆관리정보!C191,IF(_xlpm.var&lt;&gt;0,_xlpm.var,""))</f>
        <v>302</v>
      </c>
      <c r="D191" s="83" t="s">
        <v>851</v>
      </c>
      <c r="E191" s="84" t="str">
        <f t="shared" si="5"/>
        <v>지앤지2302</v>
      </c>
      <c r="F191" s="85">
        <v>46110</v>
      </c>
      <c r="G191" s="229"/>
      <c r="H191" s="229"/>
      <c r="I191" s="229"/>
      <c r="J191" s="229">
        <f>2225030-2000000-250030</f>
        <v>-25000</v>
      </c>
      <c r="K191" s="218"/>
      <c r="L191" s="87">
        <v>45351</v>
      </c>
      <c r="M191" s="87">
        <v>45440</v>
      </c>
      <c r="N191" s="82" t="s">
        <v>852</v>
      </c>
      <c r="O191" s="82" t="s">
        <v>853</v>
      </c>
      <c r="P191" s="241">
        <v>1900000</v>
      </c>
      <c r="Q191" s="241">
        <v>1900000</v>
      </c>
      <c r="R191" s="82"/>
      <c r="S191" s="241">
        <v>120000</v>
      </c>
      <c r="T191" s="82" t="s">
        <v>40</v>
      </c>
      <c r="U191" s="241">
        <v>25000</v>
      </c>
      <c r="V191" s="82" t="s">
        <v>40</v>
      </c>
      <c r="W191" s="88">
        <v>25000</v>
      </c>
      <c r="X191" s="82" t="s">
        <v>40</v>
      </c>
      <c r="Y191" s="89">
        <v>100000</v>
      </c>
      <c r="Z191" s="82"/>
      <c r="AA191" s="220" t="s">
        <v>823</v>
      </c>
      <c r="AB191" s="241">
        <v>200000</v>
      </c>
      <c r="AC191" s="241">
        <v>200000</v>
      </c>
      <c r="AD191" s="241"/>
      <c r="AE191" s="82" t="s">
        <v>773</v>
      </c>
      <c r="AF191" s="82" t="s">
        <v>854</v>
      </c>
      <c r="AG191" s="90"/>
      <c r="AH191" s="90"/>
      <c r="AI191" s="90" t="s">
        <v>855</v>
      </c>
      <c r="AJ191" s="90"/>
      <c r="AK191" s="82"/>
      <c r="AL191" s="82" t="str" cm="1">
        <f t="array" aca="1" ref="AL191" ca="1">_xlfn.IFS(
 AND($AK191&lt;&gt;"", M191&lt;&gt;0, M191&lt;=EDATE(TODAY(),2)),"도래",
 AND($AK191&lt;&gt;"", M191&lt;&gt;0, M191&lt;=EDATE(TODAY(),3)),"예정",
 AND($AK191&lt;&gt;"", M191&lt;&gt;0, M191&lt;=EDATE(TODAY(),6)),"관심",
 TRUE,""
)</f>
        <v/>
      </c>
      <c r="AM191" s="198">
        <f t="shared" si="6"/>
        <v>29</v>
      </c>
    </row>
    <row r="192" spans="1:39" ht="18" customHeight="1">
      <c r="A192" s="81"/>
      <c r="B192" s="205" t="str">
        <f>_xlfn.LET(_xlpm.var,◆관리정보!B192,IF(_xlpm.var&lt;&gt;0,_xlpm.var,""))</f>
        <v>지앤지2</v>
      </c>
      <c r="C192" s="82">
        <f>_xlfn.LET(_xlpm.var,◆관리정보!C192,IF(_xlpm.var&lt;&gt;0,_xlpm.var,""))</f>
        <v>303</v>
      </c>
      <c r="D192" s="83" t="s">
        <v>856</v>
      </c>
      <c r="E192" s="84" t="str">
        <f t="shared" si="5"/>
        <v>지앤지2303</v>
      </c>
      <c r="F192" s="85">
        <v>46099</v>
      </c>
      <c r="G192" s="229"/>
      <c r="H192" s="229"/>
      <c r="I192" s="229"/>
      <c r="J192" s="229">
        <v>158530</v>
      </c>
      <c r="K192" s="218"/>
      <c r="L192" s="87">
        <v>43573</v>
      </c>
      <c r="M192" s="87">
        <v>43663</v>
      </c>
      <c r="N192" s="82" t="s">
        <v>857</v>
      </c>
      <c r="O192" s="82" t="s">
        <v>858</v>
      </c>
      <c r="P192" s="241">
        <v>1800000</v>
      </c>
      <c r="Q192" s="241">
        <v>1800000</v>
      </c>
      <c r="R192" s="82"/>
      <c r="S192" s="241">
        <v>100000</v>
      </c>
      <c r="T192" s="82" t="s">
        <v>40</v>
      </c>
      <c r="U192" s="241"/>
      <c r="V192" s="82"/>
      <c r="W192" s="88"/>
      <c r="X192" s="82"/>
      <c r="Y192" s="89"/>
      <c r="Z192" s="82"/>
      <c r="AA192" s="220"/>
      <c r="AB192" s="241">
        <v>200000</v>
      </c>
      <c r="AC192" s="241">
        <v>200000</v>
      </c>
      <c r="AD192" s="241">
        <v>100000</v>
      </c>
      <c r="AE192" s="82" t="s">
        <v>859</v>
      </c>
      <c r="AF192" s="82" t="s">
        <v>830</v>
      </c>
      <c r="AG192" s="90"/>
      <c r="AH192" s="90"/>
      <c r="AI192" s="90" t="s">
        <v>860</v>
      </c>
      <c r="AJ192" s="90"/>
      <c r="AK192" s="82"/>
      <c r="AL192" s="82" t="str" cm="1">
        <f t="array" aca="1" ref="AL192" ca="1">_xlfn.IFS(
 AND($AK192&lt;&gt;"", M192&lt;&gt;0, M192&lt;=EDATE(TODAY(),2)),"도래",
 AND($AK192&lt;&gt;"", M192&lt;&gt;0, M192&lt;=EDATE(TODAY(),3)),"예정",
 AND($AK192&lt;&gt;"", M192&lt;&gt;0, M192&lt;=EDATE(TODAY(),6)),"관심",
 TRUE,""
)</f>
        <v/>
      </c>
      <c r="AM192" s="198">
        <f t="shared" si="6"/>
        <v>18</v>
      </c>
    </row>
    <row r="193" spans="1:39" ht="18" customHeight="1">
      <c r="A193" s="81"/>
      <c r="B193" s="205" t="str">
        <f>_xlfn.LET(_xlpm.var,◆관리정보!B193,IF(_xlpm.var&lt;&gt;0,_xlpm.var,""))</f>
        <v>지앤지2</v>
      </c>
      <c r="C193" s="82">
        <f>_xlfn.LET(_xlpm.var,◆관리정보!C193,IF(_xlpm.var&lt;&gt;0,_xlpm.var,""))</f>
        <v>304</v>
      </c>
      <c r="D193" s="83" t="s">
        <v>861</v>
      </c>
      <c r="E193" s="84" t="str">
        <f t="shared" si="5"/>
        <v>지앤지2304</v>
      </c>
      <c r="F193" s="85">
        <v>46100</v>
      </c>
      <c r="G193" s="229"/>
      <c r="H193" s="229"/>
      <c r="I193" s="229"/>
      <c r="J193" s="229">
        <v>2324480</v>
      </c>
      <c r="K193" s="218"/>
      <c r="L193" s="87">
        <v>44976</v>
      </c>
      <c r="M193" s="87">
        <v>45064</v>
      </c>
      <c r="N193" s="82" t="s">
        <v>862</v>
      </c>
      <c r="O193" s="82" t="s">
        <v>863</v>
      </c>
      <c r="P193" s="241">
        <v>1950000</v>
      </c>
      <c r="Q193" s="241">
        <v>1950000</v>
      </c>
      <c r="R193" s="82"/>
      <c r="S193" s="241">
        <v>100000</v>
      </c>
      <c r="T193" s="82" t="s">
        <v>40</v>
      </c>
      <c r="U193" s="241">
        <v>25000</v>
      </c>
      <c r="V193" s="82" t="s">
        <v>40</v>
      </c>
      <c r="W193" s="88">
        <v>25000</v>
      </c>
      <c r="X193" s="82" t="s">
        <v>40</v>
      </c>
      <c r="Y193" s="89">
        <v>100000</v>
      </c>
      <c r="Z193" s="82"/>
      <c r="AA193" s="220" t="s">
        <v>823</v>
      </c>
      <c r="AB193" s="241">
        <v>150000</v>
      </c>
      <c r="AC193" s="241">
        <v>200000</v>
      </c>
      <c r="AD193" s="241"/>
      <c r="AE193" s="82" t="s">
        <v>376</v>
      </c>
      <c r="AF193" s="82" t="s">
        <v>830</v>
      </c>
      <c r="AG193" s="90"/>
      <c r="AH193" s="90"/>
      <c r="AI193" s="315" t="s">
        <v>864</v>
      </c>
      <c r="AJ193" s="90"/>
      <c r="AK193" s="82"/>
      <c r="AL193" s="82" t="str" cm="1">
        <f t="array" aca="1" ref="AL193" ca="1">_xlfn.IFS(
 AND($AK193&lt;&gt;"", M193&lt;&gt;0, M193&lt;=EDATE(TODAY(),2)),"도래",
 AND($AK193&lt;&gt;"", M193&lt;&gt;0, M193&lt;=EDATE(TODAY(),3)),"예정",
 AND($AK193&lt;&gt;"", M193&lt;&gt;0, M193&lt;=EDATE(TODAY(),6)),"관심",
 TRUE,""
)</f>
        <v/>
      </c>
      <c r="AM193" s="198">
        <f t="shared" si="6"/>
        <v>19</v>
      </c>
    </row>
    <row r="194" spans="1:39" ht="18" customHeight="1">
      <c r="A194" s="81"/>
      <c r="B194" s="205" t="str">
        <f>_xlfn.LET(_xlpm.var,◆관리정보!B194,IF(_xlpm.var&lt;&gt;0,_xlpm.var,""))</f>
        <v>지앤지2</v>
      </c>
      <c r="C194" s="82">
        <f>_xlfn.LET(_xlpm.var,◆관리정보!C194,IF(_xlpm.var&lt;&gt;0,_xlpm.var,""))</f>
        <v>401</v>
      </c>
      <c r="D194" s="83" t="s">
        <v>865</v>
      </c>
      <c r="E194" s="84" t="str">
        <f t="shared" si="5"/>
        <v>지앤지2401</v>
      </c>
      <c r="F194" s="85">
        <v>46125</v>
      </c>
      <c r="G194" s="229"/>
      <c r="H194" s="229"/>
      <c r="I194" s="229"/>
      <c r="J194" s="229"/>
      <c r="K194" s="218"/>
      <c r="L194" s="87">
        <v>45851</v>
      </c>
      <c r="M194" s="87">
        <v>46580</v>
      </c>
      <c r="N194" s="82" t="s">
        <v>866</v>
      </c>
      <c r="O194" s="82" t="s">
        <v>867</v>
      </c>
      <c r="P194" s="241">
        <v>200000000</v>
      </c>
      <c r="Q194" s="241">
        <v>2800000</v>
      </c>
      <c r="R194" s="82"/>
      <c r="S194" s="241"/>
      <c r="T194" s="82"/>
      <c r="U194" s="241"/>
      <c r="V194" s="82"/>
      <c r="W194" s="88"/>
      <c r="X194" s="82"/>
      <c r="Y194" s="89"/>
      <c r="Z194" s="82"/>
      <c r="AA194" s="220"/>
      <c r="AB194" s="241">
        <v>500000</v>
      </c>
      <c r="AC194" s="241"/>
      <c r="AD194" s="241"/>
      <c r="AE194" s="82"/>
      <c r="AF194" s="82"/>
      <c r="AG194" s="90"/>
      <c r="AH194" s="90"/>
      <c r="AI194" s="90"/>
      <c r="AJ194" s="90"/>
      <c r="AK194" s="82"/>
      <c r="AL194" s="82" t="str" cm="1">
        <f t="array" aca="1" ref="AL194" ca="1">_xlfn.IFS(
 AND($AK194&lt;&gt;"", M194&lt;&gt;0, M194&lt;=EDATE(TODAY(),2)),"도래",
 AND($AK194&lt;&gt;"", M194&lt;&gt;0, M194&lt;=EDATE(TODAY(),3)),"예정",
 AND($AK194&lt;&gt;"", M194&lt;&gt;0, M194&lt;=EDATE(TODAY(),6)),"관심",
 TRUE,""
)</f>
        <v/>
      </c>
      <c r="AM194" s="198">
        <f t="shared" si="6"/>
        <v>13</v>
      </c>
    </row>
    <row r="195" spans="1:39" ht="18" customHeight="1">
      <c r="A195" s="81"/>
      <c r="B195" s="205" t="str">
        <f>_xlfn.LET(_xlpm.var,◆관리정보!B195,IF(_xlpm.var&lt;&gt;0,_xlpm.var,""))</f>
        <v>풍림빌딩</v>
      </c>
      <c r="C195" s="82" t="str">
        <f>_xlfn.LET(_xlpm.var,◆관리정보!C195,IF(_xlpm.var&lt;&gt;0,_xlpm.var,""))</f>
        <v>B01</v>
      </c>
      <c r="D195" s="83" t="s">
        <v>868</v>
      </c>
      <c r="E195" s="84" t="str">
        <f t="shared" si="5"/>
        <v>풍림빌딩B01</v>
      </c>
      <c r="F195" s="85">
        <v>46113</v>
      </c>
      <c r="G195" s="229"/>
      <c r="H195" s="229"/>
      <c r="I195" s="229"/>
      <c r="J195" s="229"/>
      <c r="K195" s="318"/>
      <c r="L195" s="87">
        <v>44356</v>
      </c>
      <c r="M195" s="87">
        <v>46547</v>
      </c>
      <c r="N195" s="82" t="s">
        <v>869</v>
      </c>
      <c r="O195" s="82" t="s">
        <v>870</v>
      </c>
      <c r="P195" s="241">
        <v>30000000</v>
      </c>
      <c r="Q195" s="241">
        <v>2100000</v>
      </c>
      <c r="R195" s="82"/>
      <c r="S195" s="241">
        <v>200000</v>
      </c>
      <c r="T195" s="82" t="s">
        <v>157</v>
      </c>
      <c r="U195" s="241" t="s">
        <v>630</v>
      </c>
      <c r="V195" s="82"/>
      <c r="W195" s="88" t="s">
        <v>630</v>
      </c>
      <c r="X195" s="82"/>
      <c r="Y195" s="89"/>
      <c r="Z195" s="82"/>
      <c r="AA195" s="220"/>
      <c r="AB195" s="241"/>
      <c r="AC195" s="241"/>
      <c r="AD195" s="241"/>
      <c r="AE195" s="82" t="s">
        <v>710</v>
      </c>
      <c r="AF195" s="82"/>
      <c r="AG195" s="90"/>
      <c r="AH195" s="90"/>
      <c r="AI195" s="90" t="s">
        <v>871</v>
      </c>
      <c r="AJ195" s="90"/>
      <c r="AK195" s="82"/>
      <c r="AL195" s="82" t="str" cm="1">
        <f t="array" aca="1" ref="AL195" ca="1">_xlfn.IFS(
 AND($AK195&lt;&gt;"", M195&lt;&gt;0, M195&lt;=EDATE(TODAY(),2)),"도래",
 AND($AK195&lt;&gt;"", M195&lt;&gt;0, M195&lt;=EDATE(TODAY(),3)),"예정",
 AND($AK195&lt;&gt;"", M195&lt;&gt;0, M195&lt;=EDATE(TODAY(),6)),"관심",
 TRUE,""
)</f>
        <v/>
      </c>
      <c r="AM195" s="198">
        <f t="shared" si="6"/>
        <v>9</v>
      </c>
    </row>
    <row r="196" spans="1:39" ht="18" customHeight="1">
      <c r="A196" s="81"/>
      <c r="B196" s="205" t="str">
        <f>_xlfn.LET(_xlpm.var,◆관리정보!B196,IF(_xlpm.var&lt;&gt;0,_xlpm.var,""))</f>
        <v>풍림빌딩</v>
      </c>
      <c r="C196" s="82">
        <f>_xlfn.LET(_xlpm.var,◆관리정보!C196,IF(_xlpm.var&lt;&gt;0,_xlpm.var,""))</f>
        <v>101</v>
      </c>
      <c r="D196" s="83" t="s">
        <v>872</v>
      </c>
      <c r="E196" s="84" t="str">
        <f t="shared" ref="E196:E259" si="7">_xlfn.CONCAT(B196,C196)</f>
        <v>풍림빌딩101</v>
      </c>
      <c r="F196" s="85">
        <v>46113</v>
      </c>
      <c r="G196" s="229"/>
      <c r="H196" s="229"/>
      <c r="I196" s="229">
        <v>-553003</v>
      </c>
      <c r="J196" s="229"/>
      <c r="K196" s="218"/>
      <c r="L196" s="87">
        <v>45825</v>
      </c>
      <c r="M196" s="87">
        <v>46554</v>
      </c>
      <c r="N196" s="82" t="s">
        <v>873</v>
      </c>
      <c r="O196" s="82" t="s">
        <v>874</v>
      </c>
      <c r="P196" s="241">
        <v>100000000</v>
      </c>
      <c r="Q196" s="241">
        <v>4000000</v>
      </c>
      <c r="R196" s="82"/>
      <c r="S196" s="241">
        <v>300000</v>
      </c>
      <c r="T196" s="82" t="s">
        <v>157</v>
      </c>
      <c r="U196" s="241" t="s">
        <v>630</v>
      </c>
      <c r="V196" s="82"/>
      <c r="W196" s="88" t="s">
        <v>630</v>
      </c>
      <c r="X196" s="82"/>
      <c r="Y196" s="89"/>
      <c r="Z196" s="82"/>
      <c r="AA196" s="220"/>
      <c r="AB196" s="241"/>
      <c r="AC196" s="241"/>
      <c r="AD196" s="241"/>
      <c r="AE196" s="82" t="s">
        <v>875</v>
      </c>
      <c r="AF196" s="82" t="s">
        <v>876</v>
      </c>
      <c r="AG196" s="90"/>
      <c r="AH196" s="90"/>
      <c r="AI196" s="90" t="s">
        <v>877</v>
      </c>
      <c r="AJ196" s="90"/>
      <c r="AK196" s="82"/>
      <c r="AL196" s="82" t="str" cm="1">
        <f t="array" aca="1" ref="AL196" ca="1">_xlfn.IFS(
 AND($AK196&lt;&gt;"", M196&lt;&gt;0, M196&lt;=EDATE(TODAY(),2)),"도래",
 AND($AK196&lt;&gt;"", M196&lt;&gt;0, M196&lt;=EDATE(TODAY(),3)),"예정",
 AND($AK196&lt;&gt;"", M196&lt;&gt;0, M196&lt;=EDATE(TODAY(),6)),"관심",
 TRUE,""
)</f>
        <v/>
      </c>
      <c r="AM196" s="198">
        <f t="shared" si="6"/>
        <v>17</v>
      </c>
    </row>
    <row r="197" spans="1:39" ht="18" customHeight="1">
      <c r="A197" s="81"/>
      <c r="B197" s="205" t="str">
        <f>_xlfn.LET(_xlpm.var,◆관리정보!B197,IF(_xlpm.var&lt;&gt;0,_xlpm.var,""))</f>
        <v>풍림빌딩</v>
      </c>
      <c r="C197" s="82">
        <f>_xlfn.LET(_xlpm.var,◆관리정보!C197,IF(_xlpm.var&lt;&gt;0,_xlpm.var,""))</f>
        <v>102</v>
      </c>
      <c r="D197" s="83" t="s">
        <v>878</v>
      </c>
      <c r="E197" s="84" t="str">
        <f t="shared" si="7"/>
        <v>풍림빌딩102</v>
      </c>
      <c r="F197" s="85">
        <v>46113</v>
      </c>
      <c r="G197" s="229"/>
      <c r="H197" s="229"/>
      <c r="I197" s="229"/>
      <c r="J197" s="229"/>
      <c r="K197" s="218"/>
      <c r="L197" s="87">
        <v>45046</v>
      </c>
      <c r="M197" s="87">
        <v>46506</v>
      </c>
      <c r="N197" s="82" t="s">
        <v>879</v>
      </c>
      <c r="O197" s="82" t="s">
        <v>880</v>
      </c>
      <c r="P197" s="241">
        <v>50000000</v>
      </c>
      <c r="Q197" s="241">
        <v>3000000</v>
      </c>
      <c r="R197" s="82"/>
      <c r="S197" s="241"/>
      <c r="T197" s="82" t="s">
        <v>157</v>
      </c>
      <c r="U197" s="241" t="s">
        <v>630</v>
      </c>
      <c r="V197" s="82"/>
      <c r="W197" s="88" t="s">
        <v>630</v>
      </c>
      <c r="X197" s="82"/>
      <c r="Y197" s="89"/>
      <c r="Z197" s="82"/>
      <c r="AA197" s="220"/>
      <c r="AB197" s="241"/>
      <c r="AC197" s="241"/>
      <c r="AD197" s="241"/>
      <c r="AE197" s="82" t="s">
        <v>710</v>
      </c>
      <c r="AF197" s="82" t="s">
        <v>881</v>
      </c>
      <c r="AG197" s="90"/>
      <c r="AH197" s="90"/>
      <c r="AI197" s="90" t="s">
        <v>882</v>
      </c>
      <c r="AJ197" s="90"/>
      <c r="AK197" s="82"/>
      <c r="AL197" s="82" t="str" cm="1">
        <f t="array" aca="1" ref="AL197" ca="1">_xlfn.IFS(
 AND($AK197&lt;&gt;"", M197&lt;&gt;0, M197&lt;=EDATE(TODAY(),2)),"도래",
 AND($AK197&lt;&gt;"", M197&lt;&gt;0, M197&lt;=EDATE(TODAY(),3)),"예정",
 AND($AK197&lt;&gt;"", M197&lt;&gt;0, M197&lt;=EDATE(TODAY(),6)),"관심",
 TRUE,""
)</f>
        <v/>
      </c>
      <c r="AM197" s="198">
        <f t="shared" ref="AM197:AM260" si="8">DAY(L197)</f>
        <v>30</v>
      </c>
    </row>
    <row r="198" spans="1:39" ht="18" customHeight="1">
      <c r="A198" s="81"/>
      <c r="B198" s="205" t="str">
        <f>_xlfn.LET(_xlpm.var,◆관리정보!B198,IF(_xlpm.var&lt;&gt;0,_xlpm.var,""))</f>
        <v>풍림빌딩</v>
      </c>
      <c r="C198" s="82" t="str">
        <f>_xlfn.LET(_xlpm.var,◆관리정보!C198,IF(_xlpm.var&lt;&gt;0,_xlpm.var,""))</f>
        <v>2층</v>
      </c>
      <c r="D198" s="83" t="s">
        <v>883</v>
      </c>
      <c r="E198" s="84" t="str">
        <f t="shared" si="7"/>
        <v>풍림빌딩2층</v>
      </c>
      <c r="F198" s="85">
        <v>46054</v>
      </c>
      <c r="G198" s="229">
        <f>3751298+3844624-3751298</f>
        <v>3844624</v>
      </c>
      <c r="H198" s="229"/>
      <c r="I198" s="229">
        <v>3764335</v>
      </c>
      <c r="J198" s="229"/>
      <c r="K198" s="218"/>
      <c r="L198" s="87">
        <v>43739</v>
      </c>
      <c r="M198" s="87">
        <v>46276</v>
      </c>
      <c r="N198" s="82" t="s">
        <v>884</v>
      </c>
      <c r="O198" s="82" t="s">
        <v>885</v>
      </c>
      <c r="P198" s="241">
        <v>50000000</v>
      </c>
      <c r="Q198" s="241">
        <v>3100000</v>
      </c>
      <c r="R198" s="82"/>
      <c r="S198" s="241">
        <v>300000</v>
      </c>
      <c r="T198" s="82" t="s">
        <v>40</v>
      </c>
      <c r="U198" s="241" t="s">
        <v>630</v>
      </c>
      <c r="V198" s="82"/>
      <c r="W198" s="88" t="s">
        <v>630</v>
      </c>
      <c r="X198" s="82"/>
      <c r="Y198" s="89"/>
      <c r="Z198" s="82"/>
      <c r="AA198" s="220"/>
      <c r="AB198" s="241"/>
      <c r="AC198" s="241"/>
      <c r="AD198" s="241"/>
      <c r="AE198" s="82" t="s">
        <v>886</v>
      </c>
      <c r="AF198" s="82"/>
      <c r="AG198" s="90"/>
      <c r="AH198" s="90"/>
      <c r="AI198" s="90" t="s">
        <v>40</v>
      </c>
      <c r="AJ198" s="90"/>
      <c r="AK198" s="82"/>
      <c r="AL198" s="82" t="str" cm="1">
        <f t="array" aca="1" ref="AL198" ca="1">_xlfn.IFS(
 AND($AK198&lt;&gt;"", M198&lt;&gt;0, M198&lt;=EDATE(TODAY(),2)),"도래",
 AND($AK198&lt;&gt;"", M198&lt;&gt;0, M198&lt;=EDATE(TODAY(),3)),"예정",
 AND($AK198&lt;&gt;"", M198&lt;&gt;0, M198&lt;=EDATE(TODAY(),6)),"관심",
 TRUE,""
)</f>
        <v/>
      </c>
      <c r="AM198" s="198">
        <f t="shared" si="8"/>
        <v>1</v>
      </c>
    </row>
    <row r="199" spans="1:39" ht="18" customHeight="1">
      <c r="A199" s="81"/>
      <c r="B199" s="205" t="str">
        <f>_xlfn.LET(_xlpm.var,◆관리정보!B199,IF(_xlpm.var&lt;&gt;0,_xlpm.var,""))</f>
        <v>풍림빌딩</v>
      </c>
      <c r="C199" s="82">
        <f>_xlfn.LET(_xlpm.var,◆관리정보!C199,IF(_xlpm.var&lt;&gt;0,_xlpm.var,""))</f>
        <v>301</v>
      </c>
      <c r="D199" s="83" t="s">
        <v>887</v>
      </c>
      <c r="E199" s="84" t="str">
        <f t="shared" si="7"/>
        <v>풍림빌딩301</v>
      </c>
      <c r="F199" s="85">
        <v>46113</v>
      </c>
      <c r="G199" s="229"/>
      <c r="H199" s="229"/>
      <c r="I199" s="229"/>
      <c r="J199" s="229"/>
      <c r="K199" s="218"/>
      <c r="L199" s="87">
        <v>43160</v>
      </c>
      <c r="M199" s="87">
        <v>46082</v>
      </c>
      <c r="N199" s="82" t="s">
        <v>888</v>
      </c>
      <c r="O199" s="82" t="s">
        <v>889</v>
      </c>
      <c r="P199" s="241">
        <v>37000000</v>
      </c>
      <c r="Q199" s="241">
        <v>2100000</v>
      </c>
      <c r="R199" s="82"/>
      <c r="S199" s="241">
        <v>184500</v>
      </c>
      <c r="T199" s="82" t="s">
        <v>157</v>
      </c>
      <c r="U199" s="241" t="s">
        <v>630</v>
      </c>
      <c r="V199" s="82"/>
      <c r="W199" s="88" t="s">
        <v>630</v>
      </c>
      <c r="X199" s="82"/>
      <c r="Y199" s="89"/>
      <c r="Z199" s="82"/>
      <c r="AA199" s="220"/>
      <c r="AB199" s="241"/>
      <c r="AC199" s="241"/>
      <c r="AD199" s="241"/>
      <c r="AE199" s="82" t="s">
        <v>710</v>
      </c>
      <c r="AF199" s="82"/>
      <c r="AG199" s="90"/>
      <c r="AH199" s="90"/>
      <c r="AI199" s="90" t="s">
        <v>890</v>
      </c>
      <c r="AJ199" s="90"/>
      <c r="AK199" s="82"/>
      <c r="AL199" s="82" t="str" cm="1">
        <f t="array" aca="1" ref="AL199" ca="1">_xlfn.IFS(
 AND($AK199&lt;&gt;"", M199&lt;&gt;0, M199&lt;=EDATE(TODAY(),2)),"도래",
 AND($AK199&lt;&gt;"", M199&lt;&gt;0, M199&lt;=EDATE(TODAY(),3)),"예정",
 AND($AK199&lt;&gt;"", M199&lt;&gt;0, M199&lt;=EDATE(TODAY(),6)),"관심",
 TRUE,""
)</f>
        <v/>
      </c>
      <c r="AM199" s="198">
        <f t="shared" si="8"/>
        <v>1</v>
      </c>
    </row>
    <row r="200" spans="1:39" ht="18" customHeight="1">
      <c r="A200" s="81"/>
      <c r="B200" s="205" t="str">
        <f>_xlfn.LET(_xlpm.var,◆관리정보!B200,IF(_xlpm.var&lt;&gt;0,_xlpm.var,""))</f>
        <v>풍림빌딩</v>
      </c>
      <c r="C200" s="82">
        <f>_xlfn.LET(_xlpm.var,◆관리정보!C200,IF(_xlpm.var&lt;&gt;0,_xlpm.var,""))</f>
        <v>302</v>
      </c>
      <c r="D200" s="83" t="s">
        <v>891</v>
      </c>
      <c r="E200" s="84" t="str">
        <f t="shared" si="7"/>
        <v>풍림빌딩302</v>
      </c>
      <c r="F200" s="85">
        <v>46113</v>
      </c>
      <c r="G200" s="229"/>
      <c r="H200" s="229"/>
      <c r="I200" s="229"/>
      <c r="J200" s="229"/>
      <c r="K200" s="218"/>
      <c r="L200" s="87">
        <v>44725</v>
      </c>
      <c r="M200" s="87">
        <v>46185</v>
      </c>
      <c r="N200" s="82" t="s">
        <v>892</v>
      </c>
      <c r="O200" s="82" t="s">
        <v>893</v>
      </c>
      <c r="P200" s="241">
        <v>10000000</v>
      </c>
      <c r="Q200" s="241">
        <v>1000000</v>
      </c>
      <c r="R200" s="82"/>
      <c r="S200" s="241">
        <v>100000</v>
      </c>
      <c r="T200" s="82" t="s">
        <v>157</v>
      </c>
      <c r="U200" s="241" t="s">
        <v>630</v>
      </c>
      <c r="V200" s="82"/>
      <c r="W200" s="88" t="s">
        <v>630</v>
      </c>
      <c r="X200" s="82"/>
      <c r="Y200" s="89"/>
      <c r="Z200" s="82"/>
      <c r="AA200" s="220"/>
      <c r="AB200" s="241"/>
      <c r="AC200" s="241"/>
      <c r="AD200" s="241"/>
      <c r="AE200" s="82" t="s">
        <v>710</v>
      </c>
      <c r="AF200" s="82" t="s">
        <v>894</v>
      </c>
      <c r="AG200" s="90"/>
      <c r="AH200" s="90"/>
      <c r="AI200" s="90" t="s">
        <v>895</v>
      </c>
      <c r="AJ200" s="90"/>
      <c r="AK200" s="82"/>
      <c r="AL200" s="82" t="str" cm="1">
        <f t="array" aca="1" ref="AL200" ca="1">_xlfn.IFS(
 AND($AK200&lt;&gt;"", M200&lt;&gt;0, M200&lt;=EDATE(TODAY(),2)),"도래",
 AND($AK200&lt;&gt;"", M200&lt;&gt;0, M200&lt;=EDATE(TODAY(),3)),"예정",
 AND($AK200&lt;&gt;"", M200&lt;&gt;0, M200&lt;=EDATE(TODAY(),6)),"관심",
 TRUE,""
)</f>
        <v/>
      </c>
      <c r="AM200" s="198">
        <f t="shared" si="8"/>
        <v>13</v>
      </c>
    </row>
    <row r="201" spans="1:39" ht="18" customHeight="1">
      <c r="A201" s="81"/>
      <c r="B201" s="205" t="str">
        <f>_xlfn.LET(_xlpm.var,◆관리정보!B201,IF(_xlpm.var&lt;&gt;0,_xlpm.var,""))</f>
        <v>풍림빌딩</v>
      </c>
      <c r="C201" s="82" t="str">
        <f>_xlfn.LET(_xlpm.var,◆관리정보!C201,IF(_xlpm.var&lt;&gt;0,_xlpm.var,""))</f>
        <v>4층</v>
      </c>
      <c r="D201" s="83" t="s">
        <v>896</v>
      </c>
      <c r="E201" s="84" t="str">
        <f t="shared" si="7"/>
        <v>풍림빌딩4층</v>
      </c>
      <c r="F201" s="85">
        <v>46113</v>
      </c>
      <c r="G201" s="229"/>
      <c r="H201" s="229"/>
      <c r="I201" s="229"/>
      <c r="J201" s="229"/>
      <c r="K201" s="218"/>
      <c r="L201" s="87">
        <v>44743</v>
      </c>
      <c r="M201" s="87">
        <v>46568</v>
      </c>
      <c r="N201" s="82" t="s">
        <v>897</v>
      </c>
      <c r="O201" s="82" t="s">
        <v>898</v>
      </c>
      <c r="P201" s="241">
        <v>300000000</v>
      </c>
      <c r="Q201" s="241">
        <v>550000</v>
      </c>
      <c r="R201" s="82"/>
      <c r="S201" s="241">
        <v>400000</v>
      </c>
      <c r="T201" s="82" t="s">
        <v>157</v>
      </c>
      <c r="U201" s="241" t="s">
        <v>630</v>
      </c>
      <c r="V201" s="82"/>
      <c r="W201" s="88" t="s">
        <v>630</v>
      </c>
      <c r="X201" s="82"/>
      <c r="Y201" s="89"/>
      <c r="Z201" s="82"/>
      <c r="AA201" s="220"/>
      <c r="AB201" s="241"/>
      <c r="AC201" s="241"/>
      <c r="AD201" s="241"/>
      <c r="AE201" s="82" t="s">
        <v>710</v>
      </c>
      <c r="AF201" s="82"/>
      <c r="AG201" s="90"/>
      <c r="AH201" s="90"/>
      <c r="AI201" s="90" t="s">
        <v>899</v>
      </c>
      <c r="AJ201" s="90"/>
      <c r="AK201" s="82"/>
      <c r="AL201" s="82" t="str" cm="1">
        <f t="array" aca="1" ref="AL201" ca="1">_xlfn.IFS(
 AND($AK201&lt;&gt;"", M201&lt;&gt;0, M201&lt;=EDATE(TODAY(),2)),"도래",
 AND($AK201&lt;&gt;"", M201&lt;&gt;0, M201&lt;=EDATE(TODAY(),3)),"예정",
 AND($AK201&lt;&gt;"", M201&lt;&gt;0, M201&lt;=EDATE(TODAY(),6)),"관심",
 TRUE,""
)</f>
        <v/>
      </c>
      <c r="AM201" s="198">
        <f t="shared" si="8"/>
        <v>1</v>
      </c>
    </row>
    <row r="202" spans="1:39" ht="18" customHeight="1">
      <c r="A202" s="81"/>
      <c r="B202" s="205" t="str">
        <f>_xlfn.LET(_xlpm.var,◆관리정보!B202,IF(_xlpm.var&lt;&gt;0,_xlpm.var,""))</f>
        <v>토브미하우스</v>
      </c>
      <c r="C202" s="82">
        <f>_xlfn.LET(_xlpm.var,◆관리정보!C202,IF(_xlpm.var&lt;&gt;0,_xlpm.var,""))</f>
        <v>201</v>
      </c>
      <c r="D202" s="83" t="s">
        <v>900</v>
      </c>
      <c r="E202" s="84" t="str">
        <f t="shared" si="7"/>
        <v>토브미하우스201</v>
      </c>
      <c r="F202" s="85">
        <v>46107</v>
      </c>
      <c r="G202" s="229"/>
      <c r="H202" s="229"/>
      <c r="I202" s="229"/>
      <c r="J202" s="229"/>
      <c r="K202" s="218"/>
      <c r="L202" s="87">
        <v>43947</v>
      </c>
      <c r="M202" s="87">
        <v>44037</v>
      </c>
      <c r="N202" s="82" t="s">
        <v>901</v>
      </c>
      <c r="O202" s="82" t="s">
        <v>902</v>
      </c>
      <c r="P202" s="241">
        <v>1680000</v>
      </c>
      <c r="Q202" s="241">
        <v>1750000</v>
      </c>
      <c r="R202" s="82"/>
      <c r="S202" s="241">
        <v>100000</v>
      </c>
      <c r="T202" s="82" t="s">
        <v>40</v>
      </c>
      <c r="U202" s="241">
        <v>15000</v>
      </c>
      <c r="V202" s="82" t="s">
        <v>40</v>
      </c>
      <c r="W202" s="88">
        <v>25000</v>
      </c>
      <c r="X202" s="82" t="s">
        <v>40</v>
      </c>
      <c r="Y202" s="89"/>
      <c r="Z202" s="82"/>
      <c r="AA202" s="220"/>
      <c r="AB202" s="241">
        <v>150000</v>
      </c>
      <c r="AC202" s="241">
        <v>250000</v>
      </c>
      <c r="AD202" s="241">
        <v>100000</v>
      </c>
      <c r="AE202" s="82" t="s">
        <v>903</v>
      </c>
      <c r="AF202" s="82" t="s">
        <v>904</v>
      </c>
      <c r="AG202" s="90"/>
      <c r="AH202" s="90"/>
      <c r="AI202" s="90" t="s">
        <v>905</v>
      </c>
      <c r="AJ202" s="90"/>
      <c r="AK202" s="82"/>
      <c r="AL202" s="82" t="str" cm="1">
        <f t="array" aca="1" ref="AL202" ca="1">_xlfn.IFS(
 AND($AK202&lt;&gt;"", M202&lt;&gt;0, M202&lt;=EDATE(TODAY(),2)),"도래",
 AND($AK202&lt;&gt;"", M202&lt;&gt;0, M202&lt;=EDATE(TODAY(),3)),"예정",
 AND($AK202&lt;&gt;"", M202&lt;&gt;0, M202&lt;=EDATE(TODAY(),6)),"관심",
 TRUE,""
)</f>
        <v/>
      </c>
      <c r="AM202" s="198">
        <f t="shared" si="8"/>
        <v>26</v>
      </c>
    </row>
    <row r="203" spans="1:39" ht="18" customHeight="1">
      <c r="A203" s="81"/>
      <c r="B203" s="205" t="str">
        <f>_xlfn.LET(_xlpm.var,◆관리정보!B203,IF(_xlpm.var&lt;&gt;0,_xlpm.var,""))</f>
        <v>토브미하우스</v>
      </c>
      <c r="C203" s="82">
        <f>_xlfn.LET(_xlpm.var,◆관리정보!C203,IF(_xlpm.var&lt;&gt;0,_xlpm.var,""))</f>
        <v>202</v>
      </c>
      <c r="D203" s="83" t="s">
        <v>906</v>
      </c>
      <c r="E203" s="84" t="str">
        <f t="shared" si="7"/>
        <v>토브미하우스202</v>
      </c>
      <c r="F203" s="85">
        <v>46105</v>
      </c>
      <c r="G203" s="229"/>
      <c r="H203" s="229"/>
      <c r="I203" s="229"/>
      <c r="J203" s="229">
        <v>1960870</v>
      </c>
      <c r="K203" s="218"/>
      <c r="L203" s="87">
        <v>45801</v>
      </c>
      <c r="M203" s="87">
        <v>45892</v>
      </c>
      <c r="N203" s="82" t="s">
        <v>907</v>
      </c>
      <c r="O203" s="82" t="s">
        <v>908</v>
      </c>
      <c r="P203" s="241">
        <v>1650000</v>
      </c>
      <c r="Q203" s="241">
        <v>1650000</v>
      </c>
      <c r="R203" s="82"/>
      <c r="S203" s="241">
        <v>100000</v>
      </c>
      <c r="T203" s="82" t="s">
        <v>40</v>
      </c>
      <c r="U203" s="241">
        <v>25000</v>
      </c>
      <c r="V203" s="82" t="s">
        <v>40</v>
      </c>
      <c r="W203" s="88">
        <v>25000</v>
      </c>
      <c r="X203" s="82" t="s">
        <v>40</v>
      </c>
      <c r="Y203" s="89"/>
      <c r="Z203" s="82"/>
      <c r="AA203" s="220"/>
      <c r="AB203" s="241">
        <v>200000</v>
      </c>
      <c r="AC203" s="241">
        <v>200000</v>
      </c>
      <c r="AD203" s="241"/>
      <c r="AE203" s="82" t="s">
        <v>85</v>
      </c>
      <c r="AF203" s="82" t="s">
        <v>909</v>
      </c>
      <c r="AG203" s="90"/>
      <c r="AH203" s="90"/>
      <c r="AI203" s="90"/>
      <c r="AJ203" s="90"/>
      <c r="AK203" s="82"/>
      <c r="AL203" s="82" t="str" cm="1">
        <f t="array" aca="1" ref="AL203" ca="1">_xlfn.IFS(
 AND($AK203&lt;&gt;"", M203&lt;&gt;0, M203&lt;=EDATE(TODAY(),2)),"도래",
 AND($AK203&lt;&gt;"", M203&lt;&gt;0, M203&lt;=EDATE(TODAY(),3)),"예정",
 AND($AK203&lt;&gt;"", M203&lt;&gt;0, M203&lt;=EDATE(TODAY(),6)),"관심",
 TRUE,""
)</f>
        <v/>
      </c>
      <c r="AM203" s="198">
        <f t="shared" si="8"/>
        <v>24</v>
      </c>
    </row>
    <row r="204" spans="1:39" ht="18" customHeight="1">
      <c r="A204" s="81"/>
      <c r="B204" s="242" t="str">
        <f>_xlfn.LET(_xlpm.var,◆관리정보!B204,IF(_xlpm.var&lt;&gt;0,_xlpm.var,""))</f>
        <v>토브미하우스</v>
      </c>
      <c r="C204" s="243">
        <f>_xlfn.LET(_xlpm.var,◆관리정보!C204,IF(_xlpm.var&lt;&gt;0,_xlpm.var,""))</f>
        <v>203</v>
      </c>
      <c r="D204" s="244" t="s">
        <v>910</v>
      </c>
      <c r="E204" s="84" t="str">
        <f t="shared" si="7"/>
        <v>토브미하우스203</v>
      </c>
      <c r="F204" s="85">
        <v>46125</v>
      </c>
      <c r="G204" s="229"/>
      <c r="H204" s="229"/>
      <c r="I204" s="229"/>
      <c r="J204" s="229"/>
      <c r="K204" s="218"/>
      <c r="L204" s="87">
        <v>46066</v>
      </c>
      <c r="M204" s="87">
        <v>46795</v>
      </c>
      <c r="N204" s="82" t="s">
        <v>911</v>
      </c>
      <c r="O204" s="82" t="s">
        <v>912</v>
      </c>
      <c r="P204" s="241">
        <v>230000000</v>
      </c>
      <c r="Q204" s="241">
        <v>200000</v>
      </c>
      <c r="R204" s="82"/>
      <c r="S204" s="261">
        <v>100000</v>
      </c>
      <c r="T204" s="82" t="s">
        <v>40</v>
      </c>
      <c r="U204" s="241" t="s">
        <v>913</v>
      </c>
      <c r="V204" s="82"/>
      <c r="W204" s="261">
        <v>25000</v>
      </c>
      <c r="X204" s="82" t="s">
        <v>40</v>
      </c>
      <c r="Y204" s="89"/>
      <c r="Z204" s="82"/>
      <c r="AA204" s="220"/>
      <c r="AB204" s="241">
        <v>250000</v>
      </c>
      <c r="AC204" s="241">
        <v>1100000</v>
      </c>
      <c r="AD204" s="241"/>
      <c r="AE204" s="82" t="s">
        <v>914</v>
      </c>
      <c r="AF204" s="82" t="s">
        <v>915</v>
      </c>
      <c r="AG204" s="90"/>
      <c r="AH204" s="90"/>
      <c r="AI204" s="90"/>
      <c r="AJ204" s="90"/>
      <c r="AK204" s="82"/>
      <c r="AL204" s="82" t="str" cm="1">
        <f t="array" aca="1" ref="AL204" ca="1">_xlfn.IFS(
 AND($AK204&lt;&gt;"", M204&lt;&gt;0, M204&lt;=EDATE(TODAY(),2)),"도래",
 AND($AK204&lt;&gt;"", M204&lt;&gt;0, M204&lt;=EDATE(TODAY(),3)),"예정",
 AND($AK204&lt;&gt;"", M204&lt;&gt;0, M204&lt;=EDATE(TODAY(),6)),"관심",
 TRUE,""
)</f>
        <v/>
      </c>
      <c r="AM204" s="198">
        <f t="shared" si="8"/>
        <v>13</v>
      </c>
    </row>
    <row r="205" spans="1:39" ht="18" customHeight="1">
      <c r="A205" s="81"/>
      <c r="B205" s="378" t="str">
        <f>_xlfn.LET(_xlpm.var,◆관리정보!B205,IF(_xlpm.var&lt;&gt;0,_xlpm.var,""))</f>
        <v>토브미하우스</v>
      </c>
      <c r="C205" s="379">
        <f>_xlfn.LET(_xlpm.var,◆관리정보!C205,IF(_xlpm.var&lt;&gt;0,_xlpm.var,""))</f>
        <v>301</v>
      </c>
      <c r="D205" s="383" t="s">
        <v>916</v>
      </c>
      <c r="E205" s="84" t="str">
        <f t="shared" si="7"/>
        <v>토브미하우스301</v>
      </c>
      <c r="F205" s="85">
        <v>46119</v>
      </c>
      <c r="G205" s="229"/>
      <c r="H205" s="229"/>
      <c r="I205" s="229"/>
      <c r="J205" s="229"/>
      <c r="K205" s="218"/>
      <c r="L205" s="87">
        <v>46088</v>
      </c>
      <c r="M205" s="87">
        <v>46179</v>
      </c>
      <c r="N205" s="82" t="s">
        <v>917</v>
      </c>
      <c r="O205" s="82" t="s">
        <v>918</v>
      </c>
      <c r="P205" s="241">
        <v>1850000</v>
      </c>
      <c r="Q205" s="241">
        <v>1850000</v>
      </c>
      <c r="R205" s="82"/>
      <c r="S205" s="241">
        <v>100000</v>
      </c>
      <c r="T205" s="82" t="s">
        <v>40</v>
      </c>
      <c r="U205" s="241">
        <v>30000</v>
      </c>
      <c r="V205" s="82" t="s">
        <v>40</v>
      </c>
      <c r="W205" s="88">
        <v>25000</v>
      </c>
      <c r="X205" s="82" t="s">
        <v>40</v>
      </c>
      <c r="Y205" s="89"/>
      <c r="Z205" s="82"/>
      <c r="AA205" s="220"/>
      <c r="AB205" s="241">
        <v>250000</v>
      </c>
      <c r="AC205" s="241">
        <v>200000</v>
      </c>
      <c r="AD205" s="241"/>
      <c r="AE205" s="82" t="s">
        <v>919</v>
      </c>
      <c r="AF205" s="82" t="s">
        <v>920</v>
      </c>
      <c r="AG205" s="90"/>
      <c r="AH205" s="90"/>
      <c r="AI205" s="90" t="s">
        <v>921</v>
      </c>
      <c r="AJ205" s="90"/>
      <c r="AK205" s="82"/>
      <c r="AL205" s="82" t="str" cm="1">
        <f t="array" aca="1" ref="AL205" ca="1">_xlfn.IFS(
 AND($AK205&lt;&gt;"", M205&lt;&gt;0, M205&lt;=EDATE(TODAY(),2)),"도래",
 AND($AK205&lt;&gt;"", M205&lt;&gt;0, M205&lt;=EDATE(TODAY(),3)),"예정",
 AND($AK205&lt;&gt;"", M205&lt;&gt;0, M205&lt;=EDATE(TODAY(),6)),"관심",
 TRUE,""
)</f>
        <v/>
      </c>
      <c r="AM205" s="198">
        <f t="shared" si="8"/>
        <v>7</v>
      </c>
    </row>
    <row r="206" spans="1:39" ht="18" customHeight="1">
      <c r="A206" s="81"/>
      <c r="B206" s="205" t="str">
        <f>_xlfn.LET(_xlpm.var,◆관리정보!B206,IF(_xlpm.var&lt;&gt;0,_xlpm.var,""))</f>
        <v>토브미하우스</v>
      </c>
      <c r="C206" s="82">
        <f>_xlfn.LET(_xlpm.var,◆관리정보!C206,IF(_xlpm.var&lt;&gt;0,_xlpm.var,""))</f>
        <v>302</v>
      </c>
      <c r="D206" s="83" t="s">
        <v>922</v>
      </c>
      <c r="E206" s="84" t="str">
        <f t="shared" si="7"/>
        <v>토브미하우스302</v>
      </c>
      <c r="F206" s="85">
        <v>46114</v>
      </c>
      <c r="G206" s="229"/>
      <c r="H206" s="229"/>
      <c r="I206" s="229"/>
      <c r="J206" s="229"/>
      <c r="K206" s="218"/>
      <c r="L206" s="87">
        <v>46055</v>
      </c>
      <c r="M206" s="87">
        <v>46143</v>
      </c>
      <c r="N206" s="82" t="s">
        <v>923</v>
      </c>
      <c r="O206" s="82" t="s">
        <v>924</v>
      </c>
      <c r="P206" s="241">
        <v>1800000</v>
      </c>
      <c r="Q206" s="241">
        <v>1800000</v>
      </c>
      <c r="R206" s="82"/>
      <c r="S206" s="241">
        <v>100000</v>
      </c>
      <c r="T206" s="82" t="s">
        <v>40</v>
      </c>
      <c r="U206" s="241">
        <v>30000</v>
      </c>
      <c r="V206" s="82" t="s">
        <v>40</v>
      </c>
      <c r="W206" s="88">
        <v>25000</v>
      </c>
      <c r="X206" s="82" t="s">
        <v>40</v>
      </c>
      <c r="Y206" s="89"/>
      <c r="Z206" s="82"/>
      <c r="AA206" s="220"/>
      <c r="AB206" s="241">
        <v>200000</v>
      </c>
      <c r="AC206" s="241">
        <v>200000</v>
      </c>
      <c r="AD206" s="241"/>
      <c r="AE206" s="82" t="s">
        <v>327</v>
      </c>
      <c r="AF206" s="82" t="s">
        <v>328</v>
      </c>
      <c r="AG206" s="90"/>
      <c r="AH206" s="90"/>
      <c r="AI206" s="90"/>
      <c r="AJ206" s="90"/>
      <c r="AK206" s="82"/>
      <c r="AL206" s="82" t="str" cm="1">
        <f t="array" aca="1" ref="AL206" ca="1">_xlfn.IFS(
 AND($AK206&lt;&gt;"", M206&lt;&gt;0, M206&lt;=EDATE(TODAY(),2)),"도래",
 AND($AK206&lt;&gt;"", M206&lt;&gt;0, M206&lt;=EDATE(TODAY(),3)),"예정",
 AND($AK206&lt;&gt;"", M206&lt;&gt;0, M206&lt;=EDATE(TODAY(),6)),"관심",
 TRUE,""
)</f>
        <v/>
      </c>
      <c r="AM206" s="198">
        <f t="shared" si="8"/>
        <v>2</v>
      </c>
    </row>
    <row r="207" spans="1:39" ht="18" customHeight="1">
      <c r="A207" s="81"/>
      <c r="B207" s="205" t="str">
        <f>_xlfn.LET(_xlpm.var,◆관리정보!B207,IF(_xlpm.var&lt;&gt;0,_xlpm.var,""))</f>
        <v>토브미하우스</v>
      </c>
      <c r="C207" s="82">
        <f>_xlfn.LET(_xlpm.var,◆관리정보!C207,IF(_xlpm.var&lt;&gt;0,_xlpm.var,""))</f>
        <v>303</v>
      </c>
      <c r="D207" s="83" t="s">
        <v>925</v>
      </c>
      <c r="E207" s="84" t="str">
        <f t="shared" si="7"/>
        <v>토브미하우스303</v>
      </c>
      <c r="F207" s="85">
        <v>46099</v>
      </c>
      <c r="G207" s="229"/>
      <c r="H207" s="229"/>
      <c r="I207" s="229"/>
      <c r="J207" s="229">
        <v>1946210</v>
      </c>
      <c r="K207" s="218"/>
      <c r="L207" s="87">
        <v>45887</v>
      </c>
      <c r="M207" s="87">
        <v>45978</v>
      </c>
      <c r="N207" s="82" t="s">
        <v>926</v>
      </c>
      <c r="O207" s="82" t="s">
        <v>927</v>
      </c>
      <c r="P207" s="241">
        <v>1650000</v>
      </c>
      <c r="Q207" s="241">
        <v>1650000</v>
      </c>
      <c r="R207" s="82"/>
      <c r="S207" s="241">
        <v>100000</v>
      </c>
      <c r="T207" s="82" t="s">
        <v>40</v>
      </c>
      <c r="U207" s="241">
        <v>25000</v>
      </c>
      <c r="V207" s="82" t="s">
        <v>40</v>
      </c>
      <c r="W207" s="88">
        <v>25000</v>
      </c>
      <c r="X207" s="82" t="s">
        <v>40</v>
      </c>
      <c r="Y207" s="89"/>
      <c r="Z207" s="82"/>
      <c r="AA207" s="220" t="s">
        <v>928</v>
      </c>
      <c r="AB207" s="241">
        <v>200000</v>
      </c>
      <c r="AC207" s="241">
        <v>200000</v>
      </c>
      <c r="AD207" s="241"/>
      <c r="AE207" s="82" t="s">
        <v>929</v>
      </c>
      <c r="AF207" s="82" t="s">
        <v>930</v>
      </c>
      <c r="AG207" s="90"/>
      <c r="AH207" s="90"/>
      <c r="AI207" s="90" t="s">
        <v>931</v>
      </c>
      <c r="AJ207" s="90"/>
      <c r="AK207" s="82"/>
      <c r="AL207" s="82" t="str" cm="1">
        <f t="array" aca="1" ref="AL207" ca="1">_xlfn.IFS(
 AND($AK207&lt;&gt;"", M207&lt;&gt;0, M207&lt;=EDATE(TODAY(),2)),"도래",
 AND($AK207&lt;&gt;"", M207&lt;&gt;0, M207&lt;=EDATE(TODAY(),3)),"예정",
 AND($AK207&lt;&gt;"", M207&lt;&gt;0, M207&lt;=EDATE(TODAY(),6)),"관심",
 TRUE,""
)</f>
        <v/>
      </c>
      <c r="AM207" s="198">
        <f t="shared" si="8"/>
        <v>18</v>
      </c>
    </row>
    <row r="208" spans="1:39" ht="18" customHeight="1">
      <c r="A208" s="81"/>
      <c r="B208" s="205" t="str">
        <f>_xlfn.LET(_xlpm.var,◆관리정보!B208,IF(_xlpm.var&lt;&gt;0,_xlpm.var,""))</f>
        <v>토브미하우스</v>
      </c>
      <c r="C208" s="82">
        <f>_xlfn.LET(_xlpm.var,◆관리정보!C208,IF(_xlpm.var&lt;&gt;0,_xlpm.var,""))</f>
        <v>401</v>
      </c>
      <c r="D208" s="83" t="s">
        <v>932</v>
      </c>
      <c r="E208" s="84" t="str">
        <f t="shared" si="7"/>
        <v>토브미하우스401</v>
      </c>
      <c r="F208" s="85">
        <v>46103</v>
      </c>
      <c r="G208" s="229"/>
      <c r="H208" s="229"/>
      <c r="I208" s="229"/>
      <c r="J208" s="229">
        <v>2249330</v>
      </c>
      <c r="K208" s="218"/>
      <c r="L208" s="87">
        <v>45313</v>
      </c>
      <c r="M208" s="87">
        <v>45403</v>
      </c>
      <c r="N208" s="82" t="s">
        <v>933</v>
      </c>
      <c r="O208" s="82" t="s">
        <v>934</v>
      </c>
      <c r="P208" s="241">
        <v>2000000</v>
      </c>
      <c r="Q208" s="241">
        <v>2000000</v>
      </c>
      <c r="R208" s="82"/>
      <c r="S208" s="241">
        <v>100000</v>
      </c>
      <c r="T208" s="82" t="s">
        <v>40</v>
      </c>
      <c r="U208" s="241">
        <v>25000</v>
      </c>
      <c r="V208" s="82" t="s">
        <v>40</v>
      </c>
      <c r="W208" s="88">
        <v>25000</v>
      </c>
      <c r="X208" s="82" t="s">
        <v>40</v>
      </c>
      <c r="Y208" s="89"/>
      <c r="Z208" s="82"/>
      <c r="AA208" s="220">
        <v>9501</v>
      </c>
      <c r="AB208" s="241">
        <v>200000</v>
      </c>
      <c r="AC208" s="241">
        <v>250000</v>
      </c>
      <c r="AD208" s="241"/>
      <c r="AE208" s="82" t="s">
        <v>935</v>
      </c>
      <c r="AF208" s="82" t="s">
        <v>936</v>
      </c>
      <c r="AG208" s="90"/>
      <c r="AH208" s="90"/>
      <c r="AI208" s="90" t="s">
        <v>937</v>
      </c>
      <c r="AJ208" s="90"/>
      <c r="AK208" s="82"/>
      <c r="AL208" s="82" t="str" cm="1">
        <f t="array" aca="1" ref="AL208" ca="1">_xlfn.IFS(
 AND($AK208&lt;&gt;"", M208&lt;&gt;0, M208&lt;=EDATE(TODAY(),2)),"도래",
 AND($AK208&lt;&gt;"", M208&lt;&gt;0, M208&lt;=EDATE(TODAY(),3)),"예정",
 AND($AK208&lt;&gt;"", M208&lt;&gt;0, M208&lt;=EDATE(TODAY(),6)),"관심",
 TRUE,""
)</f>
        <v/>
      </c>
      <c r="AM208" s="198">
        <f t="shared" si="8"/>
        <v>22</v>
      </c>
    </row>
    <row r="209" spans="1:39" ht="18" customHeight="1">
      <c r="A209" s="81"/>
      <c r="B209" s="205" t="str">
        <f>_xlfn.LET(_xlpm.var,◆관리정보!B209,IF(_xlpm.var&lt;&gt;0,_xlpm.var,""))</f>
        <v>토브미하우스</v>
      </c>
      <c r="C209" s="82">
        <f>_xlfn.LET(_xlpm.var,◆관리정보!C209,IF(_xlpm.var&lt;&gt;0,_xlpm.var,""))</f>
        <v>601</v>
      </c>
      <c r="D209" s="83" t="s">
        <v>938</v>
      </c>
      <c r="E209" s="84" t="str">
        <f t="shared" si="7"/>
        <v>토브미하우스601</v>
      </c>
      <c r="F209" s="85">
        <v>46125</v>
      </c>
      <c r="G209" s="229"/>
      <c r="H209" s="229"/>
      <c r="I209" s="229"/>
      <c r="J209" s="229"/>
      <c r="K209" s="218"/>
      <c r="L209" s="87">
        <v>45974</v>
      </c>
      <c r="M209" s="87">
        <v>46065</v>
      </c>
      <c r="N209" s="82" t="s">
        <v>939</v>
      </c>
      <c r="O209" s="82" t="s">
        <v>940</v>
      </c>
      <c r="P209" s="241">
        <v>1200000</v>
      </c>
      <c r="Q209" s="241">
        <v>1100000</v>
      </c>
      <c r="R209" s="82"/>
      <c r="S209" s="241">
        <v>90000</v>
      </c>
      <c r="T209" s="82" t="s">
        <v>40</v>
      </c>
      <c r="U209" s="241">
        <v>25000</v>
      </c>
      <c r="V209" s="82" t="s">
        <v>40</v>
      </c>
      <c r="W209" s="88">
        <v>25000</v>
      </c>
      <c r="X209" s="82" t="s">
        <v>40</v>
      </c>
      <c r="Y209" s="89"/>
      <c r="Z209" s="82"/>
      <c r="AA209" s="220"/>
      <c r="AB209" s="241">
        <v>180000</v>
      </c>
      <c r="AC209" s="241">
        <v>150000</v>
      </c>
      <c r="AD209" s="241"/>
      <c r="AE209" s="82" t="s">
        <v>342</v>
      </c>
      <c r="AF209" s="82" t="s">
        <v>729</v>
      </c>
      <c r="AG209" s="90"/>
      <c r="AH209" s="90"/>
      <c r="AI209" s="90" t="s">
        <v>941</v>
      </c>
      <c r="AJ209" s="90"/>
      <c r="AK209" s="82"/>
      <c r="AL209" s="82" t="str" cm="1">
        <f t="array" aca="1" ref="AL209" ca="1">_xlfn.IFS(
 AND($AK209&lt;&gt;"", M209&lt;&gt;0, M209&lt;=EDATE(TODAY(),2)),"도래",
 AND($AK209&lt;&gt;"", M209&lt;&gt;0, M209&lt;=EDATE(TODAY(),3)),"예정",
 AND($AK209&lt;&gt;"", M209&lt;&gt;0, M209&lt;=EDATE(TODAY(),6)),"관심",
 TRUE,""
)</f>
        <v/>
      </c>
      <c r="AM209" s="198">
        <f t="shared" si="8"/>
        <v>13</v>
      </c>
    </row>
    <row r="210" spans="1:39" ht="18" customHeight="1">
      <c r="A210" s="81"/>
      <c r="B210" s="205" t="str">
        <f>_xlfn.LET(_xlpm.var,◆관리정보!B210,IF(_xlpm.var&lt;&gt;0,_xlpm.var,""))</f>
        <v>리트코하우스</v>
      </c>
      <c r="C210" s="82">
        <f>_xlfn.LET(_xlpm.var,◆관리정보!C210,IF(_xlpm.var&lt;&gt;0,_xlpm.var,""))</f>
        <v>501</v>
      </c>
      <c r="D210" s="83" t="s">
        <v>942</v>
      </c>
      <c r="E210" s="84" t="str">
        <f t="shared" si="7"/>
        <v>리트코하우스501</v>
      </c>
      <c r="F210" s="85">
        <v>46106</v>
      </c>
      <c r="G210" s="229"/>
      <c r="H210" s="229"/>
      <c r="I210" s="229"/>
      <c r="J210" s="229">
        <v>1529330</v>
      </c>
      <c r="K210" s="218"/>
      <c r="L210" s="87">
        <v>45621</v>
      </c>
      <c r="M210" s="87">
        <v>45712</v>
      </c>
      <c r="N210" s="82" t="s">
        <v>943</v>
      </c>
      <c r="O210" s="82" t="s">
        <v>944</v>
      </c>
      <c r="P210" s="241">
        <v>1250000</v>
      </c>
      <c r="Q210" s="241">
        <v>1250000</v>
      </c>
      <c r="R210" s="82"/>
      <c r="S210" s="241">
        <v>100000</v>
      </c>
      <c r="T210" s="82" t="s">
        <v>40</v>
      </c>
      <c r="U210" s="241">
        <v>25000</v>
      </c>
      <c r="V210" s="82" t="s">
        <v>40</v>
      </c>
      <c r="W210" s="88">
        <v>25000</v>
      </c>
      <c r="X210" s="82" t="s">
        <v>40</v>
      </c>
      <c r="Y210" s="89"/>
      <c r="Z210" s="82"/>
      <c r="AA210" s="220"/>
      <c r="AB210" s="241">
        <v>150000</v>
      </c>
      <c r="AC210" s="241">
        <v>220000</v>
      </c>
      <c r="AD210" s="241"/>
      <c r="AE210" s="82" t="s">
        <v>63</v>
      </c>
      <c r="AF210" s="82" t="s">
        <v>126</v>
      </c>
      <c r="AG210" s="90"/>
      <c r="AH210" s="90"/>
      <c r="AI210" s="90" t="s">
        <v>945</v>
      </c>
      <c r="AJ210" s="90"/>
      <c r="AK210" s="82"/>
      <c r="AL210" s="82" t="str" cm="1">
        <f t="array" aca="1" ref="AL210" ca="1">_xlfn.IFS(
 AND($AK210&lt;&gt;"", M210&lt;&gt;0, M210&lt;=EDATE(TODAY(),2)),"도래",
 AND($AK210&lt;&gt;"", M210&lt;&gt;0, M210&lt;=EDATE(TODAY(),3)),"예정",
 AND($AK210&lt;&gt;"", M210&lt;&gt;0, M210&lt;=EDATE(TODAY(),6)),"관심",
 TRUE,""
)</f>
        <v/>
      </c>
      <c r="AM210" s="198">
        <f t="shared" si="8"/>
        <v>25</v>
      </c>
    </row>
    <row r="211" spans="1:39" ht="18" customHeight="1">
      <c r="A211" s="81"/>
      <c r="B211" s="205" t="str">
        <f>_xlfn.LET(_xlpm.var,◆관리정보!B211,IF(_xlpm.var&lt;&gt;0,_xlpm.var,""))</f>
        <v>리트코하우스</v>
      </c>
      <c r="C211" s="82">
        <f>_xlfn.LET(_xlpm.var,◆관리정보!C211,IF(_xlpm.var&lt;&gt;0,_xlpm.var,""))</f>
        <v>502</v>
      </c>
      <c r="D211" s="83" t="s">
        <v>946</v>
      </c>
      <c r="E211" s="84" t="str">
        <f t="shared" si="7"/>
        <v>리트코하우스502</v>
      </c>
      <c r="F211" s="85">
        <v>46101</v>
      </c>
      <c r="G211" s="229"/>
      <c r="H211" s="229"/>
      <c r="I211" s="229"/>
      <c r="J211" s="229">
        <v>1564680</v>
      </c>
      <c r="K211" s="218"/>
      <c r="L211" s="87">
        <v>45981</v>
      </c>
      <c r="M211" s="87">
        <v>46072</v>
      </c>
      <c r="N211" s="82" t="s">
        <v>947</v>
      </c>
      <c r="O211" s="82" t="s">
        <v>948</v>
      </c>
      <c r="P211" s="241">
        <v>1300000</v>
      </c>
      <c r="Q211" s="241">
        <v>1300000</v>
      </c>
      <c r="R211" s="82"/>
      <c r="S211" s="241">
        <v>100000</v>
      </c>
      <c r="T211" s="82" t="s">
        <v>40</v>
      </c>
      <c r="U211" s="241">
        <v>25000</v>
      </c>
      <c r="V211" s="82" t="s">
        <v>40</v>
      </c>
      <c r="W211" s="88">
        <v>25000</v>
      </c>
      <c r="X211" s="82" t="s">
        <v>40</v>
      </c>
      <c r="Y211" s="89"/>
      <c r="Z211" s="82"/>
      <c r="AA211" s="220"/>
      <c r="AB211" s="241">
        <v>180000</v>
      </c>
      <c r="AC211" s="241">
        <v>220000</v>
      </c>
      <c r="AD211" s="241"/>
      <c r="AE211" s="82" t="s">
        <v>332</v>
      </c>
      <c r="AF211" s="82" t="s">
        <v>126</v>
      </c>
      <c r="AG211" s="90"/>
      <c r="AH211" s="90"/>
      <c r="AI211" s="90"/>
      <c r="AJ211" s="90"/>
      <c r="AK211" s="82"/>
      <c r="AL211" s="82" t="str" cm="1">
        <f t="array" aca="1" ref="AL211" ca="1">_xlfn.IFS(
 AND($AK211&lt;&gt;"", M211&lt;&gt;0, M211&lt;=EDATE(TODAY(),2)),"도래",
 AND($AK211&lt;&gt;"", M211&lt;&gt;0, M211&lt;=EDATE(TODAY(),3)),"예정",
 AND($AK211&lt;&gt;"", M211&lt;&gt;0, M211&lt;=EDATE(TODAY(),6)),"관심",
 TRUE,""
)</f>
        <v/>
      </c>
      <c r="AM211" s="198">
        <f t="shared" si="8"/>
        <v>20</v>
      </c>
    </row>
    <row r="212" spans="1:39" ht="18" customHeight="1">
      <c r="A212" s="81"/>
      <c r="B212" s="205" t="str">
        <f>_xlfn.LET(_xlpm.var,◆관리정보!B212,IF(_xlpm.var&lt;&gt;0,_xlpm.var,""))</f>
        <v>리트코하우스</v>
      </c>
      <c r="C212" s="82">
        <f>_xlfn.LET(_xlpm.var,◆관리정보!C212,IF(_xlpm.var&lt;&gt;0,_xlpm.var,""))</f>
        <v>503</v>
      </c>
      <c r="D212" s="83" t="s">
        <v>949</v>
      </c>
      <c r="E212" s="84" t="str">
        <f t="shared" si="7"/>
        <v>리트코하우스503</v>
      </c>
      <c r="F212" s="85">
        <v>46112</v>
      </c>
      <c r="G212" s="229"/>
      <c r="H212" s="229"/>
      <c r="I212" s="229"/>
      <c r="J212" s="229"/>
      <c r="K212" s="218"/>
      <c r="L212" s="87">
        <v>46053</v>
      </c>
      <c r="M212" s="87">
        <v>46142</v>
      </c>
      <c r="N212" s="82" t="s">
        <v>950</v>
      </c>
      <c r="O212" s="82" t="s">
        <v>951</v>
      </c>
      <c r="P212" s="241">
        <v>1300000</v>
      </c>
      <c r="Q212" s="241">
        <v>1300000</v>
      </c>
      <c r="R212" s="82"/>
      <c r="S212" s="241">
        <v>100000</v>
      </c>
      <c r="T212" s="82" t="s">
        <v>40</v>
      </c>
      <c r="U212" s="241">
        <v>25000</v>
      </c>
      <c r="V212" s="82" t="s">
        <v>40</v>
      </c>
      <c r="W212" s="88">
        <v>25000</v>
      </c>
      <c r="X212" s="82" t="s">
        <v>40</v>
      </c>
      <c r="Y212" s="89"/>
      <c r="Z212" s="82"/>
      <c r="AA212" s="220"/>
      <c r="AB212" s="241">
        <v>180000</v>
      </c>
      <c r="AC212" s="241">
        <v>220000</v>
      </c>
      <c r="AD212" s="241"/>
      <c r="AE212" s="82" t="s">
        <v>85</v>
      </c>
      <c r="AF212" s="82" t="s">
        <v>126</v>
      </c>
      <c r="AG212" s="90"/>
      <c r="AH212" s="90"/>
      <c r="AI212" s="90"/>
      <c r="AJ212" s="90"/>
      <c r="AK212" s="82"/>
      <c r="AL212" s="82" t="str" cm="1">
        <f t="array" aca="1" ref="AL212" ca="1">_xlfn.IFS(
 AND($AK212&lt;&gt;"", M212&lt;&gt;0, M212&lt;=EDATE(TODAY(),2)),"도래",
 AND($AK212&lt;&gt;"", M212&lt;&gt;0, M212&lt;=EDATE(TODAY(),3)),"예정",
 AND($AK212&lt;&gt;"", M212&lt;&gt;0, M212&lt;=EDATE(TODAY(),6)),"관심",
 TRUE,""
)</f>
        <v/>
      </c>
      <c r="AM212" s="198">
        <f t="shared" si="8"/>
        <v>31</v>
      </c>
    </row>
    <row r="213" spans="1:39" ht="18" customHeight="1">
      <c r="A213" s="81"/>
      <c r="B213" s="378" t="str">
        <f>_xlfn.LET(_xlpm.var,◆관리정보!B213,IF(_xlpm.var&lt;&gt;0,_xlpm.var,""))</f>
        <v>리트코하우스</v>
      </c>
      <c r="C213" s="379">
        <f>_xlfn.LET(_xlpm.var,◆관리정보!C213,IF(_xlpm.var&lt;&gt;0,_xlpm.var,""))</f>
        <v>504</v>
      </c>
      <c r="D213" s="91" t="s">
        <v>952</v>
      </c>
      <c r="E213" s="84" t="str">
        <f t="shared" si="7"/>
        <v>리트코하우스504</v>
      </c>
      <c r="F213" s="85">
        <v>46130</v>
      </c>
      <c r="G213" s="229"/>
      <c r="H213" s="229"/>
      <c r="I213" s="229"/>
      <c r="J213" s="229"/>
      <c r="K213" s="218"/>
      <c r="L213" s="87">
        <v>46099</v>
      </c>
      <c r="M213" s="87">
        <v>46190</v>
      </c>
      <c r="N213" s="379"/>
      <c r="O213" s="379"/>
      <c r="P213" s="241">
        <v>1850000</v>
      </c>
      <c r="Q213" s="241">
        <v>1850000</v>
      </c>
      <c r="R213" s="82"/>
      <c r="S213" s="241">
        <v>120000</v>
      </c>
      <c r="T213" s="82" t="s">
        <v>40</v>
      </c>
      <c r="U213" s="241">
        <v>30000</v>
      </c>
      <c r="V213" s="82" t="s">
        <v>40</v>
      </c>
      <c r="W213" s="88">
        <v>25000</v>
      </c>
      <c r="X213" s="82" t="s">
        <v>40</v>
      </c>
      <c r="Y213" s="89"/>
      <c r="Z213" s="82"/>
      <c r="AA213" s="220"/>
      <c r="AB213" s="241">
        <v>250000</v>
      </c>
      <c r="AC213" s="241">
        <v>275000</v>
      </c>
      <c r="AD213" s="241"/>
      <c r="AE213" s="82" t="s">
        <v>63</v>
      </c>
      <c r="AF213" s="82" t="s">
        <v>953</v>
      </c>
      <c r="AG213" s="90"/>
      <c r="AH213" s="90"/>
      <c r="AI213" s="90" t="s">
        <v>954</v>
      </c>
      <c r="AJ213" s="90"/>
      <c r="AK213" s="82"/>
      <c r="AL213" s="82" t="str" cm="1">
        <f t="array" aca="1" ref="AL213" ca="1">_xlfn.IFS(
 AND($AK213&lt;&gt;"", M213&lt;&gt;0, M213&lt;=EDATE(TODAY(),2)),"도래",
 AND($AK213&lt;&gt;"", M213&lt;&gt;0, M213&lt;=EDATE(TODAY(),3)),"예정",
 AND($AK213&lt;&gt;"", M213&lt;&gt;0, M213&lt;=EDATE(TODAY(),6)),"관심",
 TRUE,""
)</f>
        <v/>
      </c>
      <c r="AM213" s="198">
        <f t="shared" si="8"/>
        <v>18</v>
      </c>
    </row>
    <row r="214" spans="1:39" ht="18" customHeight="1">
      <c r="A214" s="81"/>
      <c r="B214" s="205" t="str">
        <f>_xlfn.LET(_xlpm.var,◆관리정보!B214,IF(_xlpm.var&lt;&gt;0,_xlpm.var,""))</f>
        <v>리트코하우스</v>
      </c>
      <c r="C214" s="82">
        <f>_xlfn.LET(_xlpm.var,◆관리정보!C214,IF(_xlpm.var&lt;&gt;0,_xlpm.var,""))</f>
        <v>505</v>
      </c>
      <c r="D214" s="83" t="s">
        <v>955</v>
      </c>
      <c r="E214" s="84" t="str">
        <f t="shared" si="7"/>
        <v>리트코하우스505</v>
      </c>
      <c r="F214" s="85">
        <v>46128</v>
      </c>
      <c r="G214" s="229"/>
      <c r="H214" s="229"/>
      <c r="I214" s="229"/>
      <c r="J214" s="229"/>
      <c r="K214" s="218"/>
      <c r="L214" s="87">
        <v>45763</v>
      </c>
      <c r="M214" s="87">
        <v>45853</v>
      </c>
      <c r="N214" s="82" t="s">
        <v>956</v>
      </c>
      <c r="O214" s="82" t="s">
        <v>957</v>
      </c>
      <c r="P214" s="241">
        <v>1250000</v>
      </c>
      <c r="Q214" s="241">
        <v>1250000</v>
      </c>
      <c r="R214" s="82"/>
      <c r="S214" s="241">
        <v>100000</v>
      </c>
      <c r="T214" s="82" t="s">
        <v>40</v>
      </c>
      <c r="U214" s="241">
        <v>25000</v>
      </c>
      <c r="V214" s="82" t="s">
        <v>40</v>
      </c>
      <c r="W214" s="88">
        <v>25000</v>
      </c>
      <c r="X214" s="82" t="s">
        <v>40</v>
      </c>
      <c r="Y214" s="89"/>
      <c r="Z214" s="82"/>
      <c r="AA214" s="220"/>
      <c r="AB214" s="241">
        <v>180000</v>
      </c>
      <c r="AC214" s="241">
        <v>220000</v>
      </c>
      <c r="AD214" s="241"/>
      <c r="AE214" s="82" t="s">
        <v>664</v>
      </c>
      <c r="AF214" s="82" t="s">
        <v>958</v>
      </c>
      <c r="AG214" s="90"/>
      <c r="AH214" s="90"/>
      <c r="AI214" s="90"/>
      <c r="AJ214" s="90"/>
      <c r="AK214" s="82"/>
      <c r="AL214" s="82" t="str" cm="1">
        <f t="array" aca="1" ref="AL214" ca="1">_xlfn.IFS(
 AND($AK214&lt;&gt;"", M214&lt;&gt;0, M214&lt;=EDATE(TODAY(),2)),"도래",
 AND($AK214&lt;&gt;"", M214&lt;&gt;0, M214&lt;=EDATE(TODAY(),3)),"예정",
 AND($AK214&lt;&gt;"", M214&lt;&gt;0, M214&lt;=EDATE(TODAY(),6)),"관심",
 TRUE,""
)</f>
        <v/>
      </c>
      <c r="AM214" s="198">
        <f t="shared" si="8"/>
        <v>16</v>
      </c>
    </row>
    <row r="215" spans="1:39" ht="18" customHeight="1">
      <c r="A215" s="81"/>
      <c r="B215" s="205" t="str">
        <f>_xlfn.LET(_xlpm.var,◆관리정보!B215,IF(_xlpm.var&lt;&gt;0,_xlpm.var,""))</f>
        <v>리트코하우스</v>
      </c>
      <c r="C215" s="82">
        <f>_xlfn.LET(_xlpm.var,◆관리정보!C215,IF(_xlpm.var&lt;&gt;0,_xlpm.var,""))</f>
        <v>506</v>
      </c>
      <c r="D215" s="83" t="s">
        <v>959</v>
      </c>
      <c r="E215" s="84" t="str">
        <f t="shared" si="7"/>
        <v>리트코하우스506</v>
      </c>
      <c r="F215" s="85">
        <v>46091</v>
      </c>
      <c r="G215" s="229"/>
      <c r="H215" s="229"/>
      <c r="I215" s="229"/>
      <c r="J215" s="229">
        <v>1900610</v>
      </c>
      <c r="K215" s="318">
        <v>82500</v>
      </c>
      <c r="L215" s="87">
        <v>45787</v>
      </c>
      <c r="M215" s="87">
        <v>45870</v>
      </c>
      <c r="N215" s="82" t="s">
        <v>960</v>
      </c>
      <c r="O215" s="82" t="s">
        <v>961</v>
      </c>
      <c r="P215" s="241">
        <v>2250000</v>
      </c>
      <c r="Q215" s="241">
        <v>1650000</v>
      </c>
      <c r="R215" s="82"/>
      <c r="S215" s="241">
        <v>120000</v>
      </c>
      <c r="T215" s="82" t="s">
        <v>40</v>
      </c>
      <c r="U215" s="241">
        <v>25000</v>
      </c>
      <c r="V215" s="82" t="s">
        <v>40</v>
      </c>
      <c r="W215" s="88">
        <v>25000</v>
      </c>
      <c r="X215" s="82" t="s">
        <v>40</v>
      </c>
      <c r="Y215" s="89"/>
      <c r="Z215" s="82"/>
      <c r="AA215" s="220"/>
      <c r="AB215" s="241">
        <v>200000</v>
      </c>
      <c r="AC215" s="241">
        <v>275000</v>
      </c>
      <c r="AD215" s="241"/>
      <c r="AE215" s="82" t="s">
        <v>63</v>
      </c>
      <c r="AF215" s="82" t="s">
        <v>333</v>
      </c>
      <c r="AG215" s="90"/>
      <c r="AH215" s="90"/>
      <c r="AI215" s="90" t="s">
        <v>962</v>
      </c>
      <c r="AJ215" s="90"/>
      <c r="AK215" s="82"/>
      <c r="AL215" s="82" t="str" cm="1">
        <f t="array" aca="1" ref="AL215" ca="1">_xlfn.IFS(
 AND($AK215&lt;&gt;"", M215&lt;&gt;0, M215&lt;=EDATE(TODAY(),2)),"도래",
 AND($AK215&lt;&gt;"", M215&lt;&gt;0, M215&lt;=EDATE(TODAY(),3)),"예정",
 AND($AK215&lt;&gt;"", M215&lt;&gt;0, M215&lt;=EDATE(TODAY(),6)),"관심",
 TRUE,""
)</f>
        <v/>
      </c>
      <c r="AM215" s="198">
        <f t="shared" si="8"/>
        <v>10</v>
      </c>
    </row>
    <row r="216" spans="1:39" ht="18" customHeight="1">
      <c r="A216" s="81"/>
      <c r="B216" s="205" t="str">
        <f>_xlfn.LET(_xlpm.var,◆관리정보!B216,IF(_xlpm.var&lt;&gt;0,_xlpm.var,""))</f>
        <v>리트코하우스</v>
      </c>
      <c r="C216" s="82">
        <f>_xlfn.LET(_xlpm.var,◆관리정보!C216,IF(_xlpm.var&lt;&gt;0,_xlpm.var,""))</f>
        <v>601</v>
      </c>
      <c r="D216" s="83" t="s">
        <v>963</v>
      </c>
      <c r="E216" s="84" t="str">
        <f t="shared" si="7"/>
        <v>리트코하우스601</v>
      </c>
      <c r="F216" s="85">
        <v>46081</v>
      </c>
      <c r="G216" s="229"/>
      <c r="H216" s="229"/>
      <c r="I216" s="229"/>
      <c r="J216" s="229">
        <f>1362900-200000-(500000-50000)</f>
        <v>712900</v>
      </c>
      <c r="K216" s="218"/>
      <c r="L216" s="87">
        <v>45227</v>
      </c>
      <c r="M216" s="87">
        <v>45318</v>
      </c>
      <c r="N216" s="82" t="s">
        <v>964</v>
      </c>
      <c r="O216" s="82" t="s">
        <v>965</v>
      </c>
      <c r="P216" s="241">
        <v>1200000</v>
      </c>
      <c r="Q216" s="241">
        <v>1200000</v>
      </c>
      <c r="R216" s="82"/>
      <c r="S216" s="241">
        <v>100000</v>
      </c>
      <c r="T216" s="82" t="s">
        <v>40</v>
      </c>
      <c r="U216" s="241">
        <v>25000</v>
      </c>
      <c r="V216" s="82" t="s">
        <v>40</v>
      </c>
      <c r="W216" s="88">
        <v>25000</v>
      </c>
      <c r="X216" s="82" t="s">
        <v>40</v>
      </c>
      <c r="Y216" s="89"/>
      <c r="Z216" s="82"/>
      <c r="AA216" s="220"/>
      <c r="AB216" s="241">
        <v>150000</v>
      </c>
      <c r="AC216" s="241">
        <v>220000</v>
      </c>
      <c r="AD216" s="241"/>
      <c r="AE216" s="82" t="s">
        <v>63</v>
      </c>
      <c r="AF216" s="82" t="s">
        <v>64</v>
      </c>
      <c r="AG216" s="90"/>
      <c r="AH216" s="90"/>
      <c r="AI216" s="90" t="s">
        <v>966</v>
      </c>
      <c r="AJ216" s="90"/>
      <c r="AK216" s="82"/>
      <c r="AL216" s="82" t="str" cm="1">
        <f t="array" aca="1" ref="AL216" ca="1">_xlfn.IFS(
 AND($AK216&lt;&gt;"", M216&lt;&gt;0, M216&lt;=EDATE(TODAY(),2)),"도래",
 AND($AK216&lt;&gt;"", M216&lt;&gt;0, M216&lt;=EDATE(TODAY(),3)),"예정",
 AND($AK216&lt;&gt;"", M216&lt;&gt;0, M216&lt;=EDATE(TODAY(),6)),"관심",
 TRUE,""
)</f>
        <v/>
      </c>
      <c r="AM216" s="198">
        <f t="shared" si="8"/>
        <v>28</v>
      </c>
    </row>
    <row r="217" spans="1:39" ht="18" customHeight="1">
      <c r="A217" s="81"/>
      <c r="B217" s="337" t="str">
        <f>_xlfn.LET(_xlpm.var,◆관리정보!B217,IF(_xlpm.var&lt;&gt;0,_xlpm.var,""))</f>
        <v>리트코하우스</v>
      </c>
      <c r="C217" s="264">
        <f>_xlfn.LET(_xlpm.var,◆관리정보!C217,IF(_xlpm.var&lt;&gt;0,_xlpm.var,""))</f>
        <v>602</v>
      </c>
      <c r="D217" s="383" t="s">
        <v>967</v>
      </c>
      <c r="E217" s="84" t="str">
        <f t="shared" si="7"/>
        <v>리트코하우스602</v>
      </c>
      <c r="F217" s="85">
        <v>46125</v>
      </c>
      <c r="G217" s="229"/>
      <c r="H217" s="229"/>
      <c r="I217" s="229"/>
      <c r="J217" s="229"/>
      <c r="K217" s="218"/>
      <c r="L217" s="87">
        <v>46094</v>
      </c>
      <c r="M217" s="87">
        <v>46185</v>
      </c>
      <c r="N217" s="82" t="s">
        <v>968</v>
      </c>
      <c r="O217" s="82" t="s">
        <v>969</v>
      </c>
      <c r="P217" s="241">
        <v>1300000</v>
      </c>
      <c r="Q217" s="241">
        <v>1300000</v>
      </c>
      <c r="R217" s="82"/>
      <c r="S217" s="241">
        <v>100000</v>
      </c>
      <c r="T217" s="82" t="s">
        <v>40</v>
      </c>
      <c r="U217" s="241">
        <v>25000</v>
      </c>
      <c r="V217" s="82" t="s">
        <v>40</v>
      </c>
      <c r="W217" s="88">
        <v>25000</v>
      </c>
      <c r="X217" s="82" t="s">
        <v>40</v>
      </c>
      <c r="Y217" s="89"/>
      <c r="Z217" s="82"/>
      <c r="AA217" s="220"/>
      <c r="AB217" s="241">
        <v>200000</v>
      </c>
      <c r="AC217" s="241">
        <v>220000</v>
      </c>
      <c r="AD217" s="241"/>
      <c r="AE217" s="82" t="s">
        <v>74</v>
      </c>
      <c r="AF217" s="82" t="s">
        <v>970</v>
      </c>
      <c r="AG217" s="90"/>
      <c r="AH217" s="90"/>
      <c r="AI217" s="90" t="s">
        <v>971</v>
      </c>
      <c r="AJ217" s="90"/>
      <c r="AK217" s="82"/>
      <c r="AL217" s="82" t="str" cm="1">
        <f t="array" aca="1" ref="AL217" ca="1">_xlfn.IFS(
 AND($AK217&lt;&gt;"", M217&lt;&gt;0, M217&lt;=EDATE(TODAY(),2)),"도래",
 AND($AK217&lt;&gt;"", M217&lt;&gt;0, M217&lt;=EDATE(TODAY(),3)),"예정",
 AND($AK217&lt;&gt;"", M217&lt;&gt;0, M217&lt;=EDATE(TODAY(),6)),"관심",
 TRUE,""
)</f>
        <v/>
      </c>
      <c r="AM217" s="198">
        <f t="shared" si="8"/>
        <v>13</v>
      </c>
    </row>
    <row r="218" spans="1:39" ht="18" customHeight="1">
      <c r="A218" s="81"/>
      <c r="B218" s="205" t="str">
        <f>_xlfn.LET(_xlpm.var,◆관리정보!B218,IF(_xlpm.var&lt;&gt;0,_xlpm.var,""))</f>
        <v>리트코하우스</v>
      </c>
      <c r="C218" s="82">
        <f>_xlfn.LET(_xlpm.var,◆관리정보!C218,IF(_xlpm.var&lt;&gt;0,_xlpm.var,""))</f>
        <v>603</v>
      </c>
      <c r="D218" s="236" t="s">
        <v>972</v>
      </c>
      <c r="E218" s="84" t="str">
        <f t="shared" si="7"/>
        <v>리트코하우스603</v>
      </c>
      <c r="F218" s="85">
        <v>46118</v>
      </c>
      <c r="G218" s="229"/>
      <c r="H218" s="229"/>
      <c r="I218" s="229"/>
      <c r="J218" s="229"/>
      <c r="K218" s="218"/>
      <c r="L218" s="87">
        <v>46087</v>
      </c>
      <c r="M218" s="87">
        <v>38873</v>
      </c>
      <c r="N218" s="82" t="s">
        <v>973</v>
      </c>
      <c r="O218" s="82" t="s">
        <v>974</v>
      </c>
      <c r="P218" s="241">
        <v>1300000</v>
      </c>
      <c r="Q218" s="241">
        <v>1300000</v>
      </c>
      <c r="R218" s="82"/>
      <c r="S218" s="241">
        <v>100000</v>
      </c>
      <c r="T218" s="82" t="s">
        <v>40</v>
      </c>
      <c r="U218" s="241">
        <v>25000</v>
      </c>
      <c r="V218" s="82" t="s">
        <v>40</v>
      </c>
      <c r="W218" s="88">
        <v>25000</v>
      </c>
      <c r="X218" s="82" t="s">
        <v>40</v>
      </c>
      <c r="Y218" s="89"/>
      <c r="Z218" s="82"/>
      <c r="AA218" s="220"/>
      <c r="AB218" s="241">
        <v>180000</v>
      </c>
      <c r="AC218" s="241">
        <v>220000</v>
      </c>
      <c r="AD218" s="241"/>
      <c r="AE218" s="82" t="s">
        <v>85</v>
      </c>
      <c r="AF218" s="82" t="s">
        <v>86</v>
      </c>
      <c r="AG218" s="90"/>
      <c r="AH218" s="90"/>
      <c r="AI218" s="90" t="s">
        <v>975</v>
      </c>
      <c r="AJ218" s="90"/>
      <c r="AK218" s="82"/>
      <c r="AL218" s="82" t="str" cm="1">
        <f t="array" aca="1" ref="AL218" ca="1">_xlfn.IFS(
 AND($AK218&lt;&gt;"", M218&lt;&gt;0, M218&lt;=EDATE(TODAY(),2)),"도래",
 AND($AK218&lt;&gt;"", M218&lt;&gt;0, M218&lt;=EDATE(TODAY(),3)),"예정",
 AND($AK218&lt;&gt;"", M218&lt;&gt;0, M218&lt;=EDATE(TODAY(),6)),"관심",
 TRUE,""
)</f>
        <v/>
      </c>
      <c r="AM218" s="198">
        <f t="shared" si="8"/>
        <v>6</v>
      </c>
    </row>
    <row r="219" spans="1:39" ht="18" customHeight="1">
      <c r="A219" s="81"/>
      <c r="B219" s="205" t="str">
        <f>_xlfn.LET(_xlpm.var,◆관리정보!B219,IF(_xlpm.var&lt;&gt;0,_xlpm.var,""))</f>
        <v>리트코하우스</v>
      </c>
      <c r="C219" s="82">
        <f>_xlfn.LET(_xlpm.var,◆관리정보!C219,IF(_xlpm.var&lt;&gt;0,_xlpm.var,""))</f>
        <v>604</v>
      </c>
      <c r="D219" s="83" t="s">
        <v>976</v>
      </c>
      <c r="E219" s="84" t="str">
        <f t="shared" si="7"/>
        <v>리트코하우스604</v>
      </c>
      <c r="F219" s="85">
        <v>46100</v>
      </c>
      <c r="G219" s="229"/>
      <c r="H219" s="229"/>
      <c r="I219" s="229"/>
      <c r="J219" s="229">
        <v>2059850</v>
      </c>
      <c r="K219" s="218"/>
      <c r="L219" s="87">
        <v>45857</v>
      </c>
      <c r="M219" s="87">
        <v>45948</v>
      </c>
      <c r="N219" s="82" t="s">
        <v>977</v>
      </c>
      <c r="O219" s="82" t="s">
        <v>978</v>
      </c>
      <c r="P219" s="241">
        <v>1800000</v>
      </c>
      <c r="Q219" s="241">
        <v>1800000</v>
      </c>
      <c r="R219" s="82"/>
      <c r="S219" s="241">
        <v>120000</v>
      </c>
      <c r="T219" s="82" t="s">
        <v>40</v>
      </c>
      <c r="U219" s="241">
        <v>25000</v>
      </c>
      <c r="V219" s="82" t="s">
        <v>40</v>
      </c>
      <c r="W219" s="88">
        <v>25000</v>
      </c>
      <c r="X219" s="82" t="s">
        <v>40</v>
      </c>
      <c r="Y219" s="89"/>
      <c r="Z219" s="82"/>
      <c r="AA219" s="220"/>
      <c r="AB219" s="241">
        <v>200000</v>
      </c>
      <c r="AC219" s="241">
        <v>275000</v>
      </c>
      <c r="AD219" s="241"/>
      <c r="AE219" s="82" t="s">
        <v>979</v>
      </c>
      <c r="AF219" s="82" t="s">
        <v>980</v>
      </c>
      <c r="AG219" s="90"/>
      <c r="AH219" s="90"/>
      <c r="AI219" s="90"/>
      <c r="AJ219" s="90"/>
      <c r="AK219" s="82"/>
      <c r="AL219" s="82" t="str" cm="1">
        <f t="array" aca="1" ref="AL219" ca="1">_xlfn.IFS(
 AND($AK219&lt;&gt;"", M219&lt;&gt;0, M219&lt;=EDATE(TODAY(),2)),"도래",
 AND($AK219&lt;&gt;"", M219&lt;&gt;0, M219&lt;=EDATE(TODAY(),3)),"예정",
 AND($AK219&lt;&gt;"", M219&lt;&gt;0, M219&lt;=EDATE(TODAY(),6)),"관심",
 TRUE,""
)</f>
        <v/>
      </c>
      <c r="AM219" s="198">
        <f t="shared" si="8"/>
        <v>19</v>
      </c>
    </row>
    <row r="220" spans="1:39" ht="18" customHeight="1">
      <c r="A220" s="81"/>
      <c r="B220" s="205" t="str">
        <f>_xlfn.LET(_xlpm.var,◆관리정보!B220,IF(_xlpm.var&lt;&gt;0,_xlpm.var,""))</f>
        <v>리트코하우스</v>
      </c>
      <c r="C220" s="82">
        <f>_xlfn.LET(_xlpm.var,◆관리정보!C220,IF(_xlpm.var&lt;&gt;0,_xlpm.var,""))</f>
        <v>605</v>
      </c>
      <c r="D220" s="83" t="s">
        <v>981</v>
      </c>
      <c r="E220" s="84" t="str">
        <f t="shared" si="7"/>
        <v>리트코하우스605</v>
      </c>
      <c r="F220" s="85">
        <v>46100</v>
      </c>
      <c r="G220" s="229"/>
      <c r="H220" s="229"/>
      <c r="I220" s="229"/>
      <c r="J220" s="229">
        <v>1463410</v>
      </c>
      <c r="K220" s="218"/>
      <c r="L220" s="87">
        <v>45766</v>
      </c>
      <c r="M220" s="87">
        <v>45856</v>
      </c>
      <c r="N220" s="82" t="s">
        <v>982</v>
      </c>
      <c r="O220" s="82" t="s">
        <v>983</v>
      </c>
      <c r="P220" s="241">
        <v>1250000</v>
      </c>
      <c r="Q220" s="241">
        <v>1250000</v>
      </c>
      <c r="R220" s="82"/>
      <c r="S220" s="241">
        <v>100000</v>
      </c>
      <c r="T220" s="82" t="s">
        <v>40</v>
      </c>
      <c r="U220" s="241">
        <v>25000</v>
      </c>
      <c r="V220" s="82" t="s">
        <v>40</v>
      </c>
      <c r="W220" s="88">
        <v>25000</v>
      </c>
      <c r="X220" s="82" t="s">
        <v>40</v>
      </c>
      <c r="Y220" s="89"/>
      <c r="Z220" s="82"/>
      <c r="AA220" s="220"/>
      <c r="AB220" s="241">
        <v>180000</v>
      </c>
      <c r="AC220" s="241">
        <v>220000</v>
      </c>
      <c r="AD220" s="241"/>
      <c r="AE220" s="82" t="s">
        <v>63</v>
      </c>
      <c r="AF220" s="82" t="s">
        <v>359</v>
      </c>
      <c r="AG220" s="90"/>
      <c r="AH220" s="90"/>
      <c r="AI220" s="90"/>
      <c r="AJ220" s="90"/>
      <c r="AK220" s="82"/>
      <c r="AL220" s="82" t="str" cm="1">
        <f t="array" aca="1" ref="AL220" ca="1">_xlfn.IFS(
 AND($AK220&lt;&gt;"", M220&lt;&gt;0, M220&lt;=EDATE(TODAY(),2)),"도래",
 AND($AK220&lt;&gt;"", M220&lt;&gt;0, M220&lt;=EDATE(TODAY(),3)),"예정",
 AND($AK220&lt;&gt;"", M220&lt;&gt;0, M220&lt;=EDATE(TODAY(),6)),"관심",
 TRUE,""
)</f>
        <v/>
      </c>
      <c r="AM220" s="198">
        <f t="shared" si="8"/>
        <v>19</v>
      </c>
    </row>
    <row r="221" spans="1:39" ht="18" customHeight="1">
      <c r="A221" s="81"/>
      <c r="B221" s="205" t="str">
        <f>_xlfn.LET(_xlpm.var,◆관리정보!B221,IF(_xlpm.var&lt;&gt;0,_xlpm.var,""))</f>
        <v>리트코하우스</v>
      </c>
      <c r="C221" s="82">
        <f>_xlfn.LET(_xlpm.var,◆관리정보!C221,IF(_xlpm.var&lt;&gt;0,_xlpm.var,""))</f>
        <v>606</v>
      </c>
      <c r="D221" s="83" t="s">
        <v>984</v>
      </c>
      <c r="E221" s="84" t="str">
        <f t="shared" si="7"/>
        <v>리트코하우스606</v>
      </c>
      <c r="F221" s="85">
        <v>46100</v>
      </c>
      <c r="G221" s="229"/>
      <c r="H221" s="229"/>
      <c r="I221" s="229"/>
      <c r="J221" s="229">
        <v>1798880</v>
      </c>
      <c r="K221" s="218"/>
      <c r="L221" s="87">
        <v>45065</v>
      </c>
      <c r="M221" s="87">
        <v>45156</v>
      </c>
      <c r="N221" s="82" t="s">
        <v>985</v>
      </c>
      <c r="O221" s="82" t="s">
        <v>986</v>
      </c>
      <c r="P221" s="241">
        <v>1550000</v>
      </c>
      <c r="Q221" s="306">
        <v>1550000</v>
      </c>
      <c r="R221" s="82"/>
      <c r="S221" s="241">
        <v>100000</v>
      </c>
      <c r="T221" s="82" t="s">
        <v>40</v>
      </c>
      <c r="U221" s="241">
        <v>25000</v>
      </c>
      <c r="V221" s="82" t="s">
        <v>40</v>
      </c>
      <c r="W221" s="88">
        <v>25000</v>
      </c>
      <c r="X221" s="82" t="s">
        <v>40</v>
      </c>
      <c r="Y221" s="89"/>
      <c r="Z221" s="82"/>
      <c r="AA221" s="220">
        <v>3739</v>
      </c>
      <c r="AB221" s="241">
        <v>180000</v>
      </c>
      <c r="AC221" s="241">
        <v>275000</v>
      </c>
      <c r="AD221" s="241"/>
      <c r="AE221" s="82" t="s">
        <v>63</v>
      </c>
      <c r="AF221" s="82" t="s">
        <v>333</v>
      </c>
      <c r="AG221" s="90"/>
      <c r="AH221" s="90"/>
      <c r="AI221" s="90" t="s">
        <v>987</v>
      </c>
      <c r="AJ221" s="90"/>
      <c r="AK221" s="82"/>
      <c r="AL221" s="82" t="str" cm="1">
        <f t="array" aca="1" ref="AL221" ca="1">_xlfn.IFS(
 AND($AK221&lt;&gt;"", M221&lt;&gt;0, M221&lt;=EDATE(TODAY(),2)),"도래",
 AND($AK221&lt;&gt;"", M221&lt;&gt;0, M221&lt;=EDATE(TODAY(),3)),"예정",
 AND($AK221&lt;&gt;"", M221&lt;&gt;0, M221&lt;=EDATE(TODAY(),6)),"관심",
 TRUE,""
)</f>
        <v/>
      </c>
      <c r="AM221" s="198">
        <f t="shared" si="8"/>
        <v>19</v>
      </c>
    </row>
    <row r="222" spans="1:39" ht="18" customHeight="1">
      <c r="A222" s="81"/>
      <c r="B222" s="205" t="str">
        <f>_xlfn.LET(_xlpm.var,◆관리정보!B222,IF(_xlpm.var&lt;&gt;0,_xlpm.var,""))</f>
        <v>리트코하우스</v>
      </c>
      <c r="C222" s="82">
        <f>_xlfn.LET(_xlpm.var,◆관리정보!C222,IF(_xlpm.var&lt;&gt;0,_xlpm.var,""))</f>
        <v>701</v>
      </c>
      <c r="D222" s="83" t="s">
        <v>988</v>
      </c>
      <c r="E222" s="84" t="str">
        <f t="shared" si="7"/>
        <v>리트코하우스701</v>
      </c>
      <c r="F222" s="85">
        <v>46121</v>
      </c>
      <c r="G222" s="229"/>
      <c r="H222" s="229"/>
      <c r="I222" s="229"/>
      <c r="J222" s="229"/>
      <c r="K222" s="318"/>
      <c r="L222" s="87">
        <v>45482</v>
      </c>
      <c r="M222" s="87">
        <v>45573</v>
      </c>
      <c r="N222" s="82" t="s">
        <v>989</v>
      </c>
      <c r="O222" s="82" t="s">
        <v>990</v>
      </c>
      <c r="P222" s="241">
        <v>1250000</v>
      </c>
      <c r="Q222" s="306">
        <v>1300000</v>
      </c>
      <c r="R222" s="82"/>
      <c r="S222" s="241">
        <v>100000</v>
      </c>
      <c r="T222" s="82" t="s">
        <v>40</v>
      </c>
      <c r="U222" s="241">
        <v>25000</v>
      </c>
      <c r="V222" s="82" t="s">
        <v>40</v>
      </c>
      <c r="W222" s="88">
        <v>25000</v>
      </c>
      <c r="X222" s="82" t="s">
        <v>40</v>
      </c>
      <c r="Y222" s="89"/>
      <c r="Z222" s="82"/>
      <c r="AA222" s="220" t="s">
        <v>991</v>
      </c>
      <c r="AB222" s="241">
        <v>150000</v>
      </c>
      <c r="AC222" s="241">
        <v>220000</v>
      </c>
      <c r="AD222" s="241"/>
      <c r="AE222" s="82" t="s">
        <v>63</v>
      </c>
      <c r="AF222" s="82" t="s">
        <v>333</v>
      </c>
      <c r="AG222" s="90"/>
      <c r="AH222" s="90"/>
      <c r="AI222" s="90" t="s">
        <v>992</v>
      </c>
      <c r="AJ222" s="90"/>
      <c r="AK222" s="82"/>
      <c r="AL222" s="82" t="str" cm="1">
        <f t="array" aca="1" ref="AL222" ca="1">_xlfn.IFS(
 AND($AK222&lt;&gt;"", M222&lt;&gt;0, M222&lt;=EDATE(TODAY(),2)),"도래",
 AND($AK222&lt;&gt;"", M222&lt;&gt;0, M222&lt;=EDATE(TODAY(),3)),"예정",
 AND($AK222&lt;&gt;"", M222&lt;&gt;0, M222&lt;=EDATE(TODAY(),6)),"관심",
 TRUE,""
)</f>
        <v/>
      </c>
      <c r="AM222" s="198">
        <f t="shared" si="8"/>
        <v>9</v>
      </c>
    </row>
    <row r="223" spans="1:39" ht="18" customHeight="1">
      <c r="A223" s="81"/>
      <c r="B223" s="205" t="str">
        <f>_xlfn.LET(_xlpm.var,◆관리정보!B223,IF(_xlpm.var&lt;&gt;0,_xlpm.var,""))</f>
        <v>리트코하우스</v>
      </c>
      <c r="C223" s="82">
        <f>_xlfn.LET(_xlpm.var,◆관리정보!C223,IF(_xlpm.var&lt;&gt;0,_xlpm.var,""))</f>
        <v>702</v>
      </c>
      <c r="D223" s="83" t="s">
        <v>922</v>
      </c>
      <c r="E223" s="84" t="str">
        <f t="shared" si="7"/>
        <v>리트코하우스702</v>
      </c>
      <c r="F223" s="85">
        <v>46096</v>
      </c>
      <c r="G223" s="229"/>
      <c r="H223" s="229"/>
      <c r="I223" s="229"/>
      <c r="J223" s="229">
        <v>1395630</v>
      </c>
      <c r="K223" s="218"/>
      <c r="L223" s="87">
        <v>44666</v>
      </c>
      <c r="M223" s="87">
        <v>44756</v>
      </c>
      <c r="N223" s="82" t="s">
        <v>993</v>
      </c>
      <c r="O223" s="82" t="s">
        <v>994</v>
      </c>
      <c r="P223" s="241">
        <v>1200000</v>
      </c>
      <c r="Q223" s="241">
        <v>1200000</v>
      </c>
      <c r="R223" s="82"/>
      <c r="S223" s="241">
        <v>100000</v>
      </c>
      <c r="T223" s="82" t="s">
        <v>40</v>
      </c>
      <c r="U223" s="241">
        <v>15000</v>
      </c>
      <c r="V223" s="82" t="s">
        <v>40</v>
      </c>
      <c r="W223" s="88">
        <v>25000</v>
      </c>
      <c r="X223" s="82" t="s">
        <v>40</v>
      </c>
      <c r="Y223" s="89"/>
      <c r="Z223" s="82"/>
      <c r="AA223" s="220"/>
      <c r="AB223" s="241">
        <v>120000</v>
      </c>
      <c r="AC223" s="241">
        <v>200000</v>
      </c>
      <c r="AD223" s="241"/>
      <c r="AE223" s="82" t="s">
        <v>829</v>
      </c>
      <c r="AF223" s="82" t="s">
        <v>995</v>
      </c>
      <c r="AG223" s="90"/>
      <c r="AH223" s="90"/>
      <c r="AI223" s="90"/>
      <c r="AJ223" s="90"/>
      <c r="AK223" s="82"/>
      <c r="AL223" s="82" t="str" cm="1">
        <f t="array" aca="1" ref="AL223" ca="1">_xlfn.IFS(
 AND($AK223&lt;&gt;"", M223&lt;&gt;0, M223&lt;=EDATE(TODAY(),2)),"도래",
 AND($AK223&lt;&gt;"", M223&lt;&gt;0, M223&lt;=EDATE(TODAY(),3)),"예정",
 AND($AK223&lt;&gt;"", M223&lt;&gt;0, M223&lt;=EDATE(TODAY(),6)),"관심",
 TRUE,""
)</f>
        <v/>
      </c>
      <c r="AM223" s="198">
        <f t="shared" si="8"/>
        <v>15</v>
      </c>
    </row>
    <row r="224" spans="1:39" ht="18" customHeight="1">
      <c r="A224" s="81"/>
      <c r="B224" s="205" t="str">
        <f>_xlfn.LET(_xlpm.var,◆관리정보!B224,IF(_xlpm.var&lt;&gt;0,_xlpm.var,""))</f>
        <v>리트코하우스</v>
      </c>
      <c r="C224" s="82">
        <f>_xlfn.LET(_xlpm.var,◆관리정보!C224,IF(_xlpm.var&lt;&gt;0,_xlpm.var,""))</f>
        <v>703</v>
      </c>
      <c r="D224" s="83" t="s">
        <v>996</v>
      </c>
      <c r="E224" s="84" t="str">
        <f t="shared" si="7"/>
        <v>리트코하우스703</v>
      </c>
      <c r="F224" s="85">
        <v>46118</v>
      </c>
      <c r="G224" s="229"/>
      <c r="H224" s="229"/>
      <c r="I224" s="229"/>
      <c r="J224" s="229"/>
      <c r="K224" s="218"/>
      <c r="L224" s="87">
        <v>46059</v>
      </c>
      <c r="M224" s="87">
        <v>46147</v>
      </c>
      <c r="N224" s="82" t="s">
        <v>997</v>
      </c>
      <c r="O224" s="82" t="s">
        <v>998</v>
      </c>
      <c r="P224" s="241">
        <v>1300000</v>
      </c>
      <c r="Q224" s="241">
        <v>1300000</v>
      </c>
      <c r="R224" s="82"/>
      <c r="S224" s="241">
        <v>100000</v>
      </c>
      <c r="T224" s="82" t="s">
        <v>40</v>
      </c>
      <c r="U224" s="241">
        <v>25000</v>
      </c>
      <c r="V224" s="82" t="s">
        <v>40</v>
      </c>
      <c r="W224" s="88">
        <v>25000</v>
      </c>
      <c r="X224" s="82" t="s">
        <v>40</v>
      </c>
      <c r="Y224" s="89"/>
      <c r="Z224" s="82"/>
      <c r="AA224" s="220"/>
      <c r="AB224" s="241">
        <v>200000</v>
      </c>
      <c r="AC224" s="241">
        <v>220000</v>
      </c>
      <c r="AD224" s="241"/>
      <c r="AE224" s="82" t="s">
        <v>332</v>
      </c>
      <c r="AF224" s="82" t="s">
        <v>333</v>
      </c>
      <c r="AG224" s="90"/>
      <c r="AH224" s="90"/>
      <c r="AI224" s="90"/>
      <c r="AJ224" s="90"/>
      <c r="AK224" s="82"/>
      <c r="AL224" s="82" t="str" cm="1">
        <f t="array" aca="1" ref="AL224" ca="1">_xlfn.IFS(
 AND($AK224&lt;&gt;"", M224&lt;&gt;0, M224&lt;=EDATE(TODAY(),2)),"도래",
 AND($AK224&lt;&gt;"", M224&lt;&gt;0, M224&lt;=EDATE(TODAY(),3)),"예정",
 AND($AK224&lt;&gt;"", M224&lt;&gt;0, M224&lt;=EDATE(TODAY(),6)),"관심",
 TRUE,""
)</f>
        <v/>
      </c>
      <c r="AM224" s="198">
        <f t="shared" si="8"/>
        <v>6</v>
      </c>
    </row>
    <row r="225" spans="1:39" ht="18" customHeight="1">
      <c r="A225" s="81"/>
      <c r="B225" s="205" t="str">
        <f>_xlfn.LET(_xlpm.var,◆관리정보!B225,IF(_xlpm.var&lt;&gt;0,_xlpm.var,""))</f>
        <v>리트코하우스</v>
      </c>
      <c r="C225" s="82">
        <f>_xlfn.LET(_xlpm.var,◆관리정보!C225,IF(_xlpm.var&lt;&gt;0,_xlpm.var,""))</f>
        <v>704</v>
      </c>
      <c r="D225" s="83" t="s">
        <v>999</v>
      </c>
      <c r="E225" s="84" t="str">
        <f t="shared" si="7"/>
        <v>리트코하우스704</v>
      </c>
      <c r="F225" s="85">
        <v>46115</v>
      </c>
      <c r="G225" s="229"/>
      <c r="H225" s="229"/>
      <c r="I225" s="229"/>
      <c r="J225" s="229"/>
      <c r="K225" s="218"/>
      <c r="L225" s="87">
        <v>45964</v>
      </c>
      <c r="M225" s="87">
        <v>46056</v>
      </c>
      <c r="N225" s="82" t="s">
        <v>1000</v>
      </c>
      <c r="O225" s="82" t="s">
        <v>1001</v>
      </c>
      <c r="P225" s="241">
        <v>1850000</v>
      </c>
      <c r="Q225" s="241">
        <v>1850000</v>
      </c>
      <c r="R225" s="82"/>
      <c r="S225" s="241">
        <v>120000</v>
      </c>
      <c r="T225" s="82" t="s">
        <v>40</v>
      </c>
      <c r="U225" s="241">
        <v>30000</v>
      </c>
      <c r="V225" s="82" t="s">
        <v>40</v>
      </c>
      <c r="W225" s="88">
        <v>25000</v>
      </c>
      <c r="X225" s="82" t="s">
        <v>40</v>
      </c>
      <c r="Y225" s="89"/>
      <c r="Z225" s="82"/>
      <c r="AA225" s="220"/>
      <c r="AB225" s="241">
        <v>200000</v>
      </c>
      <c r="AC225" s="241">
        <v>275000</v>
      </c>
      <c r="AD225" s="241"/>
      <c r="AE225" s="82" t="s">
        <v>57</v>
      </c>
      <c r="AF225" s="82" t="s">
        <v>58</v>
      </c>
      <c r="AG225" s="90"/>
      <c r="AH225" s="90"/>
      <c r="AI225" s="90" t="s">
        <v>1002</v>
      </c>
      <c r="AJ225" s="90"/>
      <c r="AK225" s="82"/>
      <c r="AL225" s="82" t="str" cm="1">
        <f t="array" aca="1" ref="AL225" ca="1">_xlfn.IFS(
 AND($AK225&lt;&gt;"", M225&lt;&gt;0, M225&lt;=EDATE(TODAY(),2)),"도래",
 AND($AK225&lt;&gt;"", M225&lt;&gt;0, M225&lt;=EDATE(TODAY(),3)),"예정",
 AND($AK225&lt;&gt;"", M225&lt;&gt;0, M225&lt;=EDATE(TODAY(),6)),"관심",
 TRUE,""
)</f>
        <v/>
      </c>
      <c r="AM225" s="198">
        <f t="shared" si="8"/>
        <v>3</v>
      </c>
    </row>
    <row r="226" spans="1:39" ht="18" customHeight="1">
      <c r="A226" s="81"/>
      <c r="B226" s="205" t="str">
        <f>_xlfn.LET(_xlpm.var,◆관리정보!B226,IF(_xlpm.var&lt;&gt;0,_xlpm.var,""))</f>
        <v>리트코하우스</v>
      </c>
      <c r="C226" s="82">
        <f>_xlfn.LET(_xlpm.var,◆관리정보!C226,IF(_xlpm.var&lt;&gt;0,_xlpm.var,""))</f>
        <v>705</v>
      </c>
      <c r="D226" s="83" t="s">
        <v>1003</v>
      </c>
      <c r="E226" s="84" t="str">
        <f t="shared" si="7"/>
        <v>리트코하우스705</v>
      </c>
      <c r="F226" s="85">
        <v>46101</v>
      </c>
      <c r="G226" s="229"/>
      <c r="H226" s="229"/>
      <c r="I226" s="229"/>
      <c r="J226" s="229">
        <v>1440190</v>
      </c>
      <c r="K226" s="218"/>
      <c r="L226" s="87">
        <v>44581</v>
      </c>
      <c r="M226" s="87">
        <v>45035</v>
      </c>
      <c r="N226" s="82" t="s">
        <v>1004</v>
      </c>
      <c r="O226" s="82" t="s">
        <v>1005</v>
      </c>
      <c r="P226" s="241">
        <v>1250000</v>
      </c>
      <c r="Q226" s="241">
        <v>1250000</v>
      </c>
      <c r="R226" s="82"/>
      <c r="S226" s="241">
        <v>100000</v>
      </c>
      <c r="T226" s="82" t="s">
        <v>40</v>
      </c>
      <c r="U226" s="241">
        <v>20000</v>
      </c>
      <c r="V226" s="82" t="s">
        <v>40</v>
      </c>
      <c r="W226" s="88">
        <v>25000</v>
      </c>
      <c r="X226" s="82" t="s">
        <v>40</v>
      </c>
      <c r="Y226" s="89"/>
      <c r="Z226" s="82"/>
      <c r="AA226" s="220"/>
      <c r="AB226" s="241">
        <v>120000</v>
      </c>
      <c r="AC226" s="241">
        <v>200000</v>
      </c>
      <c r="AD226" s="241"/>
      <c r="AE226" s="82" t="s">
        <v>63</v>
      </c>
      <c r="AF226" s="82" t="s">
        <v>359</v>
      </c>
      <c r="AG226" s="90"/>
      <c r="AH226" s="90"/>
      <c r="AI226" s="90" t="s">
        <v>1006</v>
      </c>
      <c r="AJ226" s="90"/>
      <c r="AK226" s="82"/>
      <c r="AL226" s="82" t="str" cm="1">
        <f t="array" aca="1" ref="AL226" ca="1">_xlfn.IFS(
 AND($AK226&lt;&gt;"", M226&lt;&gt;0, M226&lt;=EDATE(TODAY(),2)),"도래",
 AND($AK226&lt;&gt;"", M226&lt;&gt;0, M226&lt;=EDATE(TODAY(),3)),"예정",
 AND($AK226&lt;&gt;"", M226&lt;&gt;0, M226&lt;=EDATE(TODAY(),6)),"관심",
 TRUE,""
)</f>
        <v/>
      </c>
      <c r="AM226" s="198">
        <f t="shared" si="8"/>
        <v>20</v>
      </c>
    </row>
    <row r="227" spans="1:39" ht="18" customHeight="1">
      <c r="A227" s="81"/>
      <c r="B227" s="205" t="str">
        <f>_xlfn.LET(_xlpm.var,◆관리정보!B227,IF(_xlpm.var&lt;&gt;0,_xlpm.var,""))</f>
        <v>리트코하우스</v>
      </c>
      <c r="C227" s="82">
        <f>_xlfn.LET(_xlpm.var,◆관리정보!C227,IF(_xlpm.var&lt;&gt;0,_xlpm.var,""))</f>
        <v>706</v>
      </c>
      <c r="D227" s="83" t="s">
        <v>1007</v>
      </c>
      <c r="E227" s="84" t="str">
        <f t="shared" si="7"/>
        <v>리트코하우스706</v>
      </c>
      <c r="F227" s="85">
        <v>46090</v>
      </c>
      <c r="G227" s="229"/>
      <c r="H227" s="229"/>
      <c r="I227" s="229"/>
      <c r="J227" s="229">
        <f>1950110-1157-998254-(500000-32500)</f>
        <v>483199</v>
      </c>
      <c r="K227" s="318"/>
      <c r="L227" s="87">
        <v>45756</v>
      </c>
      <c r="M227" s="87">
        <v>45846</v>
      </c>
      <c r="N227" s="82" t="s">
        <v>1008</v>
      </c>
      <c r="O227" s="82" t="s">
        <v>1009</v>
      </c>
      <c r="P227" s="241">
        <v>1650000</v>
      </c>
      <c r="Q227" s="306">
        <v>1650000</v>
      </c>
      <c r="R227" s="82"/>
      <c r="S227" s="241">
        <v>120000</v>
      </c>
      <c r="T227" s="82" t="s">
        <v>40</v>
      </c>
      <c r="U227" s="241">
        <v>25000</v>
      </c>
      <c r="V227" s="82" t="s">
        <v>40</v>
      </c>
      <c r="W227" s="88">
        <v>25000</v>
      </c>
      <c r="X227" s="82" t="s">
        <v>40</v>
      </c>
      <c r="Y227" s="89"/>
      <c r="Z227" s="82"/>
      <c r="AA227" s="220" t="s">
        <v>1010</v>
      </c>
      <c r="AB227" s="241">
        <v>200000</v>
      </c>
      <c r="AC227" s="241">
        <v>275000</v>
      </c>
      <c r="AD227" s="241"/>
      <c r="AE227" s="82" t="s">
        <v>327</v>
      </c>
      <c r="AF227" s="82" t="s">
        <v>328</v>
      </c>
      <c r="AG227" s="90"/>
      <c r="AH227" s="90"/>
      <c r="AI227" s="90" t="s">
        <v>1011</v>
      </c>
      <c r="AJ227" s="90"/>
      <c r="AK227" s="82"/>
      <c r="AL227" s="82" t="str" cm="1">
        <f t="array" aca="1" ref="AL227" ca="1">_xlfn.IFS(
 AND($AK227&lt;&gt;"", M227&lt;&gt;0, M227&lt;=EDATE(TODAY(),2)),"도래",
 AND($AK227&lt;&gt;"", M227&lt;&gt;0, M227&lt;=EDATE(TODAY(),3)),"예정",
 AND($AK227&lt;&gt;"", M227&lt;&gt;0, M227&lt;=EDATE(TODAY(),6)),"관심",
 TRUE,""
)</f>
        <v/>
      </c>
      <c r="AM227" s="198">
        <f t="shared" si="8"/>
        <v>9</v>
      </c>
    </row>
    <row r="228" spans="1:39" ht="18" customHeight="1">
      <c r="A228" s="81"/>
      <c r="B228" s="205" t="str">
        <f>_xlfn.LET(_xlpm.var,◆관리정보!B228,IF(_xlpm.var&lt;&gt;0,_xlpm.var,""))</f>
        <v>모던하우스</v>
      </c>
      <c r="C228" s="82">
        <f>_xlfn.LET(_xlpm.var,◆관리정보!C228,IF(_xlpm.var&lt;&gt;0,_xlpm.var,""))</f>
        <v>201</v>
      </c>
      <c r="D228" s="83" t="s">
        <v>1012</v>
      </c>
      <c r="E228" s="84" t="str">
        <f t="shared" si="7"/>
        <v>모던하우스201</v>
      </c>
      <c r="F228" s="85">
        <v>46103</v>
      </c>
      <c r="G228" s="229"/>
      <c r="H228" s="229"/>
      <c r="I228" s="229">
        <v>1320000</v>
      </c>
      <c r="J228" s="229">
        <v>133810</v>
      </c>
      <c r="K228" s="218"/>
      <c r="L228" s="87">
        <v>44795</v>
      </c>
      <c r="M228" s="87">
        <v>44886</v>
      </c>
      <c r="N228" s="82" t="s">
        <v>1013</v>
      </c>
      <c r="O228" s="82" t="s">
        <v>1014</v>
      </c>
      <c r="P228" s="241">
        <v>1200000</v>
      </c>
      <c r="Q228" s="241">
        <v>1200000</v>
      </c>
      <c r="R228" s="82"/>
      <c r="S228" s="241">
        <v>80000</v>
      </c>
      <c r="T228" s="82" t="s">
        <v>40</v>
      </c>
      <c r="U228" s="241">
        <v>15000</v>
      </c>
      <c r="V228" s="82" t="s">
        <v>40</v>
      </c>
      <c r="W228" s="88">
        <v>25000</v>
      </c>
      <c r="X228" s="82" t="s">
        <v>40</v>
      </c>
      <c r="Y228" s="89"/>
      <c r="Z228" s="82"/>
      <c r="AA228" s="390"/>
      <c r="AB228" s="241">
        <v>130000</v>
      </c>
      <c r="AC228" s="241">
        <v>150000</v>
      </c>
      <c r="AD228" s="241"/>
      <c r="AE228" s="82" t="s">
        <v>141</v>
      </c>
      <c r="AF228" s="82" t="s">
        <v>142</v>
      </c>
      <c r="AG228" s="90"/>
      <c r="AH228" s="90"/>
      <c r="AI228" s="90" t="s">
        <v>1015</v>
      </c>
      <c r="AJ228" s="90"/>
      <c r="AK228" s="82"/>
      <c r="AL228" s="82" t="str" cm="1">
        <f t="array" aca="1" ref="AL228" ca="1">_xlfn.IFS(
 AND($AK228&lt;&gt;"", M228&lt;&gt;0, M228&lt;=EDATE(TODAY(),2)),"도래",
 AND($AK228&lt;&gt;"", M228&lt;&gt;0, M228&lt;=EDATE(TODAY(),3)),"예정",
 AND($AK228&lt;&gt;"", M228&lt;&gt;0, M228&lt;=EDATE(TODAY(),6)),"관심",
 TRUE,""
)</f>
        <v/>
      </c>
      <c r="AM228" s="198">
        <f t="shared" si="8"/>
        <v>22</v>
      </c>
    </row>
    <row r="229" spans="1:39" ht="18" customHeight="1">
      <c r="A229" s="81"/>
      <c r="B229" s="205" t="str">
        <f>_xlfn.LET(_xlpm.var,◆관리정보!B229,IF(_xlpm.var&lt;&gt;0,_xlpm.var,""))</f>
        <v>모던하우스</v>
      </c>
      <c r="C229" s="82">
        <f>_xlfn.LET(_xlpm.var,◆관리정보!C229,IF(_xlpm.var&lt;&gt;0,_xlpm.var,""))</f>
        <v>202</v>
      </c>
      <c r="D229" s="83" t="s">
        <v>1016</v>
      </c>
      <c r="E229" s="84" t="str">
        <f t="shared" si="7"/>
        <v>모던하우스202</v>
      </c>
      <c r="F229" s="85">
        <v>46091</v>
      </c>
      <c r="G229" s="229"/>
      <c r="H229" s="229"/>
      <c r="I229" s="229">
        <v>1350000</v>
      </c>
      <c r="J229" s="229">
        <v>143820</v>
      </c>
      <c r="K229" s="318"/>
      <c r="L229" s="87">
        <v>45879</v>
      </c>
      <c r="M229" s="87">
        <v>45970</v>
      </c>
      <c r="N229" s="82" t="s">
        <v>1017</v>
      </c>
      <c r="O229" s="82" t="s">
        <v>1018</v>
      </c>
      <c r="P229" s="241">
        <v>1250000</v>
      </c>
      <c r="Q229" s="241">
        <v>1200000</v>
      </c>
      <c r="R229" s="82"/>
      <c r="S229" s="241">
        <v>100000</v>
      </c>
      <c r="T229" s="82" t="s">
        <v>40</v>
      </c>
      <c r="U229" s="241">
        <v>25000</v>
      </c>
      <c r="V229" s="82" t="s">
        <v>40</v>
      </c>
      <c r="W229" s="88">
        <v>25000</v>
      </c>
      <c r="X229" s="82" t="s">
        <v>40</v>
      </c>
      <c r="Y229" s="89"/>
      <c r="Z229" s="82"/>
      <c r="AA229" s="220"/>
      <c r="AB229" s="241">
        <v>130000</v>
      </c>
      <c r="AC229" s="241">
        <v>150000</v>
      </c>
      <c r="AD229" s="241"/>
      <c r="AE229" s="82" t="s">
        <v>664</v>
      </c>
      <c r="AF229" s="82" t="s">
        <v>1019</v>
      </c>
      <c r="AG229" s="90"/>
      <c r="AH229" s="90"/>
      <c r="AI229" s="90" t="s">
        <v>1020</v>
      </c>
      <c r="AJ229" s="90"/>
      <c r="AK229" s="82"/>
      <c r="AL229" s="82" t="str" cm="1">
        <f t="array" aca="1" ref="AL229" ca="1">_xlfn.IFS(
 AND($AK229&lt;&gt;"", M229&lt;&gt;0, M229&lt;=EDATE(TODAY(),2)),"도래",
 AND($AK229&lt;&gt;"", M229&lt;&gt;0, M229&lt;=EDATE(TODAY(),3)),"예정",
 AND($AK229&lt;&gt;"", M229&lt;&gt;0, M229&lt;=EDATE(TODAY(),6)),"관심",
 TRUE,""
)</f>
        <v/>
      </c>
      <c r="AM229" s="198">
        <f t="shared" si="8"/>
        <v>10</v>
      </c>
    </row>
    <row r="230" spans="1:39" ht="18" customHeight="1">
      <c r="A230" s="81"/>
      <c r="B230" s="205" t="str">
        <f>_xlfn.LET(_xlpm.var,◆관리정보!B230,IF(_xlpm.var&lt;&gt;0,_xlpm.var,""))</f>
        <v>모던하우스</v>
      </c>
      <c r="C230" s="82">
        <f>_xlfn.LET(_xlpm.var,◆관리정보!C230,IF(_xlpm.var&lt;&gt;0,_xlpm.var,""))</f>
        <v>203</v>
      </c>
      <c r="D230" s="83" t="s">
        <v>1021</v>
      </c>
      <c r="E230" s="84" t="str">
        <f t="shared" si="7"/>
        <v>모던하우스203</v>
      </c>
      <c r="F230" s="85">
        <v>46106</v>
      </c>
      <c r="G230" s="229"/>
      <c r="H230" s="229"/>
      <c r="I230" s="229">
        <v>1400000</v>
      </c>
      <c r="J230" s="229">
        <v>176050</v>
      </c>
      <c r="K230" s="218"/>
      <c r="L230" s="87">
        <v>45316</v>
      </c>
      <c r="M230" s="87">
        <v>45497</v>
      </c>
      <c r="N230" s="82" t="s">
        <v>1022</v>
      </c>
      <c r="O230" s="82" t="s">
        <v>1023</v>
      </c>
      <c r="P230" s="241">
        <v>1250000</v>
      </c>
      <c r="Q230" s="241">
        <v>1250000</v>
      </c>
      <c r="R230" s="82"/>
      <c r="S230" s="241">
        <v>100000</v>
      </c>
      <c r="T230" s="82" t="s">
        <v>40</v>
      </c>
      <c r="U230" s="241">
        <v>25000</v>
      </c>
      <c r="V230" s="82" t="s">
        <v>40</v>
      </c>
      <c r="W230" s="88">
        <v>25000</v>
      </c>
      <c r="X230" s="82" t="s">
        <v>40</v>
      </c>
      <c r="Y230" s="89"/>
      <c r="Z230" s="82"/>
      <c r="AA230" s="220"/>
      <c r="AB230" s="241">
        <v>180000</v>
      </c>
      <c r="AC230" s="241">
        <v>150000</v>
      </c>
      <c r="AD230" s="241"/>
      <c r="AE230" s="82" t="s">
        <v>523</v>
      </c>
      <c r="AF230" s="82" t="s">
        <v>1024</v>
      </c>
      <c r="AG230" s="90"/>
      <c r="AH230" s="90"/>
      <c r="AI230" s="90"/>
      <c r="AJ230" s="90"/>
      <c r="AK230" s="82"/>
      <c r="AL230" s="82" t="str" cm="1">
        <f t="array" aca="1" ref="AL230" ca="1">_xlfn.IFS(
 AND($AK230&lt;&gt;"", M230&lt;&gt;0, M230&lt;=EDATE(TODAY(),2)),"도래",
 AND($AK230&lt;&gt;"", M230&lt;&gt;0, M230&lt;=EDATE(TODAY(),3)),"예정",
 AND($AK230&lt;&gt;"", M230&lt;&gt;0, M230&lt;=EDATE(TODAY(),6)),"관심",
 TRUE,""
)</f>
        <v/>
      </c>
      <c r="AM230" s="198">
        <f t="shared" si="8"/>
        <v>25</v>
      </c>
    </row>
    <row r="231" spans="1:39" ht="18" customHeight="1">
      <c r="A231" s="81"/>
      <c r="B231" s="205" t="str">
        <f>_xlfn.LET(_xlpm.var,◆관리정보!B231,IF(_xlpm.var&lt;&gt;0,_xlpm.var,""))</f>
        <v>모던하우스</v>
      </c>
      <c r="C231" s="82">
        <f>_xlfn.LET(_xlpm.var,◆관리정보!C231,IF(_xlpm.var&lt;&gt;0,_xlpm.var,""))</f>
        <v>204</v>
      </c>
      <c r="D231" s="236" t="s">
        <v>1025</v>
      </c>
      <c r="E231" s="84" t="str">
        <f t="shared" si="7"/>
        <v>모던하우스204</v>
      </c>
      <c r="F231" s="85">
        <v>46120</v>
      </c>
      <c r="G231" s="229"/>
      <c r="H231" s="229"/>
      <c r="I231" s="229"/>
      <c r="J231" s="229"/>
      <c r="K231" s="218"/>
      <c r="L231" s="87">
        <v>46030</v>
      </c>
      <c r="M231" s="87">
        <v>46119</v>
      </c>
      <c r="N231" s="82" t="s">
        <v>1026</v>
      </c>
      <c r="O231" s="82" t="s">
        <v>1027</v>
      </c>
      <c r="P231" s="241">
        <v>1200000</v>
      </c>
      <c r="Q231" s="241">
        <v>1200000</v>
      </c>
      <c r="R231" s="82"/>
      <c r="S231" s="241">
        <v>100000</v>
      </c>
      <c r="T231" s="82" t="s">
        <v>40</v>
      </c>
      <c r="U231" s="241">
        <v>25000</v>
      </c>
      <c r="V231" s="82" t="s">
        <v>40</v>
      </c>
      <c r="W231" s="88">
        <v>25000</v>
      </c>
      <c r="X231" s="82" t="s">
        <v>40</v>
      </c>
      <c r="Y231" s="89"/>
      <c r="Z231" s="82"/>
      <c r="AA231" s="220"/>
      <c r="AB231" s="241">
        <v>180000</v>
      </c>
      <c r="AC231" s="241">
        <v>150000</v>
      </c>
      <c r="AD231" s="241"/>
      <c r="AE231" s="82" t="s">
        <v>1028</v>
      </c>
      <c r="AF231" s="82" t="s">
        <v>559</v>
      </c>
      <c r="AG231" s="90"/>
      <c r="AH231" s="90"/>
      <c r="AI231" s="90" t="s">
        <v>1029</v>
      </c>
      <c r="AJ231" s="90"/>
      <c r="AK231" s="82"/>
      <c r="AL231" s="82" t="str" cm="1">
        <f t="array" aca="1" ref="AL231" ca="1">_xlfn.IFS(
 AND($AK231&lt;&gt;"", M231&lt;&gt;0, M231&lt;=EDATE(TODAY(),2)),"도래",
 AND($AK231&lt;&gt;"", M231&lt;&gt;0, M231&lt;=EDATE(TODAY(),3)),"예정",
 AND($AK231&lt;&gt;"", M231&lt;&gt;0, M231&lt;=EDATE(TODAY(),6)),"관심",
 TRUE,""
)</f>
        <v/>
      </c>
      <c r="AM231" s="198">
        <f t="shared" si="8"/>
        <v>8</v>
      </c>
    </row>
    <row r="232" spans="1:39" ht="18" customHeight="1">
      <c r="A232" s="81"/>
      <c r="B232" s="205" t="str">
        <f>_xlfn.LET(_xlpm.var,◆관리정보!B232,IF(_xlpm.var&lt;&gt;0,_xlpm.var,""))</f>
        <v>모던하우스</v>
      </c>
      <c r="C232" s="82">
        <f>_xlfn.LET(_xlpm.var,◆관리정보!C232,IF(_xlpm.var&lt;&gt;0,_xlpm.var,""))</f>
        <v>205</v>
      </c>
      <c r="D232" s="236" t="s">
        <v>1030</v>
      </c>
      <c r="E232" s="84" t="str">
        <f t="shared" si="7"/>
        <v>모던하우스205</v>
      </c>
      <c r="F232" s="85">
        <v>46119</v>
      </c>
      <c r="G232" s="229"/>
      <c r="H232" s="229"/>
      <c r="I232" s="229"/>
      <c r="J232" s="229"/>
      <c r="K232" s="218"/>
      <c r="L232" s="87">
        <v>45358</v>
      </c>
      <c r="M232" s="87">
        <v>45449</v>
      </c>
      <c r="N232" s="82" t="s">
        <v>1031</v>
      </c>
      <c r="O232" s="82" t="s">
        <v>1032</v>
      </c>
      <c r="P232" s="241">
        <v>1200000</v>
      </c>
      <c r="Q232" s="241">
        <v>1200000</v>
      </c>
      <c r="R232" s="82"/>
      <c r="S232" s="241">
        <v>100000</v>
      </c>
      <c r="T232" s="82" t="s">
        <v>40</v>
      </c>
      <c r="U232" s="241">
        <v>25000</v>
      </c>
      <c r="V232" s="82" t="s">
        <v>40</v>
      </c>
      <c r="W232" s="88">
        <v>25000</v>
      </c>
      <c r="X232" s="82" t="s">
        <v>40</v>
      </c>
      <c r="Y232" s="89"/>
      <c r="Z232" s="82"/>
      <c r="AA232" s="220"/>
      <c r="AB232" s="241">
        <v>150000</v>
      </c>
      <c r="AC232" s="241">
        <v>150000</v>
      </c>
      <c r="AD232" s="241"/>
      <c r="AE232" s="82" t="s">
        <v>1033</v>
      </c>
      <c r="AF232" s="82" t="s">
        <v>1034</v>
      </c>
      <c r="AG232" s="90"/>
      <c r="AH232" s="90"/>
      <c r="AI232" s="90"/>
      <c r="AJ232" s="90"/>
      <c r="AK232" s="82"/>
      <c r="AL232" s="82" t="str" cm="1">
        <f t="array" aca="1" ref="AL232" ca="1">_xlfn.IFS(
 AND($AK232&lt;&gt;"", M232&lt;&gt;0, M232&lt;=EDATE(TODAY(),2)),"도래",
 AND($AK232&lt;&gt;"", M232&lt;&gt;0, M232&lt;=EDATE(TODAY(),3)),"예정",
 AND($AK232&lt;&gt;"", M232&lt;&gt;0, M232&lt;=EDATE(TODAY(),6)),"관심",
 TRUE,""
)</f>
        <v/>
      </c>
      <c r="AM232" s="198">
        <f t="shared" si="8"/>
        <v>7</v>
      </c>
    </row>
    <row r="233" spans="1:39" ht="18" customHeight="1">
      <c r="A233" s="81"/>
      <c r="B233" s="205" t="str">
        <f>_xlfn.LET(_xlpm.var,◆관리정보!B233,IF(_xlpm.var&lt;&gt;0,_xlpm.var,""))</f>
        <v>모던하우스</v>
      </c>
      <c r="C233" s="82">
        <f>_xlfn.LET(_xlpm.var,◆관리정보!C233,IF(_xlpm.var&lt;&gt;0,_xlpm.var,""))</f>
        <v>301</v>
      </c>
      <c r="D233" s="236" t="s">
        <v>1035</v>
      </c>
      <c r="E233" s="84" t="str">
        <f t="shared" si="7"/>
        <v>모던하우스301</v>
      </c>
      <c r="F233" s="85">
        <v>46107</v>
      </c>
      <c r="G233" s="229"/>
      <c r="H233" s="229"/>
      <c r="I233" s="229"/>
      <c r="J233" s="229"/>
      <c r="K233" s="218"/>
      <c r="L233" s="87">
        <v>45591</v>
      </c>
      <c r="M233" s="87">
        <v>45682</v>
      </c>
      <c r="N233" s="82" t="s">
        <v>1036</v>
      </c>
      <c r="O233" s="82" t="s">
        <v>1037</v>
      </c>
      <c r="P233" s="241">
        <v>1200000</v>
      </c>
      <c r="Q233" s="241">
        <v>1200000</v>
      </c>
      <c r="R233" s="82"/>
      <c r="S233" s="241">
        <v>100000</v>
      </c>
      <c r="T233" s="82" t="s">
        <v>40</v>
      </c>
      <c r="U233" s="241">
        <v>25000</v>
      </c>
      <c r="V233" s="82" t="s">
        <v>40</v>
      </c>
      <c r="W233" s="88">
        <v>25000</v>
      </c>
      <c r="X233" s="82" t="s">
        <v>40</v>
      </c>
      <c r="Y233" s="89"/>
      <c r="Z233" s="82"/>
      <c r="AA233" s="220"/>
      <c r="AB233" s="241">
        <v>150000</v>
      </c>
      <c r="AC233" s="241">
        <v>150000</v>
      </c>
      <c r="AD233" s="241"/>
      <c r="AE233" s="82" t="s">
        <v>63</v>
      </c>
      <c r="AF233" s="82" t="s">
        <v>1038</v>
      </c>
      <c r="AG233" s="90"/>
      <c r="AH233" s="90"/>
      <c r="AI233" s="90"/>
      <c r="AJ233" s="90"/>
      <c r="AK233" s="82"/>
      <c r="AL233" s="82" t="str" cm="1">
        <f t="array" aca="1" ref="AL233" ca="1">_xlfn.IFS(
 AND($AK233&lt;&gt;"", M233&lt;&gt;0, M233&lt;=EDATE(TODAY(),2)),"도래",
 AND($AK233&lt;&gt;"", M233&lt;&gt;0, M233&lt;=EDATE(TODAY(),3)),"예정",
 AND($AK233&lt;&gt;"", M233&lt;&gt;0, M233&lt;=EDATE(TODAY(),6)),"관심",
 TRUE,""
)</f>
        <v/>
      </c>
      <c r="AM233" s="198">
        <f t="shared" si="8"/>
        <v>26</v>
      </c>
    </row>
    <row r="234" spans="1:39" ht="18" customHeight="1">
      <c r="A234" s="81"/>
      <c r="B234" s="205" t="str">
        <f>_xlfn.LET(_xlpm.var,◆관리정보!B234,IF(_xlpm.var&lt;&gt;0,_xlpm.var,""))</f>
        <v>모던하우스</v>
      </c>
      <c r="C234" s="82">
        <f>_xlfn.LET(_xlpm.var,◆관리정보!C234,IF(_xlpm.var&lt;&gt;0,_xlpm.var,""))</f>
        <v>302</v>
      </c>
      <c r="D234" s="236" t="s">
        <v>1039</v>
      </c>
      <c r="E234" s="84" t="str">
        <f t="shared" si="7"/>
        <v>모던하우스302</v>
      </c>
      <c r="F234" s="85">
        <v>46128</v>
      </c>
      <c r="G234" s="229"/>
      <c r="H234" s="229"/>
      <c r="I234" s="229"/>
      <c r="J234" s="229"/>
      <c r="K234" s="218"/>
      <c r="L234" s="87">
        <v>45946</v>
      </c>
      <c r="M234" s="87">
        <v>46037</v>
      </c>
      <c r="N234" s="82" t="s">
        <v>1040</v>
      </c>
      <c r="O234" s="82" t="s">
        <v>1041</v>
      </c>
      <c r="P234" s="241">
        <v>1200000</v>
      </c>
      <c r="Q234" s="241">
        <v>1200000</v>
      </c>
      <c r="R234" s="82"/>
      <c r="S234" s="241">
        <v>100000</v>
      </c>
      <c r="T234" s="82" t="s">
        <v>40</v>
      </c>
      <c r="U234" s="241">
        <v>25000</v>
      </c>
      <c r="V234" s="82" t="s">
        <v>40</v>
      </c>
      <c r="W234" s="88">
        <v>25000</v>
      </c>
      <c r="X234" s="82" t="s">
        <v>40</v>
      </c>
      <c r="Y234" s="89"/>
      <c r="Z234" s="82"/>
      <c r="AA234" s="220"/>
      <c r="AB234" s="241">
        <v>180000</v>
      </c>
      <c r="AC234" s="241">
        <v>150000</v>
      </c>
      <c r="AD234" s="241"/>
      <c r="AE234" s="82" t="s">
        <v>151</v>
      </c>
      <c r="AF234" s="82" t="s">
        <v>566</v>
      </c>
      <c r="AG234" s="90"/>
      <c r="AH234" s="90"/>
      <c r="AI234" s="90" t="s">
        <v>1042</v>
      </c>
      <c r="AJ234" s="90"/>
      <c r="AK234" s="82"/>
      <c r="AL234" s="82" t="str" cm="1">
        <f t="array" aca="1" ref="AL234" ca="1">_xlfn.IFS(
 AND($AK234&lt;&gt;"", M234&lt;&gt;0, M234&lt;=EDATE(TODAY(),2)),"도래",
 AND($AK234&lt;&gt;"", M234&lt;&gt;0, M234&lt;=EDATE(TODAY(),3)),"예정",
 AND($AK234&lt;&gt;"", M234&lt;&gt;0, M234&lt;=EDATE(TODAY(),6)),"관심",
 TRUE,""
)</f>
        <v/>
      </c>
      <c r="AM234" s="198">
        <f t="shared" si="8"/>
        <v>16</v>
      </c>
    </row>
    <row r="235" spans="1:39" ht="18" customHeight="1">
      <c r="A235" s="81"/>
      <c r="B235" s="205" t="str">
        <f>_xlfn.LET(_xlpm.var,◆관리정보!B235,IF(_xlpm.var&lt;&gt;0,_xlpm.var,""))</f>
        <v>모던하우스</v>
      </c>
      <c r="C235" s="82">
        <f>_xlfn.LET(_xlpm.var,◆관리정보!C235,IF(_xlpm.var&lt;&gt;0,_xlpm.var,""))</f>
        <v>303</v>
      </c>
      <c r="D235" s="236" t="s">
        <v>1043</v>
      </c>
      <c r="E235" s="84" t="str">
        <f t="shared" si="7"/>
        <v>모던하우스303</v>
      </c>
      <c r="F235" s="85">
        <v>46101</v>
      </c>
      <c r="G235" s="229"/>
      <c r="H235" s="229"/>
      <c r="I235" s="229">
        <v>1350000</v>
      </c>
      <c r="J235" s="229">
        <v>72470</v>
      </c>
      <c r="K235" s="218"/>
      <c r="L235" s="87">
        <v>45920</v>
      </c>
      <c r="M235" s="87">
        <v>46010</v>
      </c>
      <c r="N235" s="82" t="s">
        <v>1044</v>
      </c>
      <c r="O235" s="82" t="s">
        <v>1045</v>
      </c>
      <c r="P235" s="241">
        <v>1200000</v>
      </c>
      <c r="Q235" s="241">
        <v>1200000</v>
      </c>
      <c r="R235" s="82"/>
      <c r="S235" s="241">
        <v>100000</v>
      </c>
      <c r="T235" s="82" t="s">
        <v>40</v>
      </c>
      <c r="U235" s="241">
        <v>25000</v>
      </c>
      <c r="V235" s="82" t="s">
        <v>40</v>
      </c>
      <c r="W235" s="88">
        <v>25000</v>
      </c>
      <c r="X235" s="82" t="s">
        <v>40</v>
      </c>
      <c r="Y235" s="89"/>
      <c r="Z235" s="82"/>
      <c r="AA235" s="220"/>
      <c r="AB235" s="241">
        <v>180000</v>
      </c>
      <c r="AC235" s="241">
        <v>150000</v>
      </c>
      <c r="AD235" s="241"/>
      <c r="AE235" s="82" t="s">
        <v>108</v>
      </c>
      <c r="AF235" s="82" t="s">
        <v>371</v>
      </c>
      <c r="AG235" s="90"/>
      <c r="AH235" s="90"/>
      <c r="AI235" s="90" t="s">
        <v>1046</v>
      </c>
      <c r="AJ235" s="90"/>
      <c r="AK235" s="82"/>
      <c r="AL235" s="82" t="str" cm="1">
        <f t="array" aca="1" ref="AL235" ca="1">_xlfn.IFS(
 AND($AK235&lt;&gt;"", M235&lt;&gt;0, M235&lt;=EDATE(TODAY(),2)),"도래",
 AND($AK235&lt;&gt;"", M235&lt;&gt;0, M235&lt;=EDATE(TODAY(),3)),"예정",
 AND($AK235&lt;&gt;"", M235&lt;&gt;0, M235&lt;=EDATE(TODAY(),6)),"관심",
 TRUE,""
)</f>
        <v/>
      </c>
      <c r="AM235" s="198">
        <f t="shared" si="8"/>
        <v>20</v>
      </c>
    </row>
    <row r="236" spans="1:39" ht="18" customHeight="1">
      <c r="A236" s="81"/>
      <c r="B236" s="205" t="str">
        <f>_xlfn.LET(_xlpm.var,◆관리정보!B236,IF(_xlpm.var&lt;&gt;0,_xlpm.var,""))</f>
        <v>모던하우스</v>
      </c>
      <c r="C236" s="82">
        <f>_xlfn.LET(_xlpm.var,◆관리정보!C236,IF(_xlpm.var&lt;&gt;0,_xlpm.var,""))</f>
        <v>304</v>
      </c>
      <c r="D236" s="236" t="s">
        <v>1047</v>
      </c>
      <c r="E236" s="84" t="str">
        <f t="shared" si="7"/>
        <v>모던하우스304</v>
      </c>
      <c r="F236" s="85">
        <v>46118</v>
      </c>
      <c r="G236" s="229"/>
      <c r="H236" s="229"/>
      <c r="I236" s="229"/>
      <c r="J236" s="229"/>
      <c r="K236" s="218"/>
      <c r="L236" s="87">
        <v>45175</v>
      </c>
      <c r="M236" s="87">
        <v>45265</v>
      </c>
      <c r="N236" s="82" t="s">
        <v>1048</v>
      </c>
      <c r="O236" s="82" t="s">
        <v>1049</v>
      </c>
      <c r="P236" s="241">
        <v>1200000</v>
      </c>
      <c r="Q236" s="241">
        <v>1200000</v>
      </c>
      <c r="R236" s="82"/>
      <c r="S236" s="241">
        <v>100000</v>
      </c>
      <c r="T236" s="82" t="s">
        <v>40</v>
      </c>
      <c r="U236" s="241">
        <v>25000</v>
      </c>
      <c r="V236" s="82" t="s">
        <v>40</v>
      </c>
      <c r="W236" s="88">
        <v>25000</v>
      </c>
      <c r="X236" s="82" t="s">
        <v>40</v>
      </c>
      <c r="Y236" s="89">
        <v>50000</v>
      </c>
      <c r="Z236" s="82"/>
      <c r="AA236" s="220" t="s">
        <v>1050</v>
      </c>
      <c r="AB236" s="241">
        <v>150000</v>
      </c>
      <c r="AC236" s="241">
        <v>150000</v>
      </c>
      <c r="AD236" s="241"/>
      <c r="AE236" s="82" t="s">
        <v>1051</v>
      </c>
      <c r="AF236" s="82" t="s">
        <v>1052</v>
      </c>
      <c r="AG236" s="90"/>
      <c r="AH236" s="90"/>
      <c r="AI236" s="90" t="s">
        <v>1053</v>
      </c>
      <c r="AJ236" s="90"/>
      <c r="AK236" s="82"/>
      <c r="AL236" s="82" t="str" cm="1">
        <f t="array" aca="1" ref="AL236" ca="1">_xlfn.IFS(
 AND($AK236&lt;&gt;"", M236&lt;&gt;0, M236&lt;=EDATE(TODAY(),2)),"도래",
 AND($AK236&lt;&gt;"", M236&lt;&gt;0, M236&lt;=EDATE(TODAY(),3)),"예정",
 AND($AK236&lt;&gt;"", M236&lt;&gt;0, M236&lt;=EDATE(TODAY(),6)),"관심",
 TRUE,""
)</f>
        <v/>
      </c>
      <c r="AM236" s="198">
        <f t="shared" si="8"/>
        <v>6</v>
      </c>
    </row>
    <row r="237" spans="1:39" ht="18" customHeight="1">
      <c r="A237" s="81"/>
      <c r="B237" s="205" t="str">
        <f>_xlfn.LET(_xlpm.var,◆관리정보!B237,IF(_xlpm.var&lt;&gt;0,_xlpm.var,""))</f>
        <v>모던하우스</v>
      </c>
      <c r="C237" s="82">
        <f>_xlfn.LET(_xlpm.var,◆관리정보!C237,IF(_xlpm.var&lt;&gt;0,_xlpm.var,""))</f>
        <v>305</v>
      </c>
      <c r="D237" s="236" t="s">
        <v>1054</v>
      </c>
      <c r="E237" s="84" t="str">
        <f t="shared" si="7"/>
        <v>모던하우스305</v>
      </c>
      <c r="F237" s="85">
        <v>46108</v>
      </c>
      <c r="G237" s="229"/>
      <c r="H237" s="229"/>
      <c r="I237" s="229"/>
      <c r="J237" s="229"/>
      <c r="K237" s="218"/>
      <c r="L237" s="87">
        <v>45957</v>
      </c>
      <c r="M237" s="87">
        <v>46048</v>
      </c>
      <c r="N237" s="82" t="s">
        <v>1055</v>
      </c>
      <c r="O237" s="82" t="s">
        <v>1056</v>
      </c>
      <c r="P237" s="241">
        <v>1250000</v>
      </c>
      <c r="Q237" s="241">
        <v>1250000</v>
      </c>
      <c r="R237" s="82"/>
      <c r="S237" s="241">
        <v>100000</v>
      </c>
      <c r="T237" s="82" t="s">
        <v>40</v>
      </c>
      <c r="U237" s="241">
        <v>25000</v>
      </c>
      <c r="V237" s="82" t="s">
        <v>40</v>
      </c>
      <c r="W237" s="88">
        <v>25000</v>
      </c>
      <c r="X237" s="82" t="s">
        <v>40</v>
      </c>
      <c r="Y237" s="89"/>
      <c r="Z237" s="82"/>
      <c r="AA237" s="220"/>
      <c r="AB237" s="241">
        <v>180000</v>
      </c>
      <c r="AC237" s="241">
        <v>150000</v>
      </c>
      <c r="AD237" s="241"/>
      <c r="AE237" s="82" t="s">
        <v>1057</v>
      </c>
      <c r="AF237" s="82" t="s">
        <v>1058</v>
      </c>
      <c r="AG237" s="90"/>
      <c r="AH237" s="90"/>
      <c r="AI237" s="90"/>
      <c r="AJ237" s="90"/>
      <c r="AK237" s="82"/>
      <c r="AL237" s="82" t="str" cm="1">
        <f t="array" aca="1" ref="AL237" ca="1">_xlfn.IFS(
 AND($AK237&lt;&gt;"", M237&lt;&gt;0, M237&lt;=EDATE(TODAY(),2)),"도래",
 AND($AK237&lt;&gt;"", M237&lt;&gt;0, M237&lt;=EDATE(TODAY(),3)),"예정",
 AND($AK237&lt;&gt;"", M237&lt;&gt;0, M237&lt;=EDATE(TODAY(),6)),"관심",
 TRUE,""
)</f>
        <v/>
      </c>
      <c r="AM237" s="198">
        <f t="shared" si="8"/>
        <v>27</v>
      </c>
    </row>
    <row r="238" spans="1:39" ht="18" customHeight="1">
      <c r="A238" s="81"/>
      <c r="B238" s="378" t="str">
        <f>_xlfn.LET(_xlpm.var,◆관리정보!B238,IF(_xlpm.var&lt;&gt;0,_xlpm.var,""))</f>
        <v>모던하우스</v>
      </c>
      <c r="C238" s="379">
        <f>_xlfn.LET(_xlpm.var,◆관리정보!C238,IF(_xlpm.var&lt;&gt;0,_xlpm.var,""))</f>
        <v>401</v>
      </c>
      <c r="D238" s="383" t="s">
        <v>1059</v>
      </c>
      <c r="E238" s="84" t="str">
        <f t="shared" si="7"/>
        <v>모던하우스401</v>
      </c>
      <c r="F238" s="85">
        <v>46119</v>
      </c>
      <c r="G238" s="229"/>
      <c r="H238" s="229"/>
      <c r="I238" s="229"/>
      <c r="J238" s="229"/>
      <c r="K238" s="218"/>
      <c r="L238" s="377">
        <v>46088</v>
      </c>
      <c r="M238" s="87">
        <v>46179</v>
      </c>
      <c r="N238" s="82" t="s">
        <v>1060</v>
      </c>
      <c r="O238" s="82" t="s">
        <v>1061</v>
      </c>
      <c r="P238" s="241">
        <v>1200000</v>
      </c>
      <c r="Q238" s="261">
        <v>1200000</v>
      </c>
      <c r="R238" s="82"/>
      <c r="S238" s="261">
        <v>80000</v>
      </c>
      <c r="T238" s="82" t="s">
        <v>40</v>
      </c>
      <c r="U238" s="261">
        <v>25000</v>
      </c>
      <c r="V238" s="82" t="s">
        <v>40</v>
      </c>
      <c r="W238" s="261">
        <v>25000</v>
      </c>
      <c r="X238" s="82" t="s">
        <v>40</v>
      </c>
      <c r="Y238" s="89"/>
      <c r="Z238" s="82"/>
      <c r="AA238" s="220"/>
      <c r="AB238" s="261">
        <v>180000</v>
      </c>
      <c r="AC238" s="261">
        <v>150000</v>
      </c>
      <c r="AD238" s="241"/>
      <c r="AE238" s="82" t="s">
        <v>398</v>
      </c>
      <c r="AF238" s="82" t="s">
        <v>399</v>
      </c>
      <c r="AG238" s="90"/>
      <c r="AH238" s="90"/>
      <c r="AI238" s="90" t="s">
        <v>1062</v>
      </c>
      <c r="AJ238" s="90"/>
      <c r="AK238" s="82"/>
      <c r="AL238" s="82" t="str" cm="1">
        <f t="array" aca="1" ref="AL238" ca="1">_xlfn.IFS(
 AND($AK238&lt;&gt;"", M238&lt;&gt;0, M238&lt;=EDATE(TODAY(),2)),"도래",
 AND($AK238&lt;&gt;"", M238&lt;&gt;0, M238&lt;=EDATE(TODAY(),3)),"예정",
 AND($AK238&lt;&gt;"", M238&lt;&gt;0, M238&lt;=EDATE(TODAY(),6)),"관심",
 TRUE,""
)</f>
        <v/>
      </c>
      <c r="AM238" s="198">
        <f t="shared" si="8"/>
        <v>7</v>
      </c>
    </row>
    <row r="239" spans="1:39" ht="18" customHeight="1">
      <c r="A239" s="81"/>
      <c r="B239" s="205" t="str">
        <f>_xlfn.LET(_xlpm.var,◆관리정보!B239,IF(_xlpm.var&lt;&gt;0,_xlpm.var,""))</f>
        <v>모던하우스</v>
      </c>
      <c r="C239" s="82">
        <f>_xlfn.LET(_xlpm.var,◆관리정보!C239,IF(_xlpm.var&lt;&gt;0,_xlpm.var,""))</f>
        <v>402</v>
      </c>
      <c r="D239" s="236" t="s">
        <v>1063</v>
      </c>
      <c r="E239" s="84" t="str">
        <f t="shared" si="7"/>
        <v>모던하우스402</v>
      </c>
      <c r="F239" s="85">
        <v>46109</v>
      </c>
      <c r="G239" s="229"/>
      <c r="H239" s="229"/>
      <c r="I239" s="229"/>
      <c r="J239" s="229"/>
      <c r="K239" s="218"/>
      <c r="L239" s="87">
        <v>43309</v>
      </c>
      <c r="M239" s="87">
        <v>43400</v>
      </c>
      <c r="N239" s="82" t="s">
        <v>1064</v>
      </c>
      <c r="O239" s="82" t="s">
        <v>1065</v>
      </c>
      <c r="P239" s="241">
        <v>1250000</v>
      </c>
      <c r="Q239" s="241">
        <v>1200000</v>
      </c>
      <c r="R239" s="82"/>
      <c r="S239" s="241"/>
      <c r="T239" s="82" t="s">
        <v>40</v>
      </c>
      <c r="U239" s="241">
        <v>15000</v>
      </c>
      <c r="V239" s="82" t="s">
        <v>40</v>
      </c>
      <c r="W239" s="88"/>
      <c r="X239" s="82" t="s">
        <v>40</v>
      </c>
      <c r="Y239" s="89">
        <v>50000</v>
      </c>
      <c r="Z239" s="82"/>
      <c r="AA239" s="220">
        <v>1</v>
      </c>
      <c r="AB239" s="241">
        <v>100000</v>
      </c>
      <c r="AC239" s="241"/>
      <c r="AD239" s="241"/>
      <c r="AE239" s="82" t="s">
        <v>824</v>
      </c>
      <c r="AF239" s="82"/>
      <c r="AG239" s="90"/>
      <c r="AH239" s="90"/>
      <c r="AI239" s="90" t="s">
        <v>1066</v>
      </c>
      <c r="AJ239" s="90"/>
      <c r="AK239" s="82"/>
      <c r="AL239" s="82" t="str" cm="1">
        <f t="array" aca="1" ref="AL239" ca="1">_xlfn.IFS(
 AND($AK239&lt;&gt;"", M239&lt;&gt;0, M239&lt;=EDATE(TODAY(),2)),"도래",
 AND($AK239&lt;&gt;"", M239&lt;&gt;0, M239&lt;=EDATE(TODAY(),3)),"예정",
 AND($AK239&lt;&gt;"", M239&lt;&gt;0, M239&lt;=EDATE(TODAY(),6)),"관심",
 TRUE,""
)</f>
        <v/>
      </c>
      <c r="AM239" s="198">
        <f t="shared" si="8"/>
        <v>28</v>
      </c>
    </row>
    <row r="240" spans="1:39" ht="18" customHeight="1">
      <c r="A240" s="81"/>
      <c r="B240" s="205" t="str">
        <f>_xlfn.LET(_xlpm.var,◆관리정보!B240,IF(_xlpm.var&lt;&gt;0,_xlpm.var,""))</f>
        <v>모던하우스</v>
      </c>
      <c r="C240" s="82">
        <f>_xlfn.LET(_xlpm.var,◆관리정보!C240,IF(_xlpm.var&lt;&gt;0,_xlpm.var,""))</f>
        <v>403</v>
      </c>
      <c r="D240" s="236" t="s">
        <v>1067</v>
      </c>
      <c r="E240" s="84" t="str">
        <f t="shared" si="7"/>
        <v>모던하우스403</v>
      </c>
      <c r="F240" s="85">
        <v>46099</v>
      </c>
      <c r="G240" s="229"/>
      <c r="H240" s="229"/>
      <c r="I240" s="229">
        <v>1300000</v>
      </c>
      <c r="J240" s="229">
        <v>145200</v>
      </c>
      <c r="K240" s="218"/>
      <c r="L240" s="87">
        <v>44669</v>
      </c>
      <c r="M240" s="87">
        <v>44759</v>
      </c>
      <c r="N240" s="82" t="s">
        <v>1068</v>
      </c>
      <c r="O240" s="82" t="s">
        <v>1069</v>
      </c>
      <c r="P240" s="241">
        <v>1200000</v>
      </c>
      <c r="Q240" s="241">
        <v>1200000</v>
      </c>
      <c r="R240" s="82"/>
      <c r="S240" s="241">
        <v>60000</v>
      </c>
      <c r="T240" s="82" t="s">
        <v>40</v>
      </c>
      <c r="U240" s="241">
        <v>15000</v>
      </c>
      <c r="V240" s="82" t="s">
        <v>40</v>
      </c>
      <c r="W240" s="88">
        <v>25000</v>
      </c>
      <c r="X240" s="82" t="s">
        <v>40</v>
      </c>
      <c r="Y240" s="89"/>
      <c r="Z240" s="82"/>
      <c r="AA240" s="220"/>
      <c r="AB240" s="241">
        <v>130000</v>
      </c>
      <c r="AC240" s="241">
        <v>150000</v>
      </c>
      <c r="AD240" s="241"/>
      <c r="AE240" s="82" t="s">
        <v>829</v>
      </c>
      <c r="AF240" s="82" t="s">
        <v>1070</v>
      </c>
      <c r="AG240" s="90"/>
      <c r="AH240" s="90"/>
      <c r="AI240" s="90" t="s">
        <v>1071</v>
      </c>
      <c r="AJ240" s="90"/>
      <c r="AK240" s="82"/>
      <c r="AL240" s="82" t="str" cm="1">
        <f t="array" aca="1" ref="AL240" ca="1">_xlfn.IFS(
 AND($AK240&lt;&gt;"", M240&lt;&gt;0, M240&lt;=EDATE(TODAY(),2)),"도래",
 AND($AK240&lt;&gt;"", M240&lt;&gt;0, M240&lt;=EDATE(TODAY(),3)),"예정",
 AND($AK240&lt;&gt;"", M240&lt;&gt;0, M240&lt;=EDATE(TODAY(),6)),"관심",
 TRUE,""
)</f>
        <v/>
      </c>
      <c r="AM240" s="198">
        <f t="shared" si="8"/>
        <v>18</v>
      </c>
    </row>
    <row r="241" spans="1:39" ht="18" customHeight="1">
      <c r="A241" s="81"/>
      <c r="B241" s="205" t="str">
        <f>_xlfn.LET(_xlpm.var,◆관리정보!B241,IF(_xlpm.var&lt;&gt;0,_xlpm.var,""))</f>
        <v>모던하우스</v>
      </c>
      <c r="C241" s="82">
        <f>_xlfn.LET(_xlpm.var,◆관리정보!C241,IF(_xlpm.var&lt;&gt;0,_xlpm.var,""))</f>
        <v>404</v>
      </c>
      <c r="D241" s="236" t="s">
        <v>1072</v>
      </c>
      <c r="E241" s="84" t="str">
        <f t="shared" si="7"/>
        <v>모던하우스404</v>
      </c>
      <c r="F241" s="85">
        <v>46081</v>
      </c>
      <c r="G241" s="229"/>
      <c r="H241" s="229"/>
      <c r="I241" s="229"/>
      <c r="J241" s="229">
        <v>127610</v>
      </c>
      <c r="K241" s="218"/>
      <c r="L241" s="87">
        <v>46022</v>
      </c>
      <c r="M241" s="87">
        <v>46111</v>
      </c>
      <c r="N241" s="82" t="s">
        <v>1073</v>
      </c>
      <c r="O241" s="82" t="s">
        <v>1074</v>
      </c>
      <c r="P241" s="241">
        <v>1200000</v>
      </c>
      <c r="Q241" s="241">
        <v>1200000</v>
      </c>
      <c r="R241" s="82"/>
      <c r="S241" s="241">
        <v>80000</v>
      </c>
      <c r="T241" s="82" t="s">
        <v>40</v>
      </c>
      <c r="U241" s="241">
        <v>25000</v>
      </c>
      <c r="V241" s="82" t="s">
        <v>40</v>
      </c>
      <c r="W241" s="88">
        <v>25000</v>
      </c>
      <c r="X241" s="82" t="s">
        <v>40</v>
      </c>
      <c r="Y241" s="89"/>
      <c r="Z241" s="82"/>
      <c r="AA241" s="220"/>
      <c r="AB241" s="241">
        <v>180000</v>
      </c>
      <c r="AC241" s="241">
        <v>150000</v>
      </c>
      <c r="AD241" s="241"/>
      <c r="AE241" s="82" t="s">
        <v>1028</v>
      </c>
      <c r="AF241" s="82" t="s">
        <v>559</v>
      </c>
      <c r="AG241" s="90"/>
      <c r="AH241" s="90"/>
      <c r="AI241" s="90" t="s">
        <v>1075</v>
      </c>
      <c r="AJ241" s="90"/>
      <c r="AK241" s="82"/>
      <c r="AL241" s="82" t="str" cm="1">
        <f t="array" aca="1" ref="AL241" ca="1">_xlfn.IFS(
 AND($AK241&lt;&gt;"", M241&lt;&gt;0, M241&lt;=EDATE(TODAY(),2)),"도래",
 AND($AK241&lt;&gt;"", M241&lt;&gt;0, M241&lt;=EDATE(TODAY(),3)),"예정",
 AND($AK241&lt;&gt;"", M241&lt;&gt;0, M241&lt;=EDATE(TODAY(),6)),"관심",
 TRUE,""
)</f>
        <v/>
      </c>
      <c r="AM241" s="198">
        <f t="shared" si="8"/>
        <v>31</v>
      </c>
    </row>
    <row r="242" spans="1:39" ht="18" customHeight="1">
      <c r="A242" s="81"/>
      <c r="B242" s="237" t="str">
        <f>_xlfn.LET(_xlpm.var,◆관리정보!B242,IF(_xlpm.var&lt;&gt;0,_xlpm.var,""))</f>
        <v>모던하우스</v>
      </c>
      <c r="C242" s="238">
        <f>_xlfn.LET(_xlpm.var,◆관리정보!C242,IF(_xlpm.var&lt;&gt;0,_xlpm.var,""))</f>
        <v>405</v>
      </c>
      <c r="D242" s="239" t="s">
        <v>195</v>
      </c>
      <c r="E242" s="84" t="str">
        <f t="shared" si="7"/>
        <v>모던하우스405</v>
      </c>
      <c r="F242" s="85"/>
      <c r="G242" s="229"/>
      <c r="H242" s="229"/>
      <c r="I242" s="229"/>
      <c r="J242" s="229"/>
      <c r="K242" s="218"/>
      <c r="L242" s="87"/>
      <c r="M242" s="87"/>
      <c r="N242" s="82"/>
      <c r="O242" s="82"/>
      <c r="P242" s="241"/>
      <c r="Q242" s="241"/>
      <c r="R242" s="82"/>
      <c r="S242" s="241"/>
      <c r="T242" s="82"/>
      <c r="U242" s="241"/>
      <c r="V242" s="82"/>
      <c r="W242" s="88"/>
      <c r="X242" s="82"/>
      <c r="Y242" s="89"/>
      <c r="Z242" s="82"/>
      <c r="AA242" s="220"/>
      <c r="AB242" s="241"/>
      <c r="AC242" s="241"/>
      <c r="AD242" s="241"/>
      <c r="AE242" s="82"/>
      <c r="AF242" s="82"/>
      <c r="AG242" s="90"/>
      <c r="AH242" s="90"/>
      <c r="AI242" s="90"/>
      <c r="AJ242" s="90"/>
      <c r="AK242" s="82"/>
      <c r="AL242" s="82" t="str" cm="1">
        <f t="array" aca="1" ref="AL242" ca="1">_xlfn.IFS(
 AND($AK242&lt;&gt;"", M242&lt;&gt;0, M242&lt;=EDATE(TODAY(),2)),"도래",
 AND($AK242&lt;&gt;"", M242&lt;&gt;0, M242&lt;=EDATE(TODAY(),3)),"예정",
 AND($AK242&lt;&gt;"", M242&lt;&gt;0, M242&lt;=EDATE(TODAY(),6)),"관심",
 TRUE,""
)</f>
        <v/>
      </c>
      <c r="AM242" s="198">
        <f t="shared" si="8"/>
        <v>0</v>
      </c>
    </row>
    <row r="243" spans="1:39" ht="18" customHeight="1">
      <c r="A243" s="81"/>
      <c r="B243" s="237" t="str">
        <f>_xlfn.LET(_xlpm.var,◆관리정보!B243,IF(_xlpm.var&lt;&gt;0,_xlpm.var,""))</f>
        <v>모던하우스</v>
      </c>
      <c r="C243" s="238">
        <f>_xlfn.LET(_xlpm.var,◆관리정보!C243,IF(_xlpm.var&lt;&gt;0,_xlpm.var,""))</f>
        <v>501</v>
      </c>
      <c r="D243" s="239" t="s">
        <v>202</v>
      </c>
      <c r="E243" s="84" t="str">
        <f t="shared" si="7"/>
        <v>모던하우스501</v>
      </c>
      <c r="F243" s="85"/>
      <c r="G243" s="229"/>
      <c r="H243" s="229"/>
      <c r="I243" s="229"/>
      <c r="J243" s="229"/>
      <c r="K243" s="218"/>
      <c r="L243" s="87"/>
      <c r="M243" s="87"/>
      <c r="N243" s="238" t="s">
        <v>1076</v>
      </c>
      <c r="O243" s="82"/>
      <c r="P243" s="241"/>
      <c r="Q243" s="241"/>
      <c r="R243" s="82"/>
      <c r="S243" s="241"/>
      <c r="T243" s="82"/>
      <c r="U243" s="241"/>
      <c r="V243" s="82"/>
      <c r="W243" s="88"/>
      <c r="X243" s="82"/>
      <c r="Y243" s="89"/>
      <c r="Z243" s="82"/>
      <c r="AA243" s="390"/>
      <c r="AB243" s="241"/>
      <c r="AC243" s="241"/>
      <c r="AD243" s="241"/>
      <c r="AE243" s="82"/>
      <c r="AF243" s="82"/>
      <c r="AG243" s="90"/>
      <c r="AH243" s="90"/>
      <c r="AI243" s="90"/>
      <c r="AJ243" s="90"/>
      <c r="AK243" s="82"/>
      <c r="AL243" s="82" t="str" cm="1">
        <f t="array" aca="1" ref="AL243" ca="1">_xlfn.IFS(
 AND($AK243&lt;&gt;"", M243&lt;&gt;0, M243&lt;=EDATE(TODAY(),2)),"도래",
 AND($AK243&lt;&gt;"", M243&lt;&gt;0, M243&lt;=EDATE(TODAY(),3)),"예정",
 AND($AK243&lt;&gt;"", M243&lt;&gt;0, M243&lt;=EDATE(TODAY(),6)),"관심",
 TRUE,""
)</f>
        <v/>
      </c>
      <c r="AM243" s="198">
        <f t="shared" si="8"/>
        <v>0</v>
      </c>
    </row>
    <row r="244" spans="1:39" ht="18" customHeight="1">
      <c r="A244" s="81"/>
      <c r="B244" s="205" t="str">
        <f>_xlfn.LET(_xlpm.var,◆관리정보!B244,IF(_xlpm.var&lt;&gt;0,_xlpm.var,""))</f>
        <v>모던하우스</v>
      </c>
      <c r="C244" s="82">
        <f>_xlfn.LET(_xlpm.var,◆관리정보!C244,IF(_xlpm.var&lt;&gt;0,_xlpm.var,""))</f>
        <v>502</v>
      </c>
      <c r="D244" s="83" t="s">
        <v>1077</v>
      </c>
      <c r="E244" s="84" t="str">
        <f t="shared" si="7"/>
        <v>모던하우스502</v>
      </c>
      <c r="F244" s="85">
        <v>46088</v>
      </c>
      <c r="G244" s="229"/>
      <c r="H244" s="229"/>
      <c r="I244" s="229"/>
      <c r="J244" s="229"/>
      <c r="K244" s="218">
        <v>42500</v>
      </c>
      <c r="L244" s="87">
        <v>44902</v>
      </c>
      <c r="M244" s="87">
        <v>44991</v>
      </c>
      <c r="N244" s="82" t="s">
        <v>1078</v>
      </c>
      <c r="O244" s="82" t="s">
        <v>1079</v>
      </c>
      <c r="P244" s="241">
        <v>1250000</v>
      </c>
      <c r="Q244" s="241">
        <v>1250000</v>
      </c>
      <c r="R244" s="82"/>
      <c r="S244" s="241">
        <v>100000</v>
      </c>
      <c r="T244" s="82" t="s">
        <v>40</v>
      </c>
      <c r="U244" s="241">
        <v>25000</v>
      </c>
      <c r="V244" s="82" t="s">
        <v>40</v>
      </c>
      <c r="W244" s="88">
        <v>25000</v>
      </c>
      <c r="X244" s="82" t="s">
        <v>40</v>
      </c>
      <c r="Y244" s="89"/>
      <c r="Z244" s="82"/>
      <c r="AA244" s="220"/>
      <c r="AB244" s="241">
        <v>150000</v>
      </c>
      <c r="AC244" s="241">
        <v>150000</v>
      </c>
      <c r="AD244" s="241"/>
      <c r="AE244" s="82" t="s">
        <v>108</v>
      </c>
      <c r="AF244" s="82" t="s">
        <v>371</v>
      </c>
      <c r="AG244" s="90"/>
      <c r="AH244" s="90"/>
      <c r="AI244" s="90" t="s">
        <v>1080</v>
      </c>
      <c r="AJ244" s="90"/>
      <c r="AK244" s="82"/>
      <c r="AL244" s="82" t="str" cm="1">
        <f t="array" aca="1" ref="AL244" ca="1">_xlfn.IFS(
 AND($AK244&lt;&gt;"", M244&lt;&gt;0, M244&lt;=EDATE(TODAY(),2)),"도래",
 AND($AK244&lt;&gt;"", M244&lt;&gt;0, M244&lt;=EDATE(TODAY(),3)),"예정",
 AND($AK244&lt;&gt;"", M244&lt;&gt;0, M244&lt;=EDATE(TODAY(),6)),"관심",
 TRUE,""
)</f>
        <v/>
      </c>
      <c r="AM244" s="198">
        <f t="shared" si="8"/>
        <v>7</v>
      </c>
    </row>
    <row r="245" spans="1:39" ht="18" customHeight="1">
      <c r="A245" s="81"/>
      <c r="B245" s="205" t="str">
        <f>_xlfn.LET(_xlpm.var,◆관리정보!B245,IF(_xlpm.var&lt;&gt;0,_xlpm.var,""))</f>
        <v>모던하우스</v>
      </c>
      <c r="C245" s="82">
        <f>_xlfn.LET(_xlpm.var,◆관리정보!C245,IF(_xlpm.var&lt;&gt;0,_xlpm.var,""))</f>
        <v>503</v>
      </c>
      <c r="D245" s="83" t="s">
        <v>1081</v>
      </c>
      <c r="E245" s="84" t="str">
        <f t="shared" si="7"/>
        <v>모던하우스503</v>
      </c>
      <c r="F245" s="85">
        <v>46127</v>
      </c>
      <c r="G245" s="229"/>
      <c r="H245" s="229"/>
      <c r="I245" s="229"/>
      <c r="J245" s="229"/>
      <c r="K245" s="218"/>
      <c r="L245" s="87">
        <v>45458</v>
      </c>
      <c r="M245" s="87">
        <v>45549</v>
      </c>
      <c r="N245" s="82" t="s">
        <v>1082</v>
      </c>
      <c r="O245" s="82" t="s">
        <v>1083</v>
      </c>
      <c r="P245" s="241">
        <v>1200000</v>
      </c>
      <c r="Q245" s="241">
        <v>1200000</v>
      </c>
      <c r="R245" s="82"/>
      <c r="S245" s="241">
        <v>80000</v>
      </c>
      <c r="T245" s="82" t="s">
        <v>40</v>
      </c>
      <c r="U245" s="241">
        <v>25000</v>
      </c>
      <c r="V245" s="82" t="s">
        <v>40</v>
      </c>
      <c r="W245" s="88">
        <v>25000</v>
      </c>
      <c r="X245" s="82" t="s">
        <v>40</v>
      </c>
      <c r="Y245" s="89"/>
      <c r="Z245" s="82"/>
      <c r="AA245" s="220"/>
      <c r="AB245" s="241">
        <v>150000</v>
      </c>
      <c r="AC245" s="241">
        <v>150000</v>
      </c>
      <c r="AD245" s="241"/>
      <c r="AE245" s="82" t="s">
        <v>353</v>
      </c>
      <c r="AF245" s="82" t="s">
        <v>559</v>
      </c>
      <c r="AG245" s="90"/>
      <c r="AH245" s="90"/>
      <c r="AI245" s="90" t="s">
        <v>1084</v>
      </c>
      <c r="AJ245" s="90"/>
      <c r="AK245" s="82"/>
      <c r="AL245" s="82" t="str" cm="1">
        <f t="array" aca="1" ref="AL245" ca="1">_xlfn.IFS(
 AND($AK245&lt;&gt;"", M245&lt;&gt;0, M245&lt;=EDATE(TODAY(),2)),"도래",
 AND($AK245&lt;&gt;"", M245&lt;&gt;0, M245&lt;=EDATE(TODAY(),3)),"예정",
 AND($AK245&lt;&gt;"", M245&lt;&gt;0, M245&lt;=EDATE(TODAY(),6)),"관심",
 TRUE,""
)</f>
        <v/>
      </c>
      <c r="AM245" s="198">
        <f t="shared" si="8"/>
        <v>15</v>
      </c>
    </row>
    <row r="246" spans="1:39" ht="18" customHeight="1">
      <c r="A246" s="81"/>
      <c r="B246" s="205" t="str">
        <f>_xlfn.LET(_xlpm.var,◆관리정보!B246,IF(_xlpm.var&lt;&gt;0,_xlpm.var,""))</f>
        <v>모던하우스</v>
      </c>
      <c r="C246" s="82">
        <f>_xlfn.LET(_xlpm.var,◆관리정보!C246,IF(_xlpm.var&lt;&gt;0,_xlpm.var,""))</f>
        <v>504</v>
      </c>
      <c r="D246" s="83" t="s">
        <v>1085</v>
      </c>
      <c r="E246" s="84" t="str">
        <f t="shared" si="7"/>
        <v>모던하우스504</v>
      </c>
      <c r="F246" s="85">
        <v>46118</v>
      </c>
      <c r="G246" s="229"/>
      <c r="H246" s="229"/>
      <c r="I246" s="229"/>
      <c r="J246" s="229"/>
      <c r="K246" s="218"/>
      <c r="L246" s="87">
        <v>45997</v>
      </c>
      <c r="M246" s="87">
        <v>46086</v>
      </c>
      <c r="N246" s="82" t="s">
        <v>1086</v>
      </c>
      <c r="O246" s="82" t="s">
        <v>1087</v>
      </c>
      <c r="P246" s="241">
        <v>2300000</v>
      </c>
      <c r="Q246" s="241">
        <v>2300000</v>
      </c>
      <c r="R246" s="82"/>
      <c r="S246" s="241">
        <v>150000</v>
      </c>
      <c r="T246" s="82" t="s">
        <v>40</v>
      </c>
      <c r="U246" s="241">
        <v>30000</v>
      </c>
      <c r="V246" s="82" t="s">
        <v>40</v>
      </c>
      <c r="W246" s="88">
        <v>25000</v>
      </c>
      <c r="X246" s="82" t="s">
        <v>40</v>
      </c>
      <c r="Y246" s="89"/>
      <c r="Z246" s="82"/>
      <c r="AA246" s="220"/>
      <c r="AB246" s="241">
        <v>250000</v>
      </c>
      <c r="AC246" s="241">
        <v>250000</v>
      </c>
      <c r="AD246" s="241"/>
      <c r="AE246" s="82" t="s">
        <v>85</v>
      </c>
      <c r="AF246" s="82" t="s">
        <v>909</v>
      </c>
      <c r="AG246" s="90"/>
      <c r="AH246" s="90"/>
      <c r="AI246" s="90"/>
      <c r="AJ246" s="90"/>
      <c r="AK246" s="82"/>
      <c r="AL246" s="82" t="str" cm="1">
        <f t="array" aca="1" ref="AL246" ca="1">_xlfn.IFS(
 AND($AK246&lt;&gt;"", M246&lt;&gt;0, M246&lt;=EDATE(TODAY(),2)),"도래",
 AND($AK246&lt;&gt;"", M246&lt;&gt;0, M246&lt;=EDATE(TODAY(),3)),"예정",
 AND($AK246&lt;&gt;"", M246&lt;&gt;0, M246&lt;=EDATE(TODAY(),6)),"관심",
 TRUE,""
)</f>
        <v/>
      </c>
      <c r="AM246" s="198">
        <f t="shared" si="8"/>
        <v>6</v>
      </c>
    </row>
    <row r="247" spans="1:39" ht="18" customHeight="1">
      <c r="A247" s="81"/>
      <c r="B247" s="205" t="str">
        <f>_xlfn.LET(_xlpm.var,◆관리정보!B247,IF(_xlpm.var&lt;&gt;0,_xlpm.var,""))</f>
        <v>모던라이프</v>
      </c>
      <c r="C247" s="82">
        <f>_xlfn.LET(_xlpm.var,◆관리정보!C247,IF(_xlpm.var&lt;&gt;0,_xlpm.var,""))</f>
        <v>201</v>
      </c>
      <c r="D247" s="83" t="s">
        <v>1088</v>
      </c>
      <c r="E247" s="84" t="str">
        <f t="shared" si="7"/>
        <v>모던라이프201</v>
      </c>
      <c r="F247" s="85">
        <v>46116</v>
      </c>
      <c r="G247" s="229"/>
      <c r="H247" s="229"/>
      <c r="I247" s="229"/>
      <c r="J247" s="229"/>
      <c r="K247" s="218"/>
      <c r="L247" s="87">
        <v>46026</v>
      </c>
      <c r="M247" s="87">
        <v>46115</v>
      </c>
      <c r="N247" s="82" t="s">
        <v>1089</v>
      </c>
      <c r="O247" s="82" t="s">
        <v>1090</v>
      </c>
      <c r="P247" s="241">
        <v>1800000</v>
      </c>
      <c r="Q247" s="241">
        <v>1800000</v>
      </c>
      <c r="R247" s="82"/>
      <c r="S247" s="241">
        <v>100000</v>
      </c>
      <c r="T247" s="82" t="s">
        <v>40</v>
      </c>
      <c r="U247" s="241">
        <v>30000</v>
      </c>
      <c r="V247" s="82" t="s">
        <v>40</v>
      </c>
      <c r="W247" s="88">
        <v>25000</v>
      </c>
      <c r="X247" s="82" t="s">
        <v>40</v>
      </c>
      <c r="Y247" s="89"/>
      <c r="Z247" s="82"/>
      <c r="AA247" s="220"/>
      <c r="AB247" s="241"/>
      <c r="AC247" s="241">
        <v>200000</v>
      </c>
      <c r="AD247" s="241"/>
      <c r="AE247" s="82" t="s">
        <v>332</v>
      </c>
      <c r="AF247" s="82" t="s">
        <v>570</v>
      </c>
      <c r="AG247" s="90"/>
      <c r="AH247" s="90"/>
      <c r="AI247" s="90"/>
      <c r="AJ247" s="90"/>
      <c r="AK247" s="82"/>
      <c r="AL247" s="82" t="str" cm="1">
        <f t="array" aca="1" ref="AL247" ca="1">_xlfn.IFS(
 AND($AK247&lt;&gt;"", M247&lt;&gt;0, M247&lt;=EDATE(TODAY(),2)),"도래",
 AND($AK247&lt;&gt;"", M247&lt;&gt;0, M247&lt;=EDATE(TODAY(),3)),"예정",
 AND($AK247&lt;&gt;"", M247&lt;&gt;0, M247&lt;=EDATE(TODAY(),6)),"관심",
 TRUE,""
)</f>
        <v/>
      </c>
      <c r="AM247" s="198">
        <f t="shared" si="8"/>
        <v>4</v>
      </c>
    </row>
    <row r="248" spans="1:39" ht="18" customHeight="1">
      <c r="A248" s="81"/>
      <c r="B248" s="205" t="str">
        <f>_xlfn.LET(_xlpm.var,◆관리정보!B248,IF(_xlpm.var&lt;&gt;0,_xlpm.var,""))</f>
        <v>모던라이프</v>
      </c>
      <c r="C248" s="82">
        <f>_xlfn.LET(_xlpm.var,◆관리정보!C248,IF(_xlpm.var&lt;&gt;0,_xlpm.var,""))</f>
        <v>202</v>
      </c>
      <c r="D248" s="83" t="s">
        <v>1091</v>
      </c>
      <c r="E248" s="84" t="str">
        <f t="shared" si="7"/>
        <v>모던라이프202</v>
      </c>
      <c r="F248" s="85">
        <v>46102</v>
      </c>
      <c r="G248" s="229"/>
      <c r="H248" s="229"/>
      <c r="I248" s="229">
        <v>1855000</v>
      </c>
      <c r="J248" s="229">
        <v>123490</v>
      </c>
      <c r="K248" s="218"/>
      <c r="L248" s="87">
        <v>46043</v>
      </c>
      <c r="M248" s="87">
        <v>46132</v>
      </c>
      <c r="N248" s="82" t="s">
        <v>1092</v>
      </c>
      <c r="O248" s="82" t="s">
        <v>1093</v>
      </c>
      <c r="P248" s="241">
        <v>1700000</v>
      </c>
      <c r="Q248" s="241">
        <v>1700000</v>
      </c>
      <c r="R248" s="82"/>
      <c r="S248" s="241">
        <v>100000</v>
      </c>
      <c r="T248" s="82" t="s">
        <v>40</v>
      </c>
      <c r="U248" s="241">
        <v>30000</v>
      </c>
      <c r="V248" s="82" t="s">
        <v>40</v>
      </c>
      <c r="W248" s="88">
        <v>25000</v>
      </c>
      <c r="X248" s="82" t="s">
        <v>40</v>
      </c>
      <c r="Y248" s="89"/>
      <c r="Z248" s="82"/>
      <c r="AA248" s="220"/>
      <c r="AB248" s="241">
        <v>250000</v>
      </c>
      <c r="AC248" s="241">
        <v>200000</v>
      </c>
      <c r="AD248" s="241"/>
      <c r="AE248" s="82" t="s">
        <v>1094</v>
      </c>
      <c r="AF248" s="82" t="s">
        <v>1095</v>
      </c>
      <c r="AG248" s="90"/>
      <c r="AH248" s="90"/>
      <c r="AI248" s="90" t="s">
        <v>1096</v>
      </c>
      <c r="AJ248" s="90"/>
      <c r="AK248" s="82"/>
      <c r="AL248" s="82" t="str" cm="1">
        <f t="array" aca="1" ref="AL248" ca="1">_xlfn.IFS(
 AND($AK248&lt;&gt;"", M248&lt;&gt;0, M248&lt;=EDATE(TODAY(),2)),"도래",
 AND($AK248&lt;&gt;"", M248&lt;&gt;0, M248&lt;=EDATE(TODAY(),3)),"예정",
 AND($AK248&lt;&gt;"", M248&lt;&gt;0, M248&lt;=EDATE(TODAY(),6)),"관심",
 TRUE,""
)</f>
        <v/>
      </c>
      <c r="AM248" s="198">
        <f t="shared" si="8"/>
        <v>21</v>
      </c>
    </row>
    <row r="249" spans="1:39" ht="18" customHeight="1">
      <c r="A249" s="81"/>
      <c r="B249" s="205" t="str">
        <f>_xlfn.LET(_xlpm.var,◆관리정보!B249,IF(_xlpm.var&lt;&gt;0,_xlpm.var,""))</f>
        <v>모던라이프</v>
      </c>
      <c r="C249" s="82">
        <f>_xlfn.LET(_xlpm.var,◆관리정보!C249,IF(_xlpm.var&lt;&gt;0,_xlpm.var,""))</f>
        <v>203</v>
      </c>
      <c r="D249" s="83" t="s">
        <v>1097</v>
      </c>
      <c r="E249" s="84" t="str">
        <f t="shared" si="7"/>
        <v>모던라이프203</v>
      </c>
      <c r="F249" s="85">
        <v>46110</v>
      </c>
      <c r="G249" s="229"/>
      <c r="H249" s="229"/>
      <c r="I249" s="229"/>
      <c r="J249" s="229"/>
      <c r="K249" s="218"/>
      <c r="L249" s="87">
        <v>45990</v>
      </c>
      <c r="M249" s="87">
        <v>46080</v>
      </c>
      <c r="N249" s="82" t="s">
        <v>1098</v>
      </c>
      <c r="O249" s="82" t="s">
        <v>1099</v>
      </c>
      <c r="P249" s="241">
        <v>1800000</v>
      </c>
      <c r="Q249" s="241">
        <v>1800000</v>
      </c>
      <c r="R249" s="82"/>
      <c r="S249" s="241">
        <v>100000</v>
      </c>
      <c r="T249" s="82" t="s">
        <v>40</v>
      </c>
      <c r="U249" s="241">
        <v>30000</v>
      </c>
      <c r="V249" s="82" t="s">
        <v>40</v>
      </c>
      <c r="W249" s="88">
        <v>25000</v>
      </c>
      <c r="X249" s="82" t="s">
        <v>40</v>
      </c>
      <c r="Y249" s="89"/>
      <c r="Z249" s="82"/>
      <c r="AA249" s="220"/>
      <c r="AB249" s="241">
        <v>250000</v>
      </c>
      <c r="AC249" s="241">
        <v>200000</v>
      </c>
      <c r="AD249" s="241"/>
      <c r="AE249" s="82" t="s">
        <v>353</v>
      </c>
      <c r="AF249" s="82" t="s">
        <v>559</v>
      </c>
      <c r="AG249" s="90"/>
      <c r="AH249" s="90"/>
      <c r="AI249" s="90"/>
      <c r="AJ249" s="90"/>
      <c r="AK249" s="82"/>
      <c r="AL249" s="82" t="str" cm="1">
        <f t="array" aca="1" ref="AL249" ca="1">_xlfn.IFS(
 AND($AK249&lt;&gt;"", M249&lt;&gt;0, M249&lt;=EDATE(TODAY(),2)),"도래",
 AND($AK249&lt;&gt;"", M249&lt;&gt;0, M249&lt;=EDATE(TODAY(),3)),"예정",
 AND($AK249&lt;&gt;"", M249&lt;&gt;0, M249&lt;=EDATE(TODAY(),6)),"관심",
 TRUE,""
)</f>
        <v/>
      </c>
      <c r="AM249" s="198">
        <f t="shared" si="8"/>
        <v>29</v>
      </c>
    </row>
    <row r="250" spans="1:39" ht="18" customHeight="1">
      <c r="A250" s="81"/>
      <c r="B250" s="205" t="str">
        <f>_xlfn.LET(_xlpm.var,◆관리정보!B250,IF(_xlpm.var&lt;&gt;0,_xlpm.var,""))</f>
        <v>모던라이프</v>
      </c>
      <c r="C250" s="82">
        <f>_xlfn.LET(_xlpm.var,◆관리정보!C250,IF(_xlpm.var&lt;&gt;0,_xlpm.var,""))</f>
        <v>204</v>
      </c>
      <c r="D250" s="83" t="s">
        <v>1100</v>
      </c>
      <c r="E250" s="84" t="str">
        <f t="shared" si="7"/>
        <v>모던라이프204</v>
      </c>
      <c r="F250" s="85">
        <v>46107</v>
      </c>
      <c r="G250" s="229"/>
      <c r="H250" s="229"/>
      <c r="I250" s="229"/>
      <c r="J250" s="229"/>
      <c r="K250" s="318"/>
      <c r="L250" s="87">
        <v>46079</v>
      </c>
      <c r="M250" s="87">
        <v>46167</v>
      </c>
      <c r="N250" s="82" t="s">
        <v>1101</v>
      </c>
      <c r="O250" s="82" t="s">
        <v>1102</v>
      </c>
      <c r="P250" s="241">
        <v>1850000</v>
      </c>
      <c r="Q250" s="241">
        <v>1850000</v>
      </c>
      <c r="R250" s="82"/>
      <c r="S250" s="241">
        <v>100000</v>
      </c>
      <c r="T250" s="82" t="s">
        <v>40</v>
      </c>
      <c r="U250" s="241">
        <v>30000</v>
      </c>
      <c r="V250" s="82" t="s">
        <v>40</v>
      </c>
      <c r="W250" s="88">
        <v>25000</v>
      </c>
      <c r="X250" s="82" t="s">
        <v>40</v>
      </c>
      <c r="Y250" s="89">
        <v>50000</v>
      </c>
      <c r="Z250" s="82" t="s">
        <v>1103</v>
      </c>
      <c r="AA250" s="220" t="s">
        <v>1104</v>
      </c>
      <c r="AB250" s="241">
        <v>250000</v>
      </c>
      <c r="AC250" s="241">
        <v>200000</v>
      </c>
      <c r="AD250" s="241"/>
      <c r="AE250" s="82" t="s">
        <v>553</v>
      </c>
      <c r="AF250" s="82" t="s">
        <v>679</v>
      </c>
      <c r="AG250" s="90"/>
      <c r="AH250" s="90"/>
      <c r="AI250" s="90" t="s">
        <v>1105</v>
      </c>
      <c r="AJ250" s="90"/>
      <c r="AK250" s="82"/>
      <c r="AL250" s="82" t="str" cm="1">
        <f t="array" aca="1" ref="AL250" ca="1">_xlfn.IFS(
 AND($AK250&lt;&gt;"", M250&lt;&gt;0, M250&lt;=EDATE(TODAY(),2)),"도래",
 AND($AK250&lt;&gt;"", M250&lt;&gt;0, M250&lt;=EDATE(TODAY(),3)),"예정",
 AND($AK250&lt;&gt;"", M250&lt;&gt;0, M250&lt;=EDATE(TODAY(),6)),"관심",
 TRUE,""
)</f>
        <v/>
      </c>
      <c r="AM250" s="198">
        <f t="shared" si="8"/>
        <v>26</v>
      </c>
    </row>
    <row r="251" spans="1:39" ht="18" customHeight="1">
      <c r="A251" s="81"/>
      <c r="B251" s="237" t="str">
        <f>_xlfn.LET(_xlpm.var,◆관리정보!B251,IF(_xlpm.var&lt;&gt;0,_xlpm.var,""))</f>
        <v>모던라이프</v>
      </c>
      <c r="C251" s="238">
        <f>_xlfn.LET(_xlpm.var,◆관리정보!C251,IF(_xlpm.var&lt;&gt;0,_xlpm.var,""))</f>
        <v>301</v>
      </c>
      <c r="D251" s="239" t="s">
        <v>195</v>
      </c>
      <c r="E251" s="84" t="str">
        <f t="shared" si="7"/>
        <v>모던라이프301</v>
      </c>
      <c r="F251" s="85"/>
      <c r="G251" s="229"/>
      <c r="H251" s="229"/>
      <c r="I251" s="229"/>
      <c r="J251" s="229"/>
      <c r="K251" s="218"/>
      <c r="L251" s="87"/>
      <c r="M251" s="87"/>
      <c r="N251" s="82"/>
      <c r="O251" s="82"/>
      <c r="P251" s="241"/>
      <c r="Q251" s="241"/>
      <c r="R251" s="82"/>
      <c r="S251" s="241"/>
      <c r="T251" s="82"/>
      <c r="U251" s="241"/>
      <c r="V251" s="82"/>
      <c r="W251" s="88"/>
      <c r="X251" s="82"/>
      <c r="Y251" s="89"/>
      <c r="Z251" s="82"/>
      <c r="AA251" s="220"/>
      <c r="AB251" s="241"/>
      <c r="AC251" s="241"/>
      <c r="AD251" s="241"/>
      <c r="AE251" s="82"/>
      <c r="AF251" s="82"/>
      <c r="AG251" s="90"/>
      <c r="AH251" s="90"/>
      <c r="AI251" s="90"/>
      <c r="AJ251" s="90"/>
      <c r="AK251" s="82"/>
      <c r="AL251" s="82" t="str" cm="1">
        <f t="array" aca="1" ref="AL251" ca="1">_xlfn.IFS(
 AND($AK251&lt;&gt;"", M251&lt;&gt;0, M251&lt;=EDATE(TODAY(),2)),"도래",
 AND($AK251&lt;&gt;"", M251&lt;&gt;0, M251&lt;=EDATE(TODAY(),3)),"예정",
 AND($AK251&lt;&gt;"", M251&lt;&gt;0, M251&lt;=EDATE(TODAY(),6)),"관심",
 TRUE,""
)</f>
        <v/>
      </c>
      <c r="AM251" s="198">
        <f t="shared" si="8"/>
        <v>0</v>
      </c>
    </row>
    <row r="252" spans="1:39" ht="18" customHeight="1">
      <c r="A252" s="81"/>
      <c r="B252" s="205" t="str">
        <f>_xlfn.LET(_xlpm.var,◆관리정보!B252,IF(_xlpm.var&lt;&gt;0,_xlpm.var,""))</f>
        <v>모던라이프</v>
      </c>
      <c r="C252" s="82">
        <f>_xlfn.LET(_xlpm.var,◆관리정보!C252,IF(_xlpm.var&lt;&gt;0,_xlpm.var,""))</f>
        <v>302</v>
      </c>
      <c r="D252" s="83" t="s">
        <v>1106</v>
      </c>
      <c r="E252" s="84" t="str">
        <f t="shared" si="7"/>
        <v>모던라이프302</v>
      </c>
      <c r="F252" s="85">
        <v>46125</v>
      </c>
      <c r="G252" s="229"/>
      <c r="H252" s="229"/>
      <c r="I252" s="229"/>
      <c r="J252" s="229"/>
      <c r="K252" s="218"/>
      <c r="L252" s="87">
        <v>45760</v>
      </c>
      <c r="M252" s="87">
        <v>45850</v>
      </c>
      <c r="N252" s="82" t="s">
        <v>1107</v>
      </c>
      <c r="O252" s="82" t="s">
        <v>1108</v>
      </c>
      <c r="P252" s="241">
        <v>1700000</v>
      </c>
      <c r="Q252" s="241">
        <v>1700000</v>
      </c>
      <c r="R252" s="82"/>
      <c r="S252" s="241">
        <v>100000</v>
      </c>
      <c r="T252" s="82" t="s">
        <v>40</v>
      </c>
      <c r="U252" s="241">
        <v>30000</v>
      </c>
      <c r="V252" s="82" t="s">
        <v>40</v>
      </c>
      <c r="W252" s="88">
        <v>25000</v>
      </c>
      <c r="X252" s="82" t="s">
        <v>40</v>
      </c>
      <c r="Y252" s="89">
        <v>50000</v>
      </c>
      <c r="Z252" s="82" t="s">
        <v>1103</v>
      </c>
      <c r="AA252" s="220">
        <v>1</v>
      </c>
      <c r="AB252" s="241">
        <v>250000</v>
      </c>
      <c r="AC252" s="241">
        <v>200000</v>
      </c>
      <c r="AD252" s="241"/>
      <c r="AE252" s="82" t="s">
        <v>1109</v>
      </c>
      <c r="AF252" s="82" t="s">
        <v>1110</v>
      </c>
      <c r="AG252" s="90"/>
      <c r="AH252" s="90"/>
      <c r="AI252" s="90" t="s">
        <v>1111</v>
      </c>
      <c r="AJ252" s="90"/>
      <c r="AK252" s="82"/>
      <c r="AL252" s="82" t="str" cm="1">
        <f t="array" aca="1" ref="AL252" ca="1">_xlfn.IFS(
 AND($AK252&lt;&gt;"", M252&lt;&gt;0, M252&lt;=EDATE(TODAY(),2)),"도래",
 AND($AK252&lt;&gt;"", M252&lt;&gt;0, M252&lt;=EDATE(TODAY(),3)),"예정",
 AND($AK252&lt;&gt;"", M252&lt;&gt;0, M252&lt;=EDATE(TODAY(),6)),"관심",
 TRUE,""
)</f>
        <v/>
      </c>
      <c r="AM252" s="198">
        <f t="shared" si="8"/>
        <v>13</v>
      </c>
    </row>
    <row r="253" spans="1:39" ht="18" customHeight="1">
      <c r="A253" s="81"/>
      <c r="B253" s="237" t="str">
        <f>_xlfn.LET(_xlpm.var,◆관리정보!B253,IF(_xlpm.var&lt;&gt;0,_xlpm.var,""))</f>
        <v>모던라이프</v>
      </c>
      <c r="C253" s="238">
        <f>_xlfn.LET(_xlpm.var,◆관리정보!C253,IF(_xlpm.var&lt;&gt;0,_xlpm.var,""))</f>
        <v>303</v>
      </c>
      <c r="D253" s="239" t="s">
        <v>195</v>
      </c>
      <c r="E253" s="84" t="str">
        <f t="shared" si="7"/>
        <v>모던라이프303</v>
      </c>
      <c r="F253" s="85"/>
      <c r="G253" s="229"/>
      <c r="H253" s="229"/>
      <c r="I253" s="229"/>
      <c r="J253" s="229"/>
      <c r="K253" s="218"/>
      <c r="L253" s="87"/>
      <c r="M253" s="87"/>
      <c r="N253" s="82"/>
      <c r="O253" s="82"/>
      <c r="P253" s="241"/>
      <c r="Q253" s="241"/>
      <c r="R253" s="82"/>
      <c r="S253" s="241"/>
      <c r="T253" s="82"/>
      <c r="U253" s="241"/>
      <c r="V253" s="82"/>
      <c r="W253" s="88"/>
      <c r="X253" s="82"/>
      <c r="Y253" s="89"/>
      <c r="Z253" s="82"/>
      <c r="AA253" s="220"/>
      <c r="AB253" s="241"/>
      <c r="AC253" s="241"/>
      <c r="AD253" s="241"/>
      <c r="AE253" s="82"/>
      <c r="AF253" s="82"/>
      <c r="AG253" s="90"/>
      <c r="AH253" s="90"/>
      <c r="AI253" s="90" t="s">
        <v>1112</v>
      </c>
      <c r="AJ253" s="90"/>
      <c r="AK253" s="82"/>
      <c r="AL253" s="82" t="str" cm="1">
        <f t="array" aca="1" ref="AL253" ca="1">_xlfn.IFS(
 AND($AK253&lt;&gt;"", M253&lt;&gt;0, M253&lt;=EDATE(TODAY(),2)),"도래",
 AND($AK253&lt;&gt;"", M253&lt;&gt;0, M253&lt;=EDATE(TODAY(),3)),"예정",
 AND($AK253&lt;&gt;"", M253&lt;&gt;0, M253&lt;=EDATE(TODAY(),6)),"관심",
 TRUE,""
)</f>
        <v/>
      </c>
      <c r="AM253" s="198">
        <f t="shared" si="8"/>
        <v>0</v>
      </c>
    </row>
    <row r="254" spans="1:39" ht="18" customHeight="1">
      <c r="A254" s="81"/>
      <c r="B254" s="205" t="str">
        <f>_xlfn.LET(_xlpm.var,◆관리정보!B254,IF(_xlpm.var&lt;&gt;0,_xlpm.var,""))</f>
        <v>모던라이프</v>
      </c>
      <c r="C254" s="82">
        <f>_xlfn.LET(_xlpm.var,◆관리정보!C254,IF(_xlpm.var&lt;&gt;0,_xlpm.var,""))</f>
        <v>304</v>
      </c>
      <c r="D254" s="83" t="s">
        <v>1113</v>
      </c>
      <c r="E254" s="84" t="str">
        <f t="shared" si="7"/>
        <v>모던라이프304</v>
      </c>
      <c r="F254" s="85">
        <v>46125</v>
      </c>
      <c r="G254" s="229"/>
      <c r="H254" s="229"/>
      <c r="I254" s="229">
        <f>1855000-1940000</f>
        <v>-85000</v>
      </c>
      <c r="J254" s="229"/>
      <c r="K254" s="218">
        <v>85000</v>
      </c>
      <c r="L254" s="87">
        <v>45913</v>
      </c>
      <c r="M254" s="87">
        <v>46003</v>
      </c>
      <c r="N254" s="82" t="s">
        <v>1114</v>
      </c>
      <c r="O254" s="82" t="s">
        <v>1115</v>
      </c>
      <c r="P254" s="241">
        <v>1750000</v>
      </c>
      <c r="Q254" s="241">
        <v>1700000</v>
      </c>
      <c r="R254" s="82"/>
      <c r="S254" s="241">
        <v>100000</v>
      </c>
      <c r="T254" s="82" t="s">
        <v>40</v>
      </c>
      <c r="U254" s="241">
        <v>30000</v>
      </c>
      <c r="V254" s="82" t="s">
        <v>40</v>
      </c>
      <c r="W254" s="88">
        <v>25000</v>
      </c>
      <c r="X254" s="82" t="s">
        <v>40</v>
      </c>
      <c r="Y254" s="89">
        <v>50000</v>
      </c>
      <c r="Z254" s="82" t="s">
        <v>1116</v>
      </c>
      <c r="AA254" s="220" t="s">
        <v>1117</v>
      </c>
      <c r="AB254" s="241">
        <v>250000</v>
      </c>
      <c r="AC254" s="241">
        <v>200000</v>
      </c>
      <c r="AD254" s="241"/>
      <c r="AE254" s="82" t="s">
        <v>74</v>
      </c>
      <c r="AF254" s="82" t="s">
        <v>1118</v>
      </c>
      <c r="AG254" s="90"/>
      <c r="AH254" s="90"/>
      <c r="AI254" s="90" t="s">
        <v>1119</v>
      </c>
      <c r="AJ254" s="90"/>
      <c r="AK254" s="82"/>
      <c r="AL254" s="82" t="str" cm="1">
        <f t="array" aca="1" ref="AL254" ca="1">_xlfn.IFS(
 AND($AK254&lt;&gt;"", M254&lt;&gt;0, M254&lt;=EDATE(TODAY(),2)),"도래",
 AND($AK254&lt;&gt;"", M254&lt;&gt;0, M254&lt;=EDATE(TODAY(),3)),"예정",
 AND($AK254&lt;&gt;"", M254&lt;&gt;0, M254&lt;=EDATE(TODAY(),6)),"관심",
 TRUE,""
)</f>
        <v/>
      </c>
      <c r="AM254" s="198">
        <f t="shared" si="8"/>
        <v>13</v>
      </c>
    </row>
    <row r="255" spans="1:39" ht="18" customHeight="1">
      <c r="A255" s="81"/>
      <c r="B255" s="205" t="str">
        <f>_xlfn.LET(_xlpm.var,◆관리정보!B255,IF(_xlpm.var&lt;&gt;0,_xlpm.var,""))</f>
        <v>모던라이프</v>
      </c>
      <c r="C255" s="82">
        <f>_xlfn.LET(_xlpm.var,◆관리정보!C255,IF(_xlpm.var&lt;&gt;0,_xlpm.var,""))</f>
        <v>401</v>
      </c>
      <c r="D255" s="83" t="s">
        <v>1120</v>
      </c>
      <c r="E255" s="84" t="str">
        <f t="shared" si="7"/>
        <v>모던라이프401</v>
      </c>
      <c r="F255" s="85">
        <v>46124</v>
      </c>
      <c r="G255" s="229"/>
      <c r="H255" s="229"/>
      <c r="I255" s="229"/>
      <c r="J255" s="229"/>
      <c r="K255" s="318"/>
      <c r="L255" s="87">
        <v>46034</v>
      </c>
      <c r="M255" s="87">
        <v>46123</v>
      </c>
      <c r="N255" s="82" t="s">
        <v>1121</v>
      </c>
      <c r="O255" s="82" t="s">
        <v>1122</v>
      </c>
      <c r="P255" s="241">
        <v>1800000</v>
      </c>
      <c r="Q255" s="241">
        <v>1800000</v>
      </c>
      <c r="R255" s="82"/>
      <c r="S255" s="241">
        <v>100000</v>
      </c>
      <c r="T255" s="82" t="s">
        <v>40</v>
      </c>
      <c r="U255" s="241">
        <v>30000</v>
      </c>
      <c r="V255" s="82" t="s">
        <v>40</v>
      </c>
      <c r="W255" s="88">
        <v>25000</v>
      </c>
      <c r="X255" s="82" t="s">
        <v>40</v>
      </c>
      <c r="Y255" s="89">
        <v>50000</v>
      </c>
      <c r="Z255" s="82" t="s">
        <v>1103</v>
      </c>
      <c r="AA255" s="220" t="s">
        <v>823</v>
      </c>
      <c r="AB255" s="241">
        <v>250000</v>
      </c>
      <c r="AC255" s="241">
        <v>200000</v>
      </c>
      <c r="AD255" s="241"/>
      <c r="AE255" s="82" t="s">
        <v>151</v>
      </c>
      <c r="AF255" s="82" t="s">
        <v>1123</v>
      </c>
      <c r="AG255" s="90"/>
      <c r="AH255" s="90"/>
      <c r="AI255" s="90" t="s">
        <v>1124</v>
      </c>
      <c r="AJ255" s="90"/>
      <c r="AK255" s="82"/>
      <c r="AL255" s="82" t="str" cm="1">
        <f t="array" aca="1" ref="AL255" ca="1">_xlfn.IFS(
 AND($AK255&lt;&gt;"", M255&lt;&gt;0, M255&lt;=EDATE(TODAY(),2)),"도래",
 AND($AK255&lt;&gt;"", M255&lt;&gt;0, M255&lt;=EDATE(TODAY(),3)),"예정",
 AND($AK255&lt;&gt;"", M255&lt;&gt;0, M255&lt;=EDATE(TODAY(),6)),"관심",
 TRUE,""
)</f>
        <v/>
      </c>
      <c r="AM255" s="198">
        <f t="shared" si="8"/>
        <v>12</v>
      </c>
    </row>
    <row r="256" spans="1:39" ht="18" customHeight="1">
      <c r="A256" s="81"/>
      <c r="B256" s="205" t="str">
        <f>_xlfn.LET(_xlpm.var,◆관리정보!B256,IF(_xlpm.var&lt;&gt;0,_xlpm.var,""))</f>
        <v>모던라이프</v>
      </c>
      <c r="C256" s="82">
        <f>_xlfn.LET(_xlpm.var,◆관리정보!C256,IF(_xlpm.var&lt;&gt;0,_xlpm.var,""))</f>
        <v>402</v>
      </c>
      <c r="D256" s="83" t="s">
        <v>231</v>
      </c>
      <c r="E256" s="84" t="str">
        <f t="shared" si="7"/>
        <v>모던라이프402</v>
      </c>
      <c r="F256" s="85">
        <v>46126</v>
      </c>
      <c r="G256" s="229"/>
      <c r="H256" s="229"/>
      <c r="I256" s="229"/>
      <c r="J256" s="229"/>
      <c r="K256" s="218"/>
      <c r="L256" s="87">
        <v>45975</v>
      </c>
      <c r="M256" s="87">
        <v>46066</v>
      </c>
      <c r="N256" s="82" t="s">
        <v>1125</v>
      </c>
      <c r="O256" s="82" t="s">
        <v>1126</v>
      </c>
      <c r="P256" s="241">
        <v>1850000</v>
      </c>
      <c r="Q256" s="241">
        <v>1800000</v>
      </c>
      <c r="R256" s="82"/>
      <c r="S256" s="241">
        <v>150000</v>
      </c>
      <c r="T256" s="82" t="s">
        <v>40</v>
      </c>
      <c r="U256" s="241">
        <v>30000</v>
      </c>
      <c r="V256" s="82" t="s">
        <v>40</v>
      </c>
      <c r="W256" s="88">
        <v>25000</v>
      </c>
      <c r="X256" s="82" t="s">
        <v>40</v>
      </c>
      <c r="Y256" s="89"/>
      <c r="Z256" s="82"/>
      <c r="AA256" s="220"/>
      <c r="AB256" s="241">
        <v>250000</v>
      </c>
      <c r="AC256" s="241">
        <v>200000</v>
      </c>
      <c r="AD256" s="241"/>
      <c r="AE256" s="82" t="s">
        <v>1127</v>
      </c>
      <c r="AF256" s="82" t="s">
        <v>1128</v>
      </c>
      <c r="AG256" s="90"/>
      <c r="AH256" s="90"/>
      <c r="AI256" s="90" t="s">
        <v>1129</v>
      </c>
      <c r="AJ256" s="90"/>
      <c r="AK256" s="82"/>
      <c r="AL256" s="82" t="str" cm="1">
        <f t="array" aca="1" ref="AL256" ca="1">_xlfn.IFS(
 AND($AK256&lt;&gt;"", M256&lt;&gt;0, M256&lt;=EDATE(TODAY(),2)),"도래",
 AND($AK256&lt;&gt;"", M256&lt;&gt;0, M256&lt;=EDATE(TODAY(),3)),"예정",
 AND($AK256&lt;&gt;"", M256&lt;&gt;0, M256&lt;=EDATE(TODAY(),6)),"관심",
 TRUE,""
)</f>
        <v/>
      </c>
      <c r="AM256" s="198">
        <f t="shared" si="8"/>
        <v>14</v>
      </c>
    </row>
    <row r="257" spans="1:39" ht="18" customHeight="1">
      <c r="A257" s="81"/>
      <c r="B257" s="205" t="str">
        <f>_xlfn.LET(_xlpm.var,◆관리정보!B257,IF(_xlpm.var&lt;&gt;0,_xlpm.var,""))</f>
        <v>모던라이프</v>
      </c>
      <c r="C257" s="82">
        <f>_xlfn.LET(_xlpm.var,◆관리정보!C257,IF(_xlpm.var&lt;&gt;0,_xlpm.var,""))</f>
        <v>403</v>
      </c>
      <c r="D257" s="83" t="s">
        <v>1130</v>
      </c>
      <c r="E257" s="84" t="str">
        <f t="shared" si="7"/>
        <v>모던라이프403</v>
      </c>
      <c r="F257" s="85">
        <v>46123</v>
      </c>
      <c r="G257" s="229"/>
      <c r="H257" s="229"/>
      <c r="I257" s="229"/>
      <c r="J257" s="229"/>
      <c r="K257" s="318"/>
      <c r="L257" s="87">
        <v>46033</v>
      </c>
      <c r="M257" s="87">
        <v>46122</v>
      </c>
      <c r="N257" s="82" t="s">
        <v>1131</v>
      </c>
      <c r="O257" s="82" t="s">
        <v>1132</v>
      </c>
      <c r="P257" s="241">
        <v>1800000</v>
      </c>
      <c r="Q257" s="241">
        <v>1800000</v>
      </c>
      <c r="R257" s="82"/>
      <c r="S257" s="241">
        <v>100000</v>
      </c>
      <c r="T257" s="82" t="s">
        <v>40</v>
      </c>
      <c r="U257" s="241">
        <v>30000</v>
      </c>
      <c r="V257" s="82" t="s">
        <v>40</v>
      </c>
      <c r="W257" s="88">
        <v>25000</v>
      </c>
      <c r="X257" s="82" t="s">
        <v>40</v>
      </c>
      <c r="Y257" s="89"/>
      <c r="Z257" s="82"/>
      <c r="AA257" s="220"/>
      <c r="AB257" s="241">
        <v>150000</v>
      </c>
      <c r="AC257" s="241">
        <v>200000</v>
      </c>
      <c r="AD257" s="241"/>
      <c r="AE257" s="82" t="s">
        <v>85</v>
      </c>
      <c r="AF257" s="82" t="s">
        <v>1133</v>
      </c>
      <c r="AG257" s="90"/>
      <c r="AH257" s="90"/>
      <c r="AI257" s="90"/>
      <c r="AJ257" s="90"/>
      <c r="AK257" s="82"/>
      <c r="AL257" s="82" t="str" cm="1">
        <f t="array" aca="1" ref="AL257" ca="1">_xlfn.IFS(
 AND($AK257&lt;&gt;"", M257&lt;&gt;0, M257&lt;=EDATE(TODAY(),2)),"도래",
 AND($AK257&lt;&gt;"", M257&lt;&gt;0, M257&lt;=EDATE(TODAY(),3)),"예정",
 AND($AK257&lt;&gt;"", M257&lt;&gt;0, M257&lt;=EDATE(TODAY(),6)),"관심",
 TRUE,""
)</f>
        <v/>
      </c>
      <c r="AM257" s="198">
        <f t="shared" si="8"/>
        <v>11</v>
      </c>
    </row>
    <row r="258" spans="1:39" ht="18" customHeight="1">
      <c r="A258" s="81"/>
      <c r="B258" s="205" t="str">
        <f>_xlfn.LET(_xlpm.var,◆관리정보!B258,IF(_xlpm.var&lt;&gt;0,_xlpm.var,""))</f>
        <v>모던라이프</v>
      </c>
      <c r="C258" s="82">
        <f>_xlfn.LET(_xlpm.var,◆관리정보!C258,IF(_xlpm.var&lt;&gt;0,_xlpm.var,""))</f>
        <v>404</v>
      </c>
      <c r="D258" s="83" t="s">
        <v>1134</v>
      </c>
      <c r="E258" s="84" t="str">
        <f t="shared" si="7"/>
        <v>모던라이프404</v>
      </c>
      <c r="F258" s="85">
        <v>46125</v>
      </c>
      <c r="G258" s="229"/>
      <c r="H258" s="229"/>
      <c r="I258" s="229"/>
      <c r="J258" s="229"/>
      <c r="K258" s="218"/>
      <c r="L258" s="87">
        <v>45517</v>
      </c>
      <c r="M258" s="87">
        <v>45608</v>
      </c>
      <c r="N258" s="82" t="s">
        <v>1135</v>
      </c>
      <c r="O258" s="82" t="s">
        <v>1136</v>
      </c>
      <c r="P258" s="241">
        <v>1900000</v>
      </c>
      <c r="Q258" s="241">
        <v>1900000</v>
      </c>
      <c r="R258" s="82"/>
      <c r="S258" s="241">
        <v>120000</v>
      </c>
      <c r="T258" s="82" t="s">
        <v>40</v>
      </c>
      <c r="U258" s="241">
        <v>25000</v>
      </c>
      <c r="V258" s="82" t="s">
        <v>40</v>
      </c>
      <c r="W258" s="88">
        <v>25000</v>
      </c>
      <c r="X258" s="82" t="s">
        <v>40</v>
      </c>
      <c r="Y258" s="89"/>
      <c r="Z258" s="82"/>
      <c r="AA258" s="220"/>
      <c r="AB258" s="241">
        <v>250000</v>
      </c>
      <c r="AC258" s="241">
        <v>200000</v>
      </c>
      <c r="AD258" s="241"/>
      <c r="AE258" s="82" t="s">
        <v>773</v>
      </c>
      <c r="AF258" s="82" t="s">
        <v>679</v>
      </c>
      <c r="AG258" s="90"/>
      <c r="AH258" s="90"/>
      <c r="AI258" s="90" t="s">
        <v>1137</v>
      </c>
      <c r="AJ258" s="90"/>
      <c r="AK258" s="82"/>
      <c r="AL258" s="82" t="str" cm="1">
        <f t="array" aca="1" ref="AL258" ca="1">_xlfn.IFS(
 AND($AK258&lt;&gt;"", M258&lt;&gt;0, M258&lt;=EDATE(TODAY(),2)),"도래",
 AND($AK258&lt;&gt;"", M258&lt;&gt;0, M258&lt;=EDATE(TODAY(),3)),"예정",
 AND($AK258&lt;&gt;"", M258&lt;&gt;0, M258&lt;=EDATE(TODAY(),6)),"관심",
 TRUE,""
)</f>
        <v/>
      </c>
      <c r="AM258" s="198">
        <f t="shared" si="8"/>
        <v>13</v>
      </c>
    </row>
    <row r="259" spans="1:39" ht="18" customHeight="1">
      <c r="A259" s="81"/>
      <c r="B259" s="205" t="str">
        <f>_xlfn.LET(_xlpm.var,◆관리정보!B259,IF(_xlpm.var&lt;&gt;0,_xlpm.var,""))</f>
        <v>모던라이프</v>
      </c>
      <c r="C259" s="82">
        <f>_xlfn.LET(_xlpm.var,◆관리정보!C259,IF(_xlpm.var&lt;&gt;0,_xlpm.var,""))</f>
        <v>501</v>
      </c>
      <c r="D259" s="83" t="s">
        <v>1138</v>
      </c>
      <c r="E259" s="84" t="str">
        <f t="shared" si="7"/>
        <v>모던라이프501</v>
      </c>
      <c r="F259" s="85">
        <v>46002</v>
      </c>
      <c r="G259" s="229"/>
      <c r="H259" s="229">
        <f>181000+229450+251860</f>
        <v>662310</v>
      </c>
      <c r="I259" s="229">
        <f>3920000-(870000-540000)-1000000</f>
        <v>2590000</v>
      </c>
      <c r="J259" s="229">
        <v>325090</v>
      </c>
      <c r="K259" s="318">
        <f>185000-180000+185000</f>
        <v>190000</v>
      </c>
      <c r="L259" s="87">
        <v>45088</v>
      </c>
      <c r="M259" s="87">
        <v>45179</v>
      </c>
      <c r="N259" s="82" t="s">
        <v>1139</v>
      </c>
      <c r="O259" s="82" t="s">
        <v>1140</v>
      </c>
      <c r="P259" s="241">
        <v>3700000</v>
      </c>
      <c r="Q259" s="241">
        <v>3700000</v>
      </c>
      <c r="R259" s="82"/>
      <c r="S259" s="241">
        <v>150000</v>
      </c>
      <c r="T259" s="82" t="s">
        <v>40</v>
      </c>
      <c r="U259" s="241">
        <v>35000</v>
      </c>
      <c r="V259" s="82" t="s">
        <v>40</v>
      </c>
      <c r="W259" s="88">
        <v>35000</v>
      </c>
      <c r="X259" s="82" t="s">
        <v>40</v>
      </c>
      <c r="Y259" s="89">
        <v>50000</v>
      </c>
      <c r="Z259" s="82" t="s">
        <v>1103</v>
      </c>
      <c r="AA259" s="220" t="s">
        <v>1141</v>
      </c>
      <c r="AB259" s="241">
        <v>300000</v>
      </c>
      <c r="AC259" s="241">
        <v>350000</v>
      </c>
      <c r="AD259" s="241"/>
      <c r="AE259" s="82" t="s">
        <v>1142</v>
      </c>
      <c r="AF259" s="82" t="s">
        <v>995</v>
      </c>
      <c r="AG259" s="90"/>
      <c r="AH259" s="90"/>
      <c r="AI259" s="90" t="s">
        <v>1143</v>
      </c>
      <c r="AJ259" s="90"/>
      <c r="AK259" s="82"/>
      <c r="AL259" s="82" t="str" cm="1">
        <f t="array" aca="1" ref="AL259" ca="1">_xlfn.IFS(
 AND($AK259&lt;&gt;"", M259&lt;&gt;0, M259&lt;=EDATE(TODAY(),2)),"도래",
 AND($AK259&lt;&gt;"", M259&lt;&gt;0, M259&lt;=EDATE(TODAY(),3)),"예정",
 AND($AK259&lt;&gt;"", M259&lt;&gt;0, M259&lt;=EDATE(TODAY(),6)),"관심",
 TRUE,""
)</f>
        <v/>
      </c>
      <c r="AM259" s="198">
        <f t="shared" si="8"/>
        <v>11</v>
      </c>
    </row>
    <row r="260" spans="1:39" ht="18" customHeight="1">
      <c r="A260" s="81"/>
      <c r="B260" s="205" t="str">
        <f>_xlfn.LET(_xlpm.var,◆관리정보!B260,IF(_xlpm.var&lt;&gt;0,_xlpm.var,""))</f>
        <v>모던라이프</v>
      </c>
      <c r="C260" s="82">
        <f>_xlfn.LET(_xlpm.var,◆관리정보!C260,IF(_xlpm.var&lt;&gt;0,_xlpm.var,""))</f>
        <v>502</v>
      </c>
      <c r="D260" s="83" t="s">
        <v>1144</v>
      </c>
      <c r="E260" s="84" t="str">
        <f t="shared" ref="E260:E323" si="9">_xlfn.CONCAT(B260,C260)</f>
        <v>모던라이프502</v>
      </c>
      <c r="F260" s="85">
        <v>46101</v>
      </c>
      <c r="G260" s="229"/>
      <c r="H260" s="229"/>
      <c r="I260" s="229">
        <v>1955000</v>
      </c>
      <c r="J260" s="229"/>
      <c r="K260" s="218"/>
      <c r="L260" s="87">
        <v>46073</v>
      </c>
      <c r="M260" s="87">
        <v>46161</v>
      </c>
      <c r="N260" s="82" t="s">
        <v>1145</v>
      </c>
      <c r="O260" s="82" t="s">
        <v>1146</v>
      </c>
      <c r="P260" s="241">
        <v>1800000</v>
      </c>
      <c r="Q260" s="261">
        <v>1800000</v>
      </c>
      <c r="R260" s="82"/>
      <c r="S260" s="241">
        <v>100000</v>
      </c>
      <c r="T260" s="82" t="s">
        <v>40</v>
      </c>
      <c r="U260" s="241">
        <v>30000</v>
      </c>
      <c r="V260" s="82" t="s">
        <v>40</v>
      </c>
      <c r="W260" s="88">
        <v>25000</v>
      </c>
      <c r="X260" s="82" t="s">
        <v>40</v>
      </c>
      <c r="Y260" s="89"/>
      <c r="Z260" s="82"/>
      <c r="AA260" s="220" t="s">
        <v>1147</v>
      </c>
      <c r="AB260" s="241">
        <v>250000</v>
      </c>
      <c r="AC260" s="241">
        <v>200000</v>
      </c>
      <c r="AD260" s="241"/>
      <c r="AE260" s="82" t="s">
        <v>1148</v>
      </c>
      <c r="AF260" s="82" t="s">
        <v>1038</v>
      </c>
      <c r="AG260" s="90"/>
      <c r="AH260" s="90"/>
      <c r="AI260" s="90" t="s">
        <v>1149</v>
      </c>
      <c r="AJ260" s="90"/>
      <c r="AK260" s="82"/>
      <c r="AL260" s="82" t="str" cm="1">
        <f t="array" aca="1" ref="AL260" ca="1">_xlfn.IFS(
 AND($AK260&lt;&gt;"", M260&lt;&gt;0, M260&lt;=EDATE(TODAY(),2)),"도래",
 AND($AK260&lt;&gt;"", M260&lt;&gt;0, M260&lt;=EDATE(TODAY(),3)),"예정",
 AND($AK260&lt;&gt;"", M260&lt;&gt;0, M260&lt;=EDATE(TODAY(),6)),"관심",
 TRUE,""
)</f>
        <v/>
      </c>
      <c r="AM260" s="198">
        <f t="shared" si="8"/>
        <v>20</v>
      </c>
    </row>
    <row r="261" spans="1:39" ht="18" customHeight="1">
      <c r="A261" s="81"/>
      <c r="B261" s="205" t="str">
        <f>_xlfn.LET(_xlpm.var,◆관리정보!B261,IF(_xlpm.var&lt;&gt;0,_xlpm.var,""))</f>
        <v>모던라이프</v>
      </c>
      <c r="C261" s="82">
        <f>_xlfn.LET(_xlpm.var,◆관리정보!C261,IF(_xlpm.var&lt;&gt;0,_xlpm.var,""))</f>
        <v>503</v>
      </c>
      <c r="D261" s="83" t="s">
        <v>1150</v>
      </c>
      <c r="E261" s="84" t="str">
        <f t="shared" si="9"/>
        <v>모던라이프503</v>
      </c>
      <c r="F261" s="85">
        <v>46117</v>
      </c>
      <c r="G261" s="229"/>
      <c r="H261" s="229"/>
      <c r="I261" s="229"/>
      <c r="J261" s="229"/>
      <c r="K261" s="218"/>
      <c r="L261" s="87">
        <v>45874</v>
      </c>
      <c r="M261" s="87">
        <v>45965</v>
      </c>
      <c r="N261" s="82" t="s">
        <v>1151</v>
      </c>
      <c r="O261" s="82" t="s">
        <v>1152</v>
      </c>
      <c r="P261" s="241">
        <v>1850000</v>
      </c>
      <c r="Q261" s="241">
        <v>1800000</v>
      </c>
      <c r="R261" s="82"/>
      <c r="S261" s="241">
        <v>100000</v>
      </c>
      <c r="T261" s="82" t="s">
        <v>40</v>
      </c>
      <c r="U261" s="241">
        <v>30000</v>
      </c>
      <c r="V261" s="82" t="s">
        <v>40</v>
      </c>
      <c r="W261" s="88">
        <v>25000</v>
      </c>
      <c r="X261" s="82" t="s">
        <v>40</v>
      </c>
      <c r="Y261" s="89"/>
      <c r="Z261" s="82"/>
      <c r="AA261" s="220"/>
      <c r="AB261" s="241">
        <v>250000</v>
      </c>
      <c r="AC261" s="241">
        <v>200000</v>
      </c>
      <c r="AD261" s="241"/>
      <c r="AE261" s="82" t="s">
        <v>327</v>
      </c>
      <c r="AF261" s="82" t="s">
        <v>842</v>
      </c>
      <c r="AG261" s="90"/>
      <c r="AH261" s="90"/>
      <c r="AI261" s="90"/>
      <c r="AJ261" s="90"/>
      <c r="AK261" s="82"/>
      <c r="AL261" s="82" t="str" cm="1">
        <f t="array" aca="1" ref="AL261" ca="1">_xlfn.IFS(
 AND($AK261&lt;&gt;"", M261&lt;&gt;0, M261&lt;=EDATE(TODAY(),2)),"도래",
 AND($AK261&lt;&gt;"", M261&lt;&gt;0, M261&lt;=EDATE(TODAY(),3)),"예정",
 AND($AK261&lt;&gt;"", M261&lt;&gt;0, M261&lt;=EDATE(TODAY(),6)),"관심",
 TRUE,""
)</f>
        <v/>
      </c>
      <c r="AM261" s="198">
        <f t="shared" ref="AM261:AM324" si="10">DAY(L261)</f>
        <v>5</v>
      </c>
    </row>
    <row r="262" spans="1:39" ht="18" customHeight="1">
      <c r="A262" s="81"/>
      <c r="B262" s="378" t="str">
        <f>_xlfn.LET(_xlpm.var,◆관리정보!B262,IF(_xlpm.var&lt;&gt;0,_xlpm.var,""))</f>
        <v>모던라이프</v>
      </c>
      <c r="C262" s="379">
        <f>_xlfn.LET(_xlpm.var,◆관리정보!C262,IF(_xlpm.var&lt;&gt;0,_xlpm.var,""))</f>
        <v>601</v>
      </c>
      <c r="D262" s="383" t="s">
        <v>1153</v>
      </c>
      <c r="E262" s="84" t="str">
        <f t="shared" si="9"/>
        <v>모던라이프601</v>
      </c>
      <c r="F262" s="85">
        <v>46100</v>
      </c>
      <c r="G262" s="229"/>
      <c r="H262" s="229"/>
      <c r="I262" s="229">
        <v>1530000</v>
      </c>
      <c r="J262" s="389">
        <v>95520</v>
      </c>
      <c r="K262" s="218"/>
      <c r="L262" s="87">
        <v>46041</v>
      </c>
      <c r="M262" s="87">
        <v>46130</v>
      </c>
      <c r="N262" s="82" t="s">
        <v>1154</v>
      </c>
      <c r="O262" s="82" t="s">
        <v>1155</v>
      </c>
      <c r="P262" s="241">
        <v>1400000</v>
      </c>
      <c r="Q262" s="241">
        <v>1400000</v>
      </c>
      <c r="R262" s="82"/>
      <c r="S262" s="241">
        <v>80000</v>
      </c>
      <c r="T262" s="82" t="s">
        <v>40</v>
      </c>
      <c r="U262" s="241">
        <v>25000</v>
      </c>
      <c r="V262" s="82" t="s">
        <v>40</v>
      </c>
      <c r="W262" s="88">
        <v>25000</v>
      </c>
      <c r="X262" s="82" t="s">
        <v>40</v>
      </c>
      <c r="Y262" s="89">
        <v>50000</v>
      </c>
      <c r="Z262" s="82" t="s">
        <v>1103</v>
      </c>
      <c r="AA262" s="220"/>
      <c r="AB262" s="241">
        <v>180000</v>
      </c>
      <c r="AC262" s="241">
        <v>200000</v>
      </c>
      <c r="AD262" s="241"/>
      <c r="AE262" s="82" t="s">
        <v>74</v>
      </c>
      <c r="AF262" s="82" t="s">
        <v>75</v>
      </c>
      <c r="AG262" s="90"/>
      <c r="AH262" s="90"/>
      <c r="AI262" s="90"/>
      <c r="AJ262" s="90"/>
      <c r="AK262" s="82"/>
      <c r="AL262" s="82" t="str" cm="1">
        <f t="array" aca="1" ref="AL262" ca="1">_xlfn.IFS(
 AND($AK262&lt;&gt;"", M262&lt;&gt;0, M262&lt;=EDATE(TODAY(),2)),"도래",
 AND($AK262&lt;&gt;"", M262&lt;&gt;0, M262&lt;=EDATE(TODAY(),3)),"예정",
 AND($AK262&lt;&gt;"", M262&lt;&gt;0, M262&lt;=EDATE(TODAY(),6)),"관심",
 TRUE,""
)</f>
        <v/>
      </c>
      <c r="AM262" s="198">
        <f t="shared" si="10"/>
        <v>19</v>
      </c>
    </row>
    <row r="263" spans="1:39" ht="18" customHeight="1">
      <c r="A263" s="81"/>
      <c r="B263" s="378" t="str">
        <f>_xlfn.LET(_xlpm.var,◆관리정보!B263,IF(_xlpm.var&lt;&gt;0,_xlpm.var,""))</f>
        <v>서우하우스</v>
      </c>
      <c r="C263" s="379">
        <f>_xlfn.LET(_xlpm.var,◆관리정보!C263,IF(_xlpm.var&lt;&gt;0,_xlpm.var,""))</f>
        <v>301</v>
      </c>
      <c r="D263" s="383" t="s">
        <v>1156</v>
      </c>
      <c r="E263" s="84" t="str">
        <f t="shared" si="9"/>
        <v>서우하우스301</v>
      </c>
      <c r="F263" s="85">
        <v>46121</v>
      </c>
      <c r="G263" s="229"/>
      <c r="H263" s="229"/>
      <c r="I263" s="229"/>
      <c r="J263" s="229"/>
      <c r="K263" s="318"/>
      <c r="L263" s="87">
        <v>46031</v>
      </c>
      <c r="M263" s="87">
        <v>46120</v>
      </c>
      <c r="N263" s="82" t="s">
        <v>1157</v>
      </c>
      <c r="O263" s="82" t="s">
        <v>1158</v>
      </c>
      <c r="P263" s="241">
        <v>2600000</v>
      </c>
      <c r="Q263" s="241">
        <v>2600000</v>
      </c>
      <c r="R263" s="82"/>
      <c r="S263" s="241">
        <v>150000</v>
      </c>
      <c r="T263" s="82" t="s">
        <v>40</v>
      </c>
      <c r="U263" s="241">
        <v>35000</v>
      </c>
      <c r="V263" s="82" t="s">
        <v>40</v>
      </c>
      <c r="W263" s="88">
        <v>35000</v>
      </c>
      <c r="X263" s="82" t="s">
        <v>40</v>
      </c>
      <c r="Y263" s="89"/>
      <c r="Z263" s="82"/>
      <c r="AA263" s="220"/>
      <c r="AB263" s="241">
        <v>300000</v>
      </c>
      <c r="AC263" s="241">
        <v>250000</v>
      </c>
      <c r="AD263" s="241"/>
      <c r="AE263" s="82" t="s">
        <v>327</v>
      </c>
      <c r="AF263" s="82" t="s">
        <v>842</v>
      </c>
      <c r="AG263" s="90"/>
      <c r="AH263" s="90"/>
      <c r="AI263" s="90" t="s">
        <v>1159</v>
      </c>
      <c r="AJ263" s="90"/>
      <c r="AK263" s="82"/>
      <c r="AL263" s="82" t="str" cm="1">
        <f t="array" aca="1" ref="AL263" ca="1">_xlfn.IFS(
 AND($AK263&lt;&gt;"", M263&lt;&gt;0, M263&lt;=EDATE(TODAY(),2)),"도래",
 AND($AK263&lt;&gt;"", M263&lt;&gt;0, M263&lt;=EDATE(TODAY(),3)),"예정",
 AND($AK263&lt;&gt;"", M263&lt;&gt;0, M263&lt;=EDATE(TODAY(),6)),"관심",
 TRUE,""
)</f>
        <v/>
      </c>
      <c r="AM263" s="198">
        <f t="shared" si="10"/>
        <v>9</v>
      </c>
    </row>
    <row r="264" spans="1:39" ht="18" customHeight="1">
      <c r="A264" s="81"/>
      <c r="B264" s="205" t="str">
        <f>_xlfn.LET(_xlpm.var,◆관리정보!B264,IF(_xlpm.var&lt;&gt;0,_xlpm.var,""))</f>
        <v>서우하우스</v>
      </c>
      <c r="C264" s="82">
        <f>_xlfn.LET(_xlpm.var,◆관리정보!C264,IF(_xlpm.var&lt;&gt;0,_xlpm.var,""))</f>
        <v>302</v>
      </c>
      <c r="D264" s="83" t="s">
        <v>1160</v>
      </c>
      <c r="E264" s="84" t="str">
        <f t="shared" si="9"/>
        <v>서우하우스302</v>
      </c>
      <c r="F264" s="85">
        <v>46120</v>
      </c>
      <c r="G264" s="229"/>
      <c r="H264" s="229"/>
      <c r="I264" s="229"/>
      <c r="J264" s="229"/>
      <c r="K264" s="218"/>
      <c r="L264" s="87">
        <v>45420</v>
      </c>
      <c r="M264" s="87">
        <v>45511</v>
      </c>
      <c r="N264" s="82" t="s">
        <v>1161</v>
      </c>
      <c r="O264" s="82" t="s">
        <v>1162</v>
      </c>
      <c r="P264" s="241">
        <v>2800000</v>
      </c>
      <c r="Q264" s="241">
        <v>2800000</v>
      </c>
      <c r="R264" s="82"/>
      <c r="S264" s="241">
        <v>150000</v>
      </c>
      <c r="T264" s="82" t="s">
        <v>40</v>
      </c>
      <c r="U264" s="241">
        <v>35000</v>
      </c>
      <c r="V264" s="82" t="s">
        <v>40</v>
      </c>
      <c r="W264" s="88">
        <v>35000</v>
      </c>
      <c r="X264" s="82" t="s">
        <v>40</v>
      </c>
      <c r="Y264" s="89"/>
      <c r="Z264" s="82"/>
      <c r="AA264" s="220"/>
      <c r="AB264" s="241">
        <v>300000</v>
      </c>
      <c r="AC264" s="241">
        <v>250000</v>
      </c>
      <c r="AD264" s="241"/>
      <c r="AE264" s="82" t="s">
        <v>919</v>
      </c>
      <c r="AF264" s="82" t="s">
        <v>1163</v>
      </c>
      <c r="AG264" s="90"/>
      <c r="AH264" s="90"/>
      <c r="AI264" s="90"/>
      <c r="AJ264" s="90"/>
      <c r="AK264" s="82"/>
      <c r="AL264" s="82" t="str" cm="1">
        <f t="array" aca="1" ref="AL264" ca="1">_xlfn.IFS(
 AND($AK264&lt;&gt;"", M264&lt;&gt;0, M264&lt;=EDATE(TODAY(),2)),"도래",
 AND($AK264&lt;&gt;"", M264&lt;&gt;0, M264&lt;=EDATE(TODAY(),3)),"예정",
 AND($AK264&lt;&gt;"", M264&lt;&gt;0, M264&lt;=EDATE(TODAY(),6)),"관심",
 TRUE,""
)</f>
        <v/>
      </c>
      <c r="AM264" s="198">
        <f t="shared" si="10"/>
        <v>8</v>
      </c>
    </row>
    <row r="265" spans="1:39" ht="18" customHeight="1">
      <c r="A265" s="81"/>
      <c r="B265" s="237" t="str">
        <f>_xlfn.LET(_xlpm.var,◆관리정보!B265,IF(_xlpm.var&lt;&gt;0,_xlpm.var,""))</f>
        <v>서우하우스</v>
      </c>
      <c r="C265" s="238">
        <f>_xlfn.LET(_xlpm.var,◆관리정보!C265,IF(_xlpm.var&lt;&gt;0,_xlpm.var,""))</f>
        <v>401</v>
      </c>
      <c r="D265" s="239" t="s">
        <v>410</v>
      </c>
      <c r="E265" s="84" t="str">
        <f t="shared" si="9"/>
        <v>서우하우스401</v>
      </c>
      <c r="F265" s="85">
        <v>46093</v>
      </c>
      <c r="G265" s="229"/>
      <c r="H265" s="229"/>
      <c r="I265" s="229"/>
      <c r="J265" s="229">
        <v>2327070</v>
      </c>
      <c r="K265" s="318"/>
      <c r="L265" s="87">
        <v>45912</v>
      </c>
      <c r="M265" s="87">
        <v>46002</v>
      </c>
      <c r="N265" s="82" t="s">
        <v>411</v>
      </c>
      <c r="O265" s="82" t="s">
        <v>412</v>
      </c>
      <c r="P265" s="241">
        <v>1850000</v>
      </c>
      <c r="Q265" s="241">
        <v>1850000</v>
      </c>
      <c r="R265" s="82"/>
      <c r="S265" s="241">
        <v>120000</v>
      </c>
      <c r="T265" s="82" t="s">
        <v>40</v>
      </c>
      <c r="U265" s="241">
        <v>30000</v>
      </c>
      <c r="V265" s="82" t="s">
        <v>40</v>
      </c>
      <c r="W265" s="88">
        <v>25000</v>
      </c>
      <c r="X265" s="82" t="s">
        <v>40</v>
      </c>
      <c r="Y265" s="89"/>
      <c r="Z265" s="82"/>
      <c r="AA265" s="220"/>
      <c r="AB265" s="241">
        <v>200000</v>
      </c>
      <c r="AC265" s="241">
        <v>200000</v>
      </c>
      <c r="AD265" s="241"/>
      <c r="AE265" s="82" t="s">
        <v>108</v>
      </c>
      <c r="AF265" s="82" t="s">
        <v>413</v>
      </c>
      <c r="AG265" s="90"/>
      <c r="AH265" s="90"/>
      <c r="AI265" s="90"/>
      <c r="AJ265" s="90"/>
      <c r="AK265" s="82"/>
      <c r="AL265" s="82" t="str" cm="1">
        <f t="array" aca="1" ref="AL265" ca="1">_xlfn.IFS(
 AND($AK265&lt;&gt;"", M265&lt;&gt;0, M265&lt;=EDATE(TODAY(),2)),"도래",
 AND($AK265&lt;&gt;"", M265&lt;&gt;0, M265&lt;=EDATE(TODAY(),3)),"예정",
 AND($AK265&lt;&gt;"", M265&lt;&gt;0, M265&lt;=EDATE(TODAY(),6)),"관심",
 TRUE,""
)</f>
        <v/>
      </c>
      <c r="AM265" s="198">
        <f t="shared" si="10"/>
        <v>12</v>
      </c>
    </row>
    <row r="266" spans="1:39" ht="18" customHeight="1">
      <c r="A266" s="81"/>
      <c r="B266" s="205" t="str">
        <f>_xlfn.LET(_xlpm.var,◆관리정보!B266,IF(_xlpm.var&lt;&gt;0,_xlpm.var,""))</f>
        <v>서우하우스</v>
      </c>
      <c r="C266" s="82">
        <f>_xlfn.LET(_xlpm.var,◆관리정보!C266,IF(_xlpm.var&lt;&gt;0,_xlpm.var,""))</f>
        <v>402</v>
      </c>
      <c r="D266" s="83" t="s">
        <v>1164</v>
      </c>
      <c r="E266" s="84" t="str">
        <f t="shared" si="9"/>
        <v>서우하우스402</v>
      </c>
      <c r="F266" s="85">
        <v>46123</v>
      </c>
      <c r="G266" s="229"/>
      <c r="H266" s="229"/>
      <c r="I266" s="229"/>
      <c r="J266" s="229"/>
      <c r="K266" s="318"/>
      <c r="L266" s="87">
        <v>45880</v>
      </c>
      <c r="M266" s="87">
        <v>45971</v>
      </c>
      <c r="N266" s="82" t="s">
        <v>1165</v>
      </c>
      <c r="O266" s="82" t="s">
        <v>1166</v>
      </c>
      <c r="P266" s="241">
        <v>2650000</v>
      </c>
      <c r="Q266" s="241">
        <v>2650000</v>
      </c>
      <c r="R266" s="82"/>
      <c r="S266" s="241">
        <v>150000</v>
      </c>
      <c r="T266" s="82" t="s">
        <v>40</v>
      </c>
      <c r="U266" s="241">
        <v>35000</v>
      </c>
      <c r="V266" s="82" t="s">
        <v>40</v>
      </c>
      <c r="W266" s="88">
        <v>35000</v>
      </c>
      <c r="X266" s="82" t="s">
        <v>40</v>
      </c>
      <c r="Y266" s="89"/>
      <c r="Z266" s="82"/>
      <c r="AA266" s="220"/>
      <c r="AB266" s="241">
        <v>300000</v>
      </c>
      <c r="AC266" s="241">
        <v>250000</v>
      </c>
      <c r="AD266" s="241"/>
      <c r="AE266" s="82" t="s">
        <v>1167</v>
      </c>
      <c r="AF266" s="82" t="s">
        <v>1168</v>
      </c>
      <c r="AG266" s="90"/>
      <c r="AH266" s="90"/>
      <c r="AI266" s="90"/>
      <c r="AJ266" s="90"/>
      <c r="AK266" s="82"/>
      <c r="AL266" s="82" t="str" cm="1">
        <f t="array" aca="1" ref="AL266" ca="1">_xlfn.IFS(
 AND($AK266&lt;&gt;"", M266&lt;&gt;0, M266&lt;=EDATE(TODAY(),2)),"도래",
 AND($AK266&lt;&gt;"", M266&lt;&gt;0, M266&lt;=EDATE(TODAY(),3)),"예정",
 AND($AK266&lt;&gt;"", M266&lt;&gt;0, M266&lt;=EDATE(TODAY(),6)),"관심",
 TRUE,""
)</f>
        <v/>
      </c>
      <c r="AM266" s="198">
        <f t="shared" si="10"/>
        <v>11</v>
      </c>
    </row>
    <row r="267" spans="1:39" ht="18" customHeight="1">
      <c r="A267" s="81"/>
      <c r="B267" s="205" t="str">
        <f>_xlfn.LET(_xlpm.var,◆관리정보!B267,IF(_xlpm.var&lt;&gt;0,_xlpm.var,""))</f>
        <v>제이에스하우스</v>
      </c>
      <c r="C267" s="82" t="str">
        <f>_xlfn.LET(_xlpm.var,◆관리정보!C267,IF(_xlpm.var&lt;&gt;0,_xlpm.var,""))</f>
        <v>1층</v>
      </c>
      <c r="D267" s="83" t="s">
        <v>1169</v>
      </c>
      <c r="E267" s="84" t="str">
        <f t="shared" si="9"/>
        <v>제이에스하우스1층</v>
      </c>
      <c r="F267" s="85">
        <v>46060</v>
      </c>
      <c r="G267" s="229">
        <f>2824450-2695000</f>
        <v>129450</v>
      </c>
      <c r="H267" s="229"/>
      <c r="I267" s="229">
        <v>2695000</v>
      </c>
      <c r="J267" s="229"/>
      <c r="K267" s="218"/>
      <c r="L267" s="87">
        <v>45784</v>
      </c>
      <c r="M267" s="87">
        <v>46513</v>
      </c>
      <c r="N267" s="82" t="s">
        <v>1170</v>
      </c>
      <c r="O267" s="82" t="s">
        <v>1171</v>
      </c>
      <c r="P267" s="241">
        <v>20000000</v>
      </c>
      <c r="Q267" s="241">
        <v>2400000</v>
      </c>
      <c r="R267" s="82"/>
      <c r="S267" s="241">
        <v>50000</v>
      </c>
      <c r="T267" s="82" t="s">
        <v>157</v>
      </c>
      <c r="U267" s="241"/>
      <c r="V267" s="82" t="s">
        <v>157</v>
      </c>
      <c r="W267" s="88"/>
      <c r="X267" s="82"/>
      <c r="Y267" s="89"/>
      <c r="Z267" s="82"/>
      <c r="AA267" s="220"/>
      <c r="AB267" s="241"/>
      <c r="AC267" s="241"/>
      <c r="AD267" s="241"/>
      <c r="AE267" s="82"/>
      <c r="AF267" s="82"/>
      <c r="AG267" s="90"/>
      <c r="AH267" s="90"/>
      <c r="AI267" s="90" t="s">
        <v>1172</v>
      </c>
      <c r="AJ267" s="90"/>
      <c r="AK267" s="82" t="s">
        <v>47</v>
      </c>
      <c r="AL267" s="82" t="str" cm="1">
        <f t="array" aca="1" ref="AL267" ca="1">_xlfn.IFS(
 AND($AK267&lt;&gt;"", M267&lt;&gt;0, M267&lt;=EDATE(TODAY(),2)),"도래",
 AND($AK267&lt;&gt;"", M267&lt;&gt;0, M267&lt;=EDATE(TODAY(),3)),"예정",
 AND($AK267&lt;&gt;"", M267&lt;&gt;0, M267&lt;=EDATE(TODAY(),6)),"관심",
 TRUE,""
)</f>
        <v/>
      </c>
      <c r="AM267" s="198">
        <f t="shared" si="10"/>
        <v>7</v>
      </c>
    </row>
    <row r="268" spans="1:39" ht="18" customHeight="1">
      <c r="A268" s="81"/>
      <c r="B268" s="205" t="str">
        <f>_xlfn.LET(_xlpm.var,◆관리정보!B268,IF(_xlpm.var&lt;&gt;0,_xlpm.var,""))</f>
        <v>제이에스하우스</v>
      </c>
      <c r="C268" s="82" t="str">
        <f>_xlfn.LET(_xlpm.var,◆관리정보!C268,IF(_xlpm.var&lt;&gt;0,_xlpm.var,""))</f>
        <v>2층</v>
      </c>
      <c r="D268" s="83" t="s">
        <v>1173</v>
      </c>
      <c r="E268" s="84" t="str">
        <f t="shared" si="9"/>
        <v>제이에스하우스2층</v>
      </c>
      <c r="F268" s="85">
        <v>46113</v>
      </c>
      <c r="G268" s="229"/>
      <c r="H268" s="229"/>
      <c r="I268" s="229"/>
      <c r="J268" s="229"/>
      <c r="K268" s="218"/>
      <c r="L268" s="87">
        <v>45748</v>
      </c>
      <c r="M268" s="87">
        <v>46477</v>
      </c>
      <c r="N268" s="82" t="s">
        <v>1174</v>
      </c>
      <c r="O268" s="82" t="s">
        <v>1175</v>
      </c>
      <c r="P268" s="241">
        <v>20000000</v>
      </c>
      <c r="Q268" s="241">
        <v>1600000</v>
      </c>
      <c r="R268" s="82"/>
      <c r="S268" s="241"/>
      <c r="T268" s="82" t="s">
        <v>40</v>
      </c>
      <c r="U268" s="241"/>
      <c r="V268" s="82"/>
      <c r="W268" s="88"/>
      <c r="X268" s="82"/>
      <c r="Y268" s="89"/>
      <c r="Z268" s="82"/>
      <c r="AA268" s="220"/>
      <c r="AB268" s="241"/>
      <c r="AC268" s="241"/>
      <c r="AD268" s="241"/>
      <c r="AE268" s="82"/>
      <c r="AF268" s="82"/>
      <c r="AG268" s="90"/>
      <c r="AH268" s="90"/>
      <c r="AI268" s="90" t="s">
        <v>1176</v>
      </c>
      <c r="AJ268" s="90"/>
      <c r="AK268" s="82" t="s">
        <v>47</v>
      </c>
      <c r="AL268" s="82" t="str" cm="1">
        <f t="array" aca="1" ref="AL268" ca="1">_xlfn.IFS(
 AND($AK268&lt;&gt;"", M268&lt;&gt;0, M268&lt;=EDATE(TODAY(),2)),"도래",
 AND($AK268&lt;&gt;"", M268&lt;&gt;0, M268&lt;=EDATE(TODAY(),3)),"예정",
 AND($AK268&lt;&gt;"", M268&lt;&gt;0, M268&lt;=EDATE(TODAY(),6)),"관심",
 TRUE,""
)</f>
        <v/>
      </c>
      <c r="AM268" s="198">
        <f t="shared" si="10"/>
        <v>1</v>
      </c>
    </row>
    <row r="269" spans="1:39" ht="18" customHeight="1">
      <c r="A269" s="81"/>
      <c r="B269" s="205" t="str">
        <f>_xlfn.LET(_xlpm.var,◆관리정보!B269,IF(_xlpm.var&lt;&gt;0,_xlpm.var,""))</f>
        <v>제이에스하우스</v>
      </c>
      <c r="C269" s="82" t="str">
        <f>_xlfn.LET(_xlpm.var,◆관리정보!C269,IF(_xlpm.var&lt;&gt;0,_xlpm.var,""))</f>
        <v>3층</v>
      </c>
      <c r="D269" s="83" t="s">
        <v>1177</v>
      </c>
      <c r="E269" s="84" t="str">
        <f t="shared" si="9"/>
        <v>제이에스하우스3층</v>
      </c>
      <c r="F269" s="85">
        <v>46115</v>
      </c>
      <c r="G269" s="229"/>
      <c r="H269" s="229"/>
      <c r="I269" s="229"/>
      <c r="J269" s="229"/>
      <c r="K269" s="218"/>
      <c r="L269" s="87">
        <v>44503</v>
      </c>
      <c r="M269" s="359">
        <v>44713</v>
      </c>
      <c r="N269" s="82" t="s">
        <v>1178</v>
      </c>
      <c r="O269" s="82" t="s">
        <v>1179</v>
      </c>
      <c r="P269" s="241">
        <v>30000000</v>
      </c>
      <c r="Q269" s="241">
        <v>1050000</v>
      </c>
      <c r="R269" s="82"/>
      <c r="S269" s="241">
        <v>50000</v>
      </c>
      <c r="T269" s="82" t="s">
        <v>40</v>
      </c>
      <c r="U269" s="241"/>
      <c r="V269" s="82"/>
      <c r="W269" s="88"/>
      <c r="X269" s="82"/>
      <c r="Y269" s="89"/>
      <c r="Z269" s="82"/>
      <c r="AA269" s="220"/>
      <c r="AB269" s="241"/>
      <c r="AC269" s="241"/>
      <c r="AD269" s="241"/>
      <c r="AE269" s="82"/>
      <c r="AF269" s="82"/>
      <c r="AG269" s="90"/>
      <c r="AH269" s="90"/>
      <c r="AI269" s="90" t="s">
        <v>1180</v>
      </c>
      <c r="AJ269" s="90"/>
      <c r="AK269" s="82" t="s">
        <v>47</v>
      </c>
      <c r="AL269" s="82" t="str" cm="1">
        <f t="array" aca="1" ref="AL269" ca="1">_xlfn.IFS(
 AND($AK269&lt;&gt;"", M269&lt;&gt;0, M269&lt;=EDATE(TODAY(),2)),"도래",
 AND($AK269&lt;&gt;"", M269&lt;&gt;0, M269&lt;=EDATE(TODAY(),3)),"예정",
 AND($AK269&lt;&gt;"", M269&lt;&gt;0, M269&lt;=EDATE(TODAY(),6)),"관심",
 TRUE,""
)</f>
        <v>도래</v>
      </c>
      <c r="AM269" s="198">
        <f t="shared" si="10"/>
        <v>3</v>
      </c>
    </row>
    <row r="270" spans="1:39" ht="18" customHeight="1">
      <c r="A270" s="81"/>
      <c r="B270" s="205" t="str">
        <f>_xlfn.LET(_xlpm.var,◆관리정보!B270,IF(_xlpm.var&lt;&gt;0,_xlpm.var,""))</f>
        <v>제이에스하우스</v>
      </c>
      <c r="C270" s="82">
        <f>_xlfn.LET(_xlpm.var,◆관리정보!C270,IF(_xlpm.var&lt;&gt;0,_xlpm.var,""))</f>
        <v>501</v>
      </c>
      <c r="D270" s="83" t="s">
        <v>1181</v>
      </c>
      <c r="E270" s="84" t="str">
        <f t="shared" si="9"/>
        <v>제이에스하우스501</v>
      </c>
      <c r="F270" s="85">
        <v>46111</v>
      </c>
      <c r="G270" s="229"/>
      <c r="H270" s="229"/>
      <c r="I270" s="229"/>
      <c r="J270" s="229"/>
      <c r="K270" s="218"/>
      <c r="L270" s="87">
        <v>45473</v>
      </c>
      <c r="M270" s="87">
        <v>45564</v>
      </c>
      <c r="N270" s="82" t="s">
        <v>1182</v>
      </c>
      <c r="O270" s="82" t="s">
        <v>1183</v>
      </c>
      <c r="P270" s="241">
        <v>500000</v>
      </c>
      <c r="Q270" s="241">
        <v>380000</v>
      </c>
      <c r="R270" s="82"/>
      <c r="S270" s="241">
        <v>40000</v>
      </c>
      <c r="T270" s="82" t="s">
        <v>40</v>
      </c>
      <c r="U270" s="241">
        <v>10000</v>
      </c>
      <c r="V270" s="82" t="s">
        <v>40</v>
      </c>
      <c r="W270" s="88"/>
      <c r="X270" s="82"/>
      <c r="Y270" s="89"/>
      <c r="Z270" s="82"/>
      <c r="AA270" s="220"/>
      <c r="AB270" s="241">
        <v>60000</v>
      </c>
      <c r="AC270" s="241">
        <v>100000</v>
      </c>
      <c r="AD270" s="241"/>
      <c r="AE270" s="82" t="s">
        <v>238</v>
      </c>
      <c r="AF270" s="82" t="s">
        <v>1184</v>
      </c>
      <c r="AG270" s="90"/>
      <c r="AH270" s="90"/>
      <c r="AI270" s="90" t="s">
        <v>1185</v>
      </c>
      <c r="AJ270" s="90"/>
      <c r="AK270" s="82"/>
      <c r="AL270" s="82" t="str" cm="1">
        <f t="array" aca="1" ref="AL270" ca="1">_xlfn.IFS(
 AND($AK270&lt;&gt;"", M270&lt;&gt;0, M270&lt;=EDATE(TODAY(),2)),"도래",
 AND($AK270&lt;&gt;"", M270&lt;&gt;0, M270&lt;=EDATE(TODAY(),3)),"예정",
 AND($AK270&lt;&gt;"", M270&lt;&gt;0, M270&lt;=EDATE(TODAY(),6)),"관심",
 TRUE,""
)</f>
        <v/>
      </c>
      <c r="AM270" s="198">
        <f t="shared" si="10"/>
        <v>30</v>
      </c>
    </row>
    <row r="271" spans="1:39" ht="18" customHeight="1">
      <c r="A271" s="81"/>
      <c r="B271" s="205" t="str">
        <f>_xlfn.LET(_xlpm.var,◆관리정보!B271,IF(_xlpm.var&lt;&gt;0,_xlpm.var,""))</f>
        <v>제이에스하우스</v>
      </c>
      <c r="C271" s="82">
        <f>_xlfn.LET(_xlpm.var,◆관리정보!C271,IF(_xlpm.var&lt;&gt;0,_xlpm.var,""))</f>
        <v>502</v>
      </c>
      <c r="D271" s="83" t="s">
        <v>1186</v>
      </c>
      <c r="E271" s="84" t="str">
        <f t="shared" si="9"/>
        <v>제이에스하우스502</v>
      </c>
      <c r="F271" s="85">
        <v>46119</v>
      </c>
      <c r="G271" s="229"/>
      <c r="H271" s="229"/>
      <c r="I271" s="229"/>
      <c r="J271" s="229"/>
      <c r="K271" s="218"/>
      <c r="L271" s="87">
        <v>46029</v>
      </c>
      <c r="M271" s="87">
        <v>46118</v>
      </c>
      <c r="N271" s="82" t="s">
        <v>1187</v>
      </c>
      <c r="O271" s="82" t="s">
        <v>1188</v>
      </c>
      <c r="P271" s="241">
        <v>500000</v>
      </c>
      <c r="Q271" s="241">
        <v>450000</v>
      </c>
      <c r="R271" s="82"/>
      <c r="S271" s="241">
        <v>50000</v>
      </c>
      <c r="T271" s="82" t="s">
        <v>40</v>
      </c>
      <c r="U271" s="241">
        <v>15000</v>
      </c>
      <c r="V271" s="82" t="s">
        <v>40</v>
      </c>
      <c r="W271" s="88"/>
      <c r="X271" s="82"/>
      <c r="Y271" s="89"/>
      <c r="Z271" s="82"/>
      <c r="AA271" s="220"/>
      <c r="AB271" s="241">
        <v>70000</v>
      </c>
      <c r="AC271" s="241">
        <v>100000</v>
      </c>
      <c r="AD271" s="241"/>
      <c r="AE271" s="82" t="s">
        <v>238</v>
      </c>
      <c r="AF271" s="82" t="s">
        <v>1184</v>
      </c>
      <c r="AG271" s="90"/>
      <c r="AH271" s="90"/>
      <c r="AI271" s="90"/>
      <c r="AJ271" s="90"/>
      <c r="AK271" s="82"/>
      <c r="AL271" s="82" t="str" cm="1">
        <f t="array" aca="1" ref="AL271" ca="1">_xlfn.IFS(
 AND($AK271&lt;&gt;"", M271&lt;&gt;0, M271&lt;=EDATE(TODAY(),2)),"도래",
 AND($AK271&lt;&gt;"", M271&lt;&gt;0, M271&lt;=EDATE(TODAY(),3)),"예정",
 AND($AK271&lt;&gt;"", M271&lt;&gt;0, M271&lt;=EDATE(TODAY(),6)),"관심",
 TRUE,""
)</f>
        <v/>
      </c>
      <c r="AM271" s="198">
        <f t="shared" si="10"/>
        <v>7</v>
      </c>
    </row>
    <row r="272" spans="1:39" ht="18" customHeight="1">
      <c r="A272" s="81"/>
      <c r="B272" s="205" t="str">
        <f>_xlfn.LET(_xlpm.var,◆관리정보!B272,IF(_xlpm.var&lt;&gt;0,_xlpm.var,""))</f>
        <v>제이에스하우스</v>
      </c>
      <c r="C272" s="82">
        <f>_xlfn.LET(_xlpm.var,◆관리정보!C272,IF(_xlpm.var&lt;&gt;0,_xlpm.var,""))</f>
        <v>503</v>
      </c>
      <c r="D272" s="236" t="s">
        <v>1189</v>
      </c>
      <c r="E272" s="84" t="str">
        <f t="shared" si="9"/>
        <v>제이에스하우스503</v>
      </c>
      <c r="F272" s="85">
        <v>46109</v>
      </c>
      <c r="G272" s="229"/>
      <c r="H272" s="229"/>
      <c r="I272" s="229"/>
      <c r="J272" s="229"/>
      <c r="K272" s="218"/>
      <c r="L272" s="87">
        <v>46020</v>
      </c>
      <c r="M272" s="87">
        <v>46109</v>
      </c>
      <c r="N272" s="82" t="s">
        <v>1190</v>
      </c>
      <c r="O272" s="82" t="s">
        <v>1191</v>
      </c>
      <c r="P272" s="241">
        <v>500000</v>
      </c>
      <c r="Q272" s="241">
        <v>450000</v>
      </c>
      <c r="R272" s="82"/>
      <c r="S272" s="241">
        <v>50000</v>
      </c>
      <c r="T272" s="82" t="s">
        <v>40</v>
      </c>
      <c r="U272" s="241">
        <v>15000</v>
      </c>
      <c r="V272" s="82" t="s">
        <v>40</v>
      </c>
      <c r="W272" s="88"/>
      <c r="X272" s="82"/>
      <c r="Y272" s="89"/>
      <c r="Z272" s="82"/>
      <c r="AA272" s="220"/>
      <c r="AB272" s="241">
        <v>70000</v>
      </c>
      <c r="AC272" s="241">
        <v>100000</v>
      </c>
      <c r="AD272" s="241"/>
      <c r="AE272" s="82" t="s">
        <v>238</v>
      </c>
      <c r="AF272" s="82" t="s">
        <v>1184</v>
      </c>
      <c r="AG272" s="90"/>
      <c r="AH272" s="90"/>
      <c r="AI272" s="90"/>
      <c r="AJ272" s="90"/>
      <c r="AK272" s="82"/>
      <c r="AL272" s="82" t="str" cm="1">
        <f t="array" aca="1" ref="AL272" ca="1">_xlfn.IFS(
 AND($AK272&lt;&gt;"", M272&lt;&gt;0, M272&lt;=EDATE(TODAY(),2)),"도래",
 AND($AK272&lt;&gt;"", M272&lt;&gt;0, M272&lt;=EDATE(TODAY(),3)),"예정",
 AND($AK272&lt;&gt;"", M272&lt;&gt;0, M272&lt;=EDATE(TODAY(),6)),"관심",
 TRUE,""
)</f>
        <v/>
      </c>
      <c r="AM272" s="198">
        <f t="shared" si="10"/>
        <v>29</v>
      </c>
    </row>
    <row r="273" spans="1:39" ht="18" customHeight="1">
      <c r="A273" s="81"/>
      <c r="B273" s="205" t="str">
        <f>_xlfn.LET(_xlpm.var,◆관리정보!B273,IF(_xlpm.var&lt;&gt;0,_xlpm.var,""))</f>
        <v>제이에스하우스</v>
      </c>
      <c r="C273" s="82">
        <f>_xlfn.LET(_xlpm.var,◆관리정보!C273,IF(_xlpm.var&lt;&gt;0,_xlpm.var,""))</f>
        <v>505</v>
      </c>
      <c r="D273" s="83" t="s">
        <v>1192</v>
      </c>
      <c r="E273" s="84" t="str">
        <f t="shared" si="9"/>
        <v>제이에스하우스505</v>
      </c>
      <c r="F273" s="85">
        <v>46122</v>
      </c>
      <c r="G273" s="229"/>
      <c r="H273" s="229"/>
      <c r="I273" s="229"/>
      <c r="J273" s="229"/>
      <c r="K273" s="318"/>
      <c r="L273" s="87">
        <v>45910</v>
      </c>
      <c r="M273" s="87">
        <v>45991</v>
      </c>
      <c r="N273" s="82" t="s">
        <v>1193</v>
      </c>
      <c r="O273" s="82" t="s">
        <v>1194</v>
      </c>
      <c r="P273" s="241">
        <v>500000</v>
      </c>
      <c r="Q273" s="241">
        <v>450000</v>
      </c>
      <c r="R273" s="82"/>
      <c r="S273" s="241">
        <v>50000</v>
      </c>
      <c r="T273" s="82" t="s">
        <v>40</v>
      </c>
      <c r="U273" s="241">
        <v>15000</v>
      </c>
      <c r="V273" s="82" t="s">
        <v>40</v>
      </c>
      <c r="W273" s="88"/>
      <c r="X273" s="82"/>
      <c r="Y273" s="89"/>
      <c r="Z273" s="82"/>
      <c r="AA273" s="220"/>
      <c r="AB273" s="241" t="s">
        <v>1195</v>
      </c>
      <c r="AC273" s="241">
        <v>100000</v>
      </c>
      <c r="AD273" s="241"/>
      <c r="AE273" s="82" t="s">
        <v>238</v>
      </c>
      <c r="AF273" s="82" t="s">
        <v>1184</v>
      </c>
      <c r="AG273" s="90"/>
      <c r="AH273" s="90"/>
      <c r="AI273" s="90" t="s">
        <v>1196</v>
      </c>
      <c r="AJ273" s="90"/>
      <c r="AK273" s="82"/>
      <c r="AL273" s="82" t="str" cm="1">
        <f t="array" aca="1" ref="AL273" ca="1">_xlfn.IFS(
 AND($AK273&lt;&gt;"", M273&lt;&gt;0, M273&lt;=EDATE(TODAY(),2)),"도래",
 AND($AK273&lt;&gt;"", M273&lt;&gt;0, M273&lt;=EDATE(TODAY(),3)),"예정",
 AND($AK273&lt;&gt;"", M273&lt;&gt;0, M273&lt;=EDATE(TODAY(),6)),"관심",
 TRUE,""
)</f>
        <v/>
      </c>
      <c r="AM273" s="198">
        <f t="shared" si="10"/>
        <v>10</v>
      </c>
    </row>
    <row r="274" spans="1:39" ht="18" customHeight="1">
      <c r="A274" s="81"/>
      <c r="B274" s="337" t="str">
        <f>_xlfn.LET(_xlpm.var,◆관리정보!B274,IF(_xlpm.var&lt;&gt;0,_xlpm.var,""))</f>
        <v>제이에스하우스</v>
      </c>
      <c r="C274" s="264">
        <f>_xlfn.LET(_xlpm.var,◆관리정보!C274,IF(_xlpm.var&lt;&gt;0,_xlpm.var,""))</f>
        <v>601</v>
      </c>
      <c r="D274" s="83" t="s">
        <v>1197</v>
      </c>
      <c r="E274" s="84" t="str">
        <f t="shared" si="9"/>
        <v>제이에스하우스601</v>
      </c>
      <c r="F274" s="85">
        <v>46127</v>
      </c>
      <c r="G274" s="229"/>
      <c r="H274" s="229"/>
      <c r="I274" s="229"/>
      <c r="J274" s="229"/>
      <c r="K274" s="218"/>
      <c r="L274" s="87">
        <v>46068</v>
      </c>
      <c r="M274" s="87">
        <v>46156</v>
      </c>
      <c r="N274" s="82" t="s">
        <v>1198</v>
      </c>
      <c r="O274" s="82" t="s">
        <v>1199</v>
      </c>
      <c r="P274" s="241">
        <v>500000</v>
      </c>
      <c r="Q274" s="241">
        <v>450000</v>
      </c>
      <c r="R274" s="82"/>
      <c r="S274" s="241">
        <v>50000</v>
      </c>
      <c r="T274" s="82" t="s">
        <v>40</v>
      </c>
      <c r="U274" s="241">
        <v>15000</v>
      </c>
      <c r="V274" s="82" t="s">
        <v>40</v>
      </c>
      <c r="W274" s="88"/>
      <c r="X274" s="82"/>
      <c r="Y274" s="89"/>
      <c r="Z274" s="82"/>
      <c r="AA274" s="220"/>
      <c r="AB274" s="241">
        <v>70000</v>
      </c>
      <c r="AC274" s="241">
        <v>100000</v>
      </c>
      <c r="AD274" s="241"/>
      <c r="AE274" s="82" t="s">
        <v>238</v>
      </c>
      <c r="AF274" s="82" t="s">
        <v>1184</v>
      </c>
      <c r="AG274" s="90"/>
      <c r="AH274" s="90"/>
      <c r="AI274" s="90"/>
      <c r="AJ274" s="90"/>
      <c r="AK274" s="82"/>
      <c r="AL274" s="82" t="str" cm="1">
        <f t="array" aca="1" ref="AL274" ca="1">_xlfn.IFS(
 AND($AK274&lt;&gt;"", M274&lt;&gt;0, M274&lt;=EDATE(TODAY(),2)),"도래",
 AND($AK274&lt;&gt;"", M274&lt;&gt;0, M274&lt;=EDATE(TODAY(),3)),"예정",
 AND($AK274&lt;&gt;"", M274&lt;&gt;0, M274&lt;=EDATE(TODAY(),6)),"관심",
 TRUE,""
)</f>
        <v/>
      </c>
      <c r="AM274" s="198">
        <f t="shared" si="10"/>
        <v>15</v>
      </c>
    </row>
    <row r="275" spans="1:39" ht="18" customHeight="1">
      <c r="A275" s="81"/>
      <c r="B275" s="205" t="str">
        <f>_xlfn.LET(_xlpm.var,◆관리정보!B275,IF(_xlpm.var&lt;&gt;0,_xlpm.var,""))</f>
        <v>제이에스하우스</v>
      </c>
      <c r="C275" s="82">
        <f>_xlfn.LET(_xlpm.var,◆관리정보!C275,IF(_xlpm.var&lt;&gt;0,_xlpm.var,""))</f>
        <v>602</v>
      </c>
      <c r="D275" s="83" t="s">
        <v>1200</v>
      </c>
      <c r="E275" s="84" t="str">
        <f t="shared" si="9"/>
        <v>제이에스하우스602</v>
      </c>
      <c r="F275" s="85">
        <v>46111</v>
      </c>
      <c r="G275" s="229"/>
      <c r="H275" s="229"/>
      <c r="I275" s="229"/>
      <c r="J275" s="229"/>
      <c r="K275" s="218"/>
      <c r="L275" s="87">
        <v>45777</v>
      </c>
      <c r="M275" s="87">
        <v>45867</v>
      </c>
      <c r="N275" s="82" t="s">
        <v>1201</v>
      </c>
      <c r="O275" s="82" t="s">
        <v>1202</v>
      </c>
      <c r="P275" s="241">
        <v>700000</v>
      </c>
      <c r="Q275" s="241">
        <v>700000</v>
      </c>
      <c r="R275" s="82"/>
      <c r="S275" s="241">
        <v>50000</v>
      </c>
      <c r="T275" s="82" t="s">
        <v>40</v>
      </c>
      <c r="U275" s="241">
        <v>15000</v>
      </c>
      <c r="V275" s="82" t="s">
        <v>40</v>
      </c>
      <c r="W275" s="88"/>
      <c r="X275" s="82"/>
      <c r="Y275" s="89"/>
      <c r="Z275" s="82"/>
      <c r="AA275" s="220"/>
      <c r="AB275" s="241">
        <v>70000</v>
      </c>
      <c r="AC275" s="241">
        <v>100000</v>
      </c>
      <c r="AD275" s="241"/>
      <c r="AE275" s="82" t="s">
        <v>238</v>
      </c>
      <c r="AF275" s="82" t="s">
        <v>1184</v>
      </c>
      <c r="AG275" s="90"/>
      <c r="AH275" s="90"/>
      <c r="AI275" s="90" t="s">
        <v>1203</v>
      </c>
      <c r="AJ275" s="90"/>
      <c r="AK275" s="82"/>
      <c r="AL275" s="82" t="str" cm="1">
        <f t="array" aca="1" ref="AL275" ca="1">_xlfn.IFS(
 AND($AK275&lt;&gt;"", M275&lt;&gt;0, M275&lt;=EDATE(TODAY(),2)),"도래",
 AND($AK275&lt;&gt;"", M275&lt;&gt;0, M275&lt;=EDATE(TODAY(),3)),"예정",
 AND($AK275&lt;&gt;"", M275&lt;&gt;0, M275&lt;=EDATE(TODAY(),6)),"관심",
 TRUE,""
)</f>
        <v/>
      </c>
      <c r="AM275" s="198">
        <f t="shared" si="10"/>
        <v>30</v>
      </c>
    </row>
    <row r="276" spans="1:39" ht="18" customHeight="1">
      <c r="A276" s="81"/>
      <c r="B276" s="205" t="str">
        <f>_xlfn.LET(_xlpm.var,◆관리정보!B276,IF(_xlpm.var&lt;&gt;0,_xlpm.var,""))</f>
        <v>우진빌딩</v>
      </c>
      <c r="C276" s="82" t="str">
        <f>_xlfn.LET(_xlpm.var,◆관리정보!C276,IF(_xlpm.var&lt;&gt;0,_xlpm.var,""))</f>
        <v>B01</v>
      </c>
      <c r="D276" s="83" t="s">
        <v>1204</v>
      </c>
      <c r="E276" s="84" t="str">
        <f t="shared" si="9"/>
        <v>우진빌딩B01</v>
      </c>
      <c r="F276" s="85">
        <v>46112</v>
      </c>
      <c r="G276" s="229"/>
      <c r="H276" s="229"/>
      <c r="I276" s="229"/>
      <c r="J276" s="229"/>
      <c r="K276" s="218"/>
      <c r="L276" s="87">
        <v>45633</v>
      </c>
      <c r="M276" s="87">
        <v>46362</v>
      </c>
      <c r="N276" s="82" t="s">
        <v>1205</v>
      </c>
      <c r="O276" s="82" t="s">
        <v>1206</v>
      </c>
      <c r="P276" s="241">
        <v>45000000</v>
      </c>
      <c r="Q276" s="241">
        <v>3570000</v>
      </c>
      <c r="R276" s="82" t="s">
        <v>1207</v>
      </c>
      <c r="S276" s="241"/>
      <c r="T276" s="82" t="s">
        <v>40</v>
      </c>
      <c r="U276" s="241"/>
      <c r="V276" s="82"/>
      <c r="W276" s="88"/>
      <c r="X276" s="82"/>
      <c r="Y276" s="89"/>
      <c r="Z276" s="82"/>
      <c r="AA276" s="220"/>
      <c r="AB276" s="241"/>
      <c r="AC276" s="241"/>
      <c r="AD276" s="241"/>
      <c r="AE276" s="82"/>
      <c r="AF276" s="82"/>
      <c r="AG276" s="90"/>
      <c r="AH276" s="90"/>
      <c r="AI276" s="90"/>
      <c r="AJ276" s="90"/>
      <c r="AK276" s="82" t="s">
        <v>47</v>
      </c>
      <c r="AL276" s="82" t="str" cm="1">
        <f t="array" aca="1" ref="AL276" ca="1">_xlfn.IFS(
 AND($AK276&lt;&gt;"", M276&lt;&gt;0, M276&lt;=EDATE(TODAY(),2)),"도래",
 AND($AK276&lt;&gt;"", M276&lt;&gt;0, M276&lt;=EDATE(TODAY(),3)),"예정",
 AND($AK276&lt;&gt;"", M276&lt;&gt;0, M276&lt;=EDATE(TODAY(),6)),"관심",
 TRUE,""
)</f>
        <v/>
      </c>
      <c r="AM276" s="198">
        <f t="shared" si="10"/>
        <v>7</v>
      </c>
    </row>
    <row r="277" spans="1:39" ht="18" customHeight="1">
      <c r="A277" s="81"/>
      <c r="B277" s="205" t="str">
        <f>_xlfn.LET(_xlpm.var,◆관리정보!B277,IF(_xlpm.var&lt;&gt;0,_xlpm.var,""))</f>
        <v>우진빌딩</v>
      </c>
      <c r="C277" s="82" t="str">
        <f>_xlfn.LET(_xlpm.var,◆관리정보!C277,IF(_xlpm.var&lt;&gt;0,_xlpm.var,""))</f>
        <v>1층</v>
      </c>
      <c r="D277" s="83" t="s">
        <v>1208</v>
      </c>
      <c r="E277" s="84" t="str">
        <f t="shared" si="9"/>
        <v>우진빌딩1층</v>
      </c>
      <c r="F277" s="85">
        <v>46112</v>
      </c>
      <c r="G277" s="229"/>
      <c r="H277" s="229"/>
      <c r="I277" s="229"/>
      <c r="J277" s="229"/>
      <c r="K277" s="218"/>
      <c r="L277" s="87">
        <v>45397</v>
      </c>
      <c r="M277" s="359">
        <v>46126</v>
      </c>
      <c r="N277" s="82" t="s">
        <v>1209</v>
      </c>
      <c r="O277" s="82" t="s">
        <v>1210</v>
      </c>
      <c r="P277" s="241">
        <v>50000000</v>
      </c>
      <c r="Q277" s="241">
        <v>4725000</v>
      </c>
      <c r="R277" s="82" t="s">
        <v>1207</v>
      </c>
      <c r="S277" s="241"/>
      <c r="T277" s="82" t="s">
        <v>40</v>
      </c>
      <c r="U277" s="241"/>
      <c r="V277" s="82"/>
      <c r="W277" s="88"/>
      <c r="X277" s="82"/>
      <c r="Y277" s="89"/>
      <c r="Z277" s="82"/>
      <c r="AA277" s="220"/>
      <c r="AB277" s="241"/>
      <c r="AC277" s="241"/>
      <c r="AD277" s="241"/>
      <c r="AE277" s="82"/>
      <c r="AF277" s="82"/>
      <c r="AG277" s="90"/>
      <c r="AH277" s="90"/>
      <c r="AI277" s="90"/>
      <c r="AJ277" s="90"/>
      <c r="AK277" s="82" t="s">
        <v>47</v>
      </c>
      <c r="AL277" s="82" t="str" cm="1">
        <f t="array" aca="1" ref="AL277" ca="1">_xlfn.IFS(
 AND($AK277&lt;&gt;"", M277&lt;&gt;0, M277&lt;=EDATE(TODAY(),2)),"도래",
 AND($AK277&lt;&gt;"", M277&lt;&gt;0, M277&lt;=EDATE(TODAY(),3)),"예정",
 AND($AK277&lt;&gt;"", M277&lt;&gt;0, M277&lt;=EDATE(TODAY(),6)),"관심",
 TRUE,""
)</f>
        <v>도래</v>
      </c>
      <c r="AM277" s="198">
        <f t="shared" si="10"/>
        <v>15</v>
      </c>
    </row>
    <row r="278" spans="1:39" ht="18" customHeight="1">
      <c r="A278" s="81"/>
      <c r="B278" s="205" t="str">
        <f>_xlfn.LET(_xlpm.var,◆관리정보!B278,IF(_xlpm.var&lt;&gt;0,_xlpm.var,""))</f>
        <v>우진빌딩</v>
      </c>
      <c r="C278" s="82" t="str">
        <f>_xlfn.LET(_xlpm.var,◆관리정보!C278,IF(_xlpm.var&lt;&gt;0,_xlpm.var,""))</f>
        <v>2층</v>
      </c>
      <c r="D278" s="83" t="s">
        <v>1211</v>
      </c>
      <c r="E278" s="84" t="str">
        <f t="shared" si="9"/>
        <v>우진빌딩2층</v>
      </c>
      <c r="F278" s="85">
        <v>46112</v>
      </c>
      <c r="G278" s="229"/>
      <c r="H278" s="229"/>
      <c r="I278" s="229"/>
      <c r="J278" s="229"/>
      <c r="K278" s="218"/>
      <c r="L278" s="87">
        <v>44839</v>
      </c>
      <c r="M278" s="87">
        <v>46299</v>
      </c>
      <c r="N278" s="82" t="s">
        <v>1212</v>
      </c>
      <c r="O278" s="82" t="s">
        <v>1213</v>
      </c>
      <c r="P278" s="241">
        <v>45000000</v>
      </c>
      <c r="Q278" s="241">
        <v>4250000</v>
      </c>
      <c r="R278" s="82" t="s">
        <v>1207</v>
      </c>
      <c r="S278" s="241"/>
      <c r="T278" s="82" t="s">
        <v>40</v>
      </c>
      <c r="U278" s="241"/>
      <c r="V278" s="82"/>
      <c r="W278" s="88"/>
      <c r="X278" s="82"/>
      <c r="Y278" s="89"/>
      <c r="Z278" s="82"/>
      <c r="AA278" s="220"/>
      <c r="AB278" s="241"/>
      <c r="AC278" s="241"/>
      <c r="AD278" s="241"/>
      <c r="AE278" s="82"/>
      <c r="AF278" s="82"/>
      <c r="AG278" s="90"/>
      <c r="AH278" s="90"/>
      <c r="AI278" s="90"/>
      <c r="AJ278" s="90"/>
      <c r="AK278" s="82" t="s">
        <v>47</v>
      </c>
      <c r="AL278" s="82" t="str" cm="1">
        <f t="array" aca="1" ref="AL278" ca="1">_xlfn.IFS(
 AND($AK278&lt;&gt;"", M278&lt;&gt;0, M278&lt;=EDATE(TODAY(),2)),"도래",
 AND($AK278&lt;&gt;"", M278&lt;&gt;0, M278&lt;=EDATE(TODAY(),3)),"예정",
 AND($AK278&lt;&gt;"", M278&lt;&gt;0, M278&lt;=EDATE(TODAY(),6)),"관심",
 TRUE,""
)</f>
        <v/>
      </c>
      <c r="AM278" s="198">
        <f t="shared" si="10"/>
        <v>5</v>
      </c>
    </row>
    <row r="279" spans="1:39" ht="18" customHeight="1">
      <c r="A279" s="81"/>
      <c r="B279" s="205" t="str">
        <f>_xlfn.LET(_xlpm.var,◆관리정보!B279,IF(_xlpm.var&lt;&gt;0,_xlpm.var,""))</f>
        <v>우진빌딩</v>
      </c>
      <c r="C279" s="82" t="str">
        <f>_xlfn.LET(_xlpm.var,◆관리정보!C279,IF(_xlpm.var&lt;&gt;0,_xlpm.var,""))</f>
        <v>3층</v>
      </c>
      <c r="D279" s="83" t="s">
        <v>1214</v>
      </c>
      <c r="E279" s="84" t="str">
        <f t="shared" si="9"/>
        <v>우진빌딩3층</v>
      </c>
      <c r="F279" s="85">
        <v>46112</v>
      </c>
      <c r="G279" s="229"/>
      <c r="H279" s="229"/>
      <c r="I279" s="229"/>
      <c r="J279" s="229"/>
      <c r="K279" s="218"/>
      <c r="L279" s="87">
        <v>45502</v>
      </c>
      <c r="M279" s="87">
        <v>46231</v>
      </c>
      <c r="N279" s="82" t="s">
        <v>1215</v>
      </c>
      <c r="O279" s="82" t="s">
        <v>1216</v>
      </c>
      <c r="P279" s="241">
        <v>50000000</v>
      </c>
      <c r="Q279" s="241">
        <v>4550000</v>
      </c>
      <c r="R279" s="82" t="s">
        <v>1207</v>
      </c>
      <c r="S279" s="241"/>
      <c r="T279" s="82" t="s">
        <v>40</v>
      </c>
      <c r="U279" s="241"/>
      <c r="V279" s="82"/>
      <c r="W279" s="88"/>
      <c r="X279" s="82"/>
      <c r="Y279" s="89"/>
      <c r="Z279" s="82"/>
      <c r="AA279" s="220"/>
      <c r="AB279" s="241"/>
      <c r="AC279" s="241"/>
      <c r="AD279" s="241"/>
      <c r="AE279" s="82"/>
      <c r="AF279" s="82"/>
      <c r="AG279" s="90"/>
      <c r="AH279" s="90"/>
      <c r="AI279" s="90" t="s">
        <v>1217</v>
      </c>
      <c r="AJ279" s="90"/>
      <c r="AK279" s="82" t="s">
        <v>47</v>
      </c>
      <c r="AL279" s="82" t="str" cm="1">
        <f t="array" aca="1" ref="AL279" ca="1">_xlfn.IFS(
 AND($AK279&lt;&gt;"", M279&lt;&gt;0, M279&lt;=EDATE(TODAY(),2)),"도래",
 AND($AK279&lt;&gt;"", M279&lt;&gt;0, M279&lt;=EDATE(TODAY(),3)),"예정",
 AND($AK279&lt;&gt;"", M279&lt;&gt;0, M279&lt;=EDATE(TODAY(),6)),"관심",
 TRUE,""
)</f>
        <v>관심</v>
      </c>
      <c r="AM279" s="198">
        <f t="shared" si="10"/>
        <v>29</v>
      </c>
    </row>
    <row r="280" spans="1:39" ht="18" customHeight="1">
      <c r="A280" s="81"/>
      <c r="B280" s="205" t="str">
        <f>_xlfn.LET(_xlpm.var,◆관리정보!B280,IF(_xlpm.var&lt;&gt;0,_xlpm.var,""))</f>
        <v>우진빌딩</v>
      </c>
      <c r="C280" s="82" t="str">
        <f>_xlfn.LET(_xlpm.var,◆관리정보!C280,IF(_xlpm.var&lt;&gt;0,_xlpm.var,""))</f>
        <v>4층</v>
      </c>
      <c r="D280" s="83" t="s">
        <v>1214</v>
      </c>
      <c r="E280" s="84" t="str">
        <f t="shared" si="9"/>
        <v>우진빌딩4층</v>
      </c>
      <c r="F280" s="85">
        <v>46112</v>
      </c>
      <c r="G280" s="229"/>
      <c r="H280" s="229"/>
      <c r="I280" s="229"/>
      <c r="J280" s="229"/>
      <c r="K280" s="218"/>
      <c r="L280" s="87">
        <v>45170</v>
      </c>
      <c r="M280" s="87">
        <v>46630</v>
      </c>
      <c r="N280" s="82" t="s">
        <v>1215</v>
      </c>
      <c r="O280" s="82" t="s">
        <v>1216</v>
      </c>
      <c r="P280" s="241">
        <v>40000000</v>
      </c>
      <c r="Q280" s="241">
        <v>3675000</v>
      </c>
      <c r="R280" s="82" t="s">
        <v>1207</v>
      </c>
      <c r="S280" s="241"/>
      <c r="T280" s="82" t="s">
        <v>40</v>
      </c>
      <c r="U280" s="241"/>
      <c r="V280" s="82"/>
      <c r="W280" s="88"/>
      <c r="X280" s="82"/>
      <c r="Y280" s="89"/>
      <c r="Z280" s="82"/>
      <c r="AA280" s="220"/>
      <c r="AB280" s="241"/>
      <c r="AC280" s="241"/>
      <c r="AD280" s="241"/>
      <c r="AE280" s="82"/>
      <c r="AF280" s="82"/>
      <c r="AG280" s="90"/>
      <c r="AH280" s="90"/>
      <c r="AI280" s="90" t="s">
        <v>1218</v>
      </c>
      <c r="AJ280" s="90"/>
      <c r="AK280" s="82" t="s">
        <v>47</v>
      </c>
      <c r="AL280" s="82" t="str" cm="1">
        <f t="array" aca="1" ref="AL280" ca="1">_xlfn.IFS(
 AND($AK280&lt;&gt;"", M280&lt;&gt;0, M280&lt;=EDATE(TODAY(),2)),"도래",
 AND($AK280&lt;&gt;"", M280&lt;&gt;0, M280&lt;=EDATE(TODAY(),3)),"예정",
 AND($AK280&lt;&gt;"", M280&lt;&gt;0, M280&lt;=EDATE(TODAY(),6)),"관심",
 TRUE,""
)</f>
        <v/>
      </c>
      <c r="AM280" s="198">
        <f t="shared" si="10"/>
        <v>1</v>
      </c>
    </row>
    <row r="281" spans="1:39" ht="18" customHeight="1">
      <c r="A281" s="81"/>
      <c r="B281" s="205" t="str">
        <f>_xlfn.LET(_xlpm.var,◆관리정보!B281,IF(_xlpm.var&lt;&gt;0,_xlpm.var,""))</f>
        <v>우진빌딩</v>
      </c>
      <c r="C281" s="82" t="str">
        <f>_xlfn.LET(_xlpm.var,◆관리정보!C281,IF(_xlpm.var&lt;&gt;0,_xlpm.var,""))</f>
        <v>5층</v>
      </c>
      <c r="D281" s="83" t="s">
        <v>1219</v>
      </c>
      <c r="E281" s="84" t="str">
        <f t="shared" si="9"/>
        <v>우진빌딩5층</v>
      </c>
      <c r="F281" s="85">
        <v>46112</v>
      </c>
      <c r="G281" s="229"/>
      <c r="H281" s="229"/>
      <c r="I281" s="229"/>
      <c r="J281" s="229"/>
      <c r="K281" s="318"/>
      <c r="L281" s="87">
        <v>45848</v>
      </c>
      <c r="M281" s="87">
        <v>46578</v>
      </c>
      <c r="N281" s="82" t="s">
        <v>1220</v>
      </c>
      <c r="O281" s="82" t="s">
        <v>1221</v>
      </c>
      <c r="P281" s="241">
        <v>32000000</v>
      </c>
      <c r="Q281" s="241">
        <v>2500000</v>
      </c>
      <c r="R281" s="82" t="s">
        <v>1207</v>
      </c>
      <c r="S281" s="241">
        <v>100000</v>
      </c>
      <c r="T281" s="82" t="s">
        <v>40</v>
      </c>
      <c r="U281" s="241"/>
      <c r="V281" s="82"/>
      <c r="W281" s="88"/>
      <c r="X281" s="82"/>
      <c r="Y281" s="89"/>
      <c r="Z281" s="82"/>
      <c r="AA281" s="220"/>
      <c r="AB281" s="241"/>
      <c r="AC281" s="241"/>
      <c r="AD281" s="241"/>
      <c r="AE281" s="82"/>
      <c r="AF281" s="82"/>
      <c r="AG281" s="90"/>
      <c r="AH281" s="90"/>
      <c r="AI281" s="90" t="s">
        <v>1222</v>
      </c>
      <c r="AJ281" s="90"/>
      <c r="AK281" s="82" t="s">
        <v>47</v>
      </c>
      <c r="AL281" s="82" t="str" cm="1">
        <f t="array" aca="1" ref="AL281" ca="1">_xlfn.IFS(
 AND($AK281&lt;&gt;"", M281&lt;&gt;0, M281&lt;=EDATE(TODAY(),2)),"도래",
 AND($AK281&lt;&gt;"", M281&lt;&gt;0, M281&lt;=EDATE(TODAY(),3)),"예정",
 AND($AK281&lt;&gt;"", M281&lt;&gt;0, M281&lt;=EDATE(TODAY(),6)),"관심",
 TRUE,""
)</f>
        <v/>
      </c>
      <c r="AM281" s="198">
        <f t="shared" si="10"/>
        <v>10</v>
      </c>
    </row>
    <row r="282" spans="1:39" ht="18" customHeight="1">
      <c r="A282" s="81"/>
      <c r="B282" s="205" t="str">
        <f>_xlfn.LET(_xlpm.var,◆관리정보!B282,IF(_xlpm.var&lt;&gt;0,_xlpm.var,""))</f>
        <v>우영빌딩</v>
      </c>
      <c r="C282" s="82" t="str">
        <f>_xlfn.LET(_xlpm.var,◆관리정보!C282,IF(_xlpm.var&lt;&gt;0,_xlpm.var,""))</f>
        <v>B01</v>
      </c>
      <c r="D282" s="83" t="s">
        <v>1223</v>
      </c>
      <c r="E282" s="84" t="str">
        <f t="shared" si="9"/>
        <v>우영빌딩B01</v>
      </c>
      <c r="F282" s="85">
        <v>46113</v>
      </c>
      <c r="G282" s="229"/>
      <c r="H282" s="229"/>
      <c r="I282" s="229"/>
      <c r="J282" s="229"/>
      <c r="K282" s="218"/>
      <c r="L282" s="87">
        <v>46070</v>
      </c>
      <c r="M282" s="87">
        <v>46434</v>
      </c>
      <c r="N282" s="82" t="s">
        <v>1224</v>
      </c>
      <c r="O282" s="82" t="s">
        <v>1225</v>
      </c>
      <c r="P282" s="241">
        <v>50000000</v>
      </c>
      <c r="Q282" s="241">
        <v>5000000</v>
      </c>
      <c r="R282" s="82" t="s">
        <v>40</v>
      </c>
      <c r="S282" s="241">
        <v>1000000</v>
      </c>
      <c r="T282" s="82" t="s">
        <v>40</v>
      </c>
      <c r="U282" s="241"/>
      <c r="V282" s="82"/>
      <c r="W282" s="88"/>
      <c r="X282" s="82"/>
      <c r="Y282" s="89"/>
      <c r="Z282" s="82"/>
      <c r="AA282" s="220"/>
      <c r="AB282" s="241"/>
      <c r="AC282" s="241"/>
      <c r="AD282" s="241"/>
      <c r="AE282" s="82"/>
      <c r="AF282" s="82"/>
      <c r="AG282" s="90"/>
      <c r="AH282" s="90"/>
      <c r="AI282" s="315" t="s">
        <v>1226</v>
      </c>
      <c r="AJ282" s="90"/>
      <c r="AK282" s="82" t="s">
        <v>47</v>
      </c>
      <c r="AL282" s="82" t="str" cm="1">
        <f t="array" aca="1" ref="AL282" ca="1">_xlfn.IFS(
 AND($AK282&lt;&gt;"", M282&lt;&gt;0, M282&lt;=EDATE(TODAY(),2)),"도래",
 AND($AK282&lt;&gt;"", M282&lt;&gt;0, M282&lt;=EDATE(TODAY(),3)),"예정",
 AND($AK282&lt;&gt;"", M282&lt;&gt;0, M282&lt;=EDATE(TODAY(),6)),"관심",
 TRUE,""
)</f>
        <v/>
      </c>
      <c r="AM282" s="198">
        <f t="shared" si="10"/>
        <v>17</v>
      </c>
    </row>
    <row r="283" spans="1:39" ht="18" customHeight="1">
      <c r="A283" s="81"/>
      <c r="B283" s="205" t="str">
        <f>_xlfn.LET(_xlpm.var,◆관리정보!B283,IF(_xlpm.var&lt;&gt;0,_xlpm.var,""))</f>
        <v>우영빌딩</v>
      </c>
      <c r="C283" s="82" t="str">
        <f>_xlfn.LET(_xlpm.var,◆관리정보!C283,IF(_xlpm.var&lt;&gt;0,_xlpm.var,""))</f>
        <v>B02</v>
      </c>
      <c r="D283" s="83" t="s">
        <v>1227</v>
      </c>
      <c r="E283" s="84" t="str">
        <f t="shared" si="9"/>
        <v>우영빌딩B02</v>
      </c>
      <c r="F283" s="85">
        <v>46113</v>
      </c>
      <c r="G283" s="229"/>
      <c r="H283" s="229"/>
      <c r="I283" s="229"/>
      <c r="J283" s="229"/>
      <c r="K283" s="218"/>
      <c r="L283" s="87">
        <v>45419</v>
      </c>
      <c r="M283" s="359">
        <v>46148</v>
      </c>
      <c r="N283" s="82" t="s">
        <v>1228</v>
      </c>
      <c r="O283" s="82" t="s">
        <v>1229</v>
      </c>
      <c r="P283" s="241">
        <v>30000000</v>
      </c>
      <c r="Q283" s="241">
        <v>2000000</v>
      </c>
      <c r="R283" s="82" t="s">
        <v>40</v>
      </c>
      <c r="S283" s="241">
        <v>420000</v>
      </c>
      <c r="T283" s="82" t="s">
        <v>40</v>
      </c>
      <c r="U283" s="241"/>
      <c r="V283" s="82"/>
      <c r="W283" s="88"/>
      <c r="X283" s="82"/>
      <c r="Y283" s="89"/>
      <c r="Z283" s="82"/>
      <c r="AA283" s="220"/>
      <c r="AB283" s="241"/>
      <c r="AC283" s="241"/>
      <c r="AD283" s="241"/>
      <c r="AE283" s="82"/>
      <c r="AF283" s="82"/>
      <c r="AG283" s="90"/>
      <c r="AH283" s="90"/>
      <c r="AI283" s="315" t="s">
        <v>1230</v>
      </c>
      <c r="AJ283" s="90"/>
      <c r="AK283" s="82" t="s">
        <v>47</v>
      </c>
      <c r="AL283" s="82" t="str" cm="1">
        <f t="array" aca="1" ref="AL283" ca="1">_xlfn.IFS(
 AND($AK283&lt;&gt;"", M283&lt;&gt;0, M283&lt;=EDATE(TODAY(),2)),"도래",
 AND($AK283&lt;&gt;"", M283&lt;&gt;0, M283&lt;=EDATE(TODAY(),3)),"예정",
 AND($AK283&lt;&gt;"", M283&lt;&gt;0, M283&lt;=EDATE(TODAY(),6)),"관심",
 TRUE,""
)</f>
        <v>도래</v>
      </c>
      <c r="AM283" s="198">
        <f t="shared" si="10"/>
        <v>7</v>
      </c>
    </row>
    <row r="284" spans="1:39" ht="18" customHeight="1">
      <c r="A284" s="81"/>
      <c r="B284" s="205" t="str">
        <f>_xlfn.LET(_xlpm.var,◆관리정보!B284,IF(_xlpm.var&lt;&gt;0,_xlpm.var,""))</f>
        <v>우영빌딩</v>
      </c>
      <c r="C284" s="82" t="str">
        <f>_xlfn.LET(_xlpm.var,◆관리정보!C284,IF(_xlpm.var&lt;&gt;0,_xlpm.var,""))</f>
        <v>1층</v>
      </c>
      <c r="D284" s="83" t="s">
        <v>1231</v>
      </c>
      <c r="E284" s="84" t="str">
        <f t="shared" si="9"/>
        <v>우영빌딩1층</v>
      </c>
      <c r="F284" s="85">
        <v>46113</v>
      </c>
      <c r="G284" s="229"/>
      <c r="H284" s="229"/>
      <c r="I284" s="229"/>
      <c r="J284" s="229"/>
      <c r="K284" s="218"/>
      <c r="L284" s="87">
        <v>45286</v>
      </c>
      <c r="M284" s="87">
        <v>46746</v>
      </c>
      <c r="N284" s="82" t="s">
        <v>1232</v>
      </c>
      <c r="O284" s="82" t="s">
        <v>1233</v>
      </c>
      <c r="P284" s="241">
        <v>70000000</v>
      </c>
      <c r="Q284" s="241">
        <v>6300000</v>
      </c>
      <c r="R284" s="82" t="s">
        <v>40</v>
      </c>
      <c r="S284" s="241">
        <v>1000000</v>
      </c>
      <c r="T284" s="82" t="s">
        <v>40</v>
      </c>
      <c r="U284" s="241"/>
      <c r="V284" s="82"/>
      <c r="W284" s="88"/>
      <c r="X284" s="82"/>
      <c r="Y284" s="89"/>
      <c r="Z284" s="82"/>
      <c r="AA284" s="220"/>
      <c r="AB284" s="241"/>
      <c r="AC284" s="241"/>
      <c r="AD284" s="241"/>
      <c r="AE284" s="82"/>
      <c r="AF284" s="82"/>
      <c r="AG284" s="90"/>
      <c r="AH284" s="90"/>
      <c r="AI284" s="90" t="s">
        <v>1234</v>
      </c>
      <c r="AJ284" s="90"/>
      <c r="AK284" s="82" t="s">
        <v>47</v>
      </c>
      <c r="AL284" s="82" t="str" cm="1">
        <f t="array" aca="1" ref="AL284" ca="1">_xlfn.IFS(
 AND($AK284&lt;&gt;"", M284&lt;&gt;0, M284&lt;=EDATE(TODAY(),2)),"도래",
 AND($AK284&lt;&gt;"", M284&lt;&gt;0, M284&lt;=EDATE(TODAY(),3)),"예정",
 AND($AK284&lt;&gt;"", M284&lt;&gt;0, M284&lt;=EDATE(TODAY(),6)),"관심",
 TRUE,""
)</f>
        <v/>
      </c>
      <c r="AM284" s="198">
        <f t="shared" si="10"/>
        <v>26</v>
      </c>
    </row>
    <row r="285" spans="1:39" ht="18" customHeight="1">
      <c r="A285" s="81"/>
      <c r="B285" s="237" t="str">
        <f>_xlfn.LET(_xlpm.var,◆관리정보!B285,IF(_xlpm.var&lt;&gt;0,_xlpm.var,""))</f>
        <v>우영빌딩</v>
      </c>
      <c r="C285" s="238" t="str">
        <f>_xlfn.LET(_xlpm.var,◆관리정보!C285,IF(_xlpm.var&lt;&gt;0,_xlpm.var,""))</f>
        <v>2층</v>
      </c>
      <c r="D285" s="239" t="s">
        <v>195</v>
      </c>
      <c r="E285" s="84" t="str">
        <f t="shared" si="9"/>
        <v>우영빌딩2층</v>
      </c>
      <c r="F285" s="85"/>
      <c r="G285" s="229"/>
      <c r="H285" s="229"/>
      <c r="I285" s="229"/>
      <c r="J285" s="229"/>
      <c r="K285" s="218"/>
      <c r="L285" s="87"/>
      <c r="M285" s="87"/>
      <c r="N285" s="82"/>
      <c r="O285" s="82"/>
      <c r="P285" s="241"/>
      <c r="Q285" s="241"/>
      <c r="R285" s="82" t="s">
        <v>40</v>
      </c>
      <c r="S285" s="241"/>
      <c r="T285" s="82" t="s">
        <v>40</v>
      </c>
      <c r="U285" s="241"/>
      <c r="V285" s="82"/>
      <c r="W285" s="88"/>
      <c r="X285" s="82"/>
      <c r="Y285" s="89"/>
      <c r="Z285" s="82"/>
      <c r="AA285" s="220"/>
      <c r="AB285" s="241"/>
      <c r="AC285" s="241"/>
      <c r="AD285" s="241"/>
      <c r="AE285" s="82"/>
      <c r="AF285" s="82"/>
      <c r="AG285" s="90"/>
      <c r="AH285" s="90"/>
      <c r="AI285" s="90"/>
      <c r="AJ285" s="90"/>
      <c r="AK285" s="82" t="s">
        <v>47</v>
      </c>
      <c r="AL285" s="82" t="str" cm="1">
        <f t="array" aca="1" ref="AL285" ca="1">_xlfn.IFS(
 AND($AK285&lt;&gt;"", M285&lt;&gt;0, M285&lt;=EDATE(TODAY(),2)),"도래",
 AND($AK285&lt;&gt;"", M285&lt;&gt;0, M285&lt;=EDATE(TODAY(),3)),"예정",
 AND($AK285&lt;&gt;"", M285&lt;&gt;0, M285&lt;=EDATE(TODAY(),6)),"관심",
 TRUE,""
)</f>
        <v/>
      </c>
      <c r="AM285" s="198">
        <f t="shared" si="10"/>
        <v>0</v>
      </c>
    </row>
    <row r="286" spans="1:39" ht="18" customHeight="1">
      <c r="A286" s="81"/>
      <c r="B286" s="205" t="str">
        <f>_xlfn.LET(_xlpm.var,◆관리정보!B286,IF(_xlpm.var&lt;&gt;0,_xlpm.var,""))</f>
        <v>우영빌딩</v>
      </c>
      <c r="C286" s="82" t="str">
        <f>_xlfn.LET(_xlpm.var,◆관리정보!C286,IF(_xlpm.var&lt;&gt;0,_xlpm.var,""))</f>
        <v>3층</v>
      </c>
      <c r="D286" s="83" t="s">
        <v>1235</v>
      </c>
      <c r="E286" s="84" t="str">
        <f t="shared" si="9"/>
        <v>우영빌딩3층</v>
      </c>
      <c r="F286" s="85">
        <v>46113</v>
      </c>
      <c r="G286" s="229"/>
      <c r="H286" s="229"/>
      <c r="I286" s="229"/>
      <c r="J286" s="229"/>
      <c r="K286" s="218"/>
      <c r="L286" s="87">
        <v>45154</v>
      </c>
      <c r="M286" s="87">
        <v>46249</v>
      </c>
      <c r="N286" s="82" t="s">
        <v>1236</v>
      </c>
      <c r="O286" s="82" t="s">
        <v>1237</v>
      </c>
      <c r="P286" s="241">
        <v>70000000</v>
      </c>
      <c r="Q286" s="241">
        <v>5000000</v>
      </c>
      <c r="R286" s="82" t="s">
        <v>40</v>
      </c>
      <c r="S286" s="241">
        <v>1000000</v>
      </c>
      <c r="T286" s="82" t="s">
        <v>40</v>
      </c>
      <c r="U286" s="241"/>
      <c r="V286" s="82"/>
      <c r="W286" s="88"/>
      <c r="X286" s="82"/>
      <c r="Y286" s="89"/>
      <c r="Z286" s="82"/>
      <c r="AA286" s="220"/>
      <c r="AB286" s="241"/>
      <c r="AC286" s="241"/>
      <c r="AD286" s="241"/>
      <c r="AE286" s="82"/>
      <c r="AF286" s="82"/>
      <c r="AG286" s="90"/>
      <c r="AH286" s="90"/>
      <c r="AI286" s="90" t="s">
        <v>1238</v>
      </c>
      <c r="AJ286" s="90"/>
      <c r="AK286" s="82" t="s">
        <v>47</v>
      </c>
      <c r="AL286" s="82" t="str" cm="1">
        <f t="array" aca="1" ref="AL286" ca="1">_xlfn.IFS(
 AND($AK286&lt;&gt;"", M286&lt;&gt;0, M286&lt;=EDATE(TODAY(),2)),"도래",
 AND($AK286&lt;&gt;"", M286&lt;&gt;0, M286&lt;=EDATE(TODAY(),3)),"예정",
 AND($AK286&lt;&gt;"", M286&lt;&gt;0, M286&lt;=EDATE(TODAY(),6)),"관심",
 TRUE,""
)</f>
        <v>관심</v>
      </c>
      <c r="AM286" s="198">
        <f t="shared" si="10"/>
        <v>16</v>
      </c>
    </row>
    <row r="287" spans="1:39" ht="18" customHeight="1">
      <c r="A287" s="81"/>
      <c r="B287" s="237" t="str">
        <f>_xlfn.LET(_xlpm.var,◆관리정보!B287,IF(_xlpm.var&lt;&gt;0,_xlpm.var,""))</f>
        <v>우영빌딩</v>
      </c>
      <c r="C287" s="238" t="str">
        <f>_xlfn.LET(_xlpm.var,◆관리정보!C287,IF(_xlpm.var&lt;&gt;0,_xlpm.var,""))</f>
        <v>4층</v>
      </c>
      <c r="D287" s="239" t="s">
        <v>195</v>
      </c>
      <c r="E287" s="84" t="str">
        <f t="shared" si="9"/>
        <v>우영빌딩4층</v>
      </c>
      <c r="F287" s="85"/>
      <c r="G287" s="229"/>
      <c r="H287" s="229"/>
      <c r="I287" s="229"/>
      <c r="J287" s="229"/>
      <c r="K287" s="218"/>
      <c r="L287" s="87"/>
      <c r="M287" s="87"/>
      <c r="N287" s="82" t="s">
        <v>1239</v>
      </c>
      <c r="O287" s="82"/>
      <c r="P287" s="241"/>
      <c r="Q287" s="241"/>
      <c r="R287" s="82" t="s">
        <v>40</v>
      </c>
      <c r="S287" s="241">
        <v>300000</v>
      </c>
      <c r="T287" s="82" t="s">
        <v>40</v>
      </c>
      <c r="U287" s="241"/>
      <c r="V287" s="82"/>
      <c r="W287" s="88"/>
      <c r="X287" s="82"/>
      <c r="Y287" s="89"/>
      <c r="Z287" s="82"/>
      <c r="AA287" s="220"/>
      <c r="AB287" s="241"/>
      <c r="AC287" s="241"/>
      <c r="AD287" s="241"/>
      <c r="AE287" s="82"/>
      <c r="AF287" s="82"/>
      <c r="AG287" s="90"/>
      <c r="AH287" s="90"/>
      <c r="AI287" s="90"/>
      <c r="AJ287" s="90"/>
      <c r="AK287" s="82" t="s">
        <v>47</v>
      </c>
      <c r="AL287" s="82" t="str" cm="1">
        <f t="array" aca="1" ref="AL287" ca="1">_xlfn.IFS(
 AND($AK287&lt;&gt;"", M287&lt;&gt;0, M287&lt;=EDATE(TODAY(),2)),"도래",
 AND($AK287&lt;&gt;"", M287&lt;&gt;0, M287&lt;=EDATE(TODAY(),3)),"예정",
 AND($AK287&lt;&gt;"", M287&lt;&gt;0, M287&lt;=EDATE(TODAY(),6)),"관심",
 TRUE,""
)</f>
        <v/>
      </c>
      <c r="AM287" s="198">
        <f t="shared" si="10"/>
        <v>0</v>
      </c>
    </row>
    <row r="288" spans="1:39" ht="18" customHeight="1">
      <c r="A288" s="81"/>
      <c r="B288" s="205" t="str">
        <f>_xlfn.LET(_xlpm.var,◆관리정보!B288,IF(_xlpm.var&lt;&gt;0,_xlpm.var,""))</f>
        <v>우영빌딩</v>
      </c>
      <c r="C288" s="82" t="str">
        <f>_xlfn.LET(_xlpm.var,◆관리정보!C288,IF(_xlpm.var&lt;&gt;0,_xlpm.var,""))</f>
        <v>5층</v>
      </c>
      <c r="D288" s="83" t="s">
        <v>1240</v>
      </c>
      <c r="E288" s="84" t="str">
        <f t="shared" si="9"/>
        <v>우영빌딩5층</v>
      </c>
      <c r="F288" s="85">
        <v>46113</v>
      </c>
      <c r="G288" s="229"/>
      <c r="H288" s="229"/>
      <c r="I288" s="229"/>
      <c r="J288" s="229"/>
      <c r="K288" s="218"/>
      <c r="L288" s="87">
        <v>45040</v>
      </c>
      <c r="M288" s="87">
        <v>46500</v>
      </c>
      <c r="N288" s="82" t="s">
        <v>1241</v>
      </c>
      <c r="O288" s="82" t="s">
        <v>1242</v>
      </c>
      <c r="P288" s="241">
        <v>25000000</v>
      </c>
      <c r="Q288" s="241">
        <v>1700000</v>
      </c>
      <c r="R288" s="82" t="s">
        <v>40</v>
      </c>
      <c r="S288" s="241">
        <v>300000</v>
      </c>
      <c r="T288" s="82" t="s">
        <v>40</v>
      </c>
      <c r="U288" s="241"/>
      <c r="V288" s="82"/>
      <c r="W288" s="88"/>
      <c r="X288" s="82"/>
      <c r="Y288" s="89"/>
      <c r="Z288" s="82"/>
      <c r="AA288" s="220"/>
      <c r="AB288" s="241"/>
      <c r="AC288" s="241"/>
      <c r="AD288" s="241"/>
      <c r="AE288" s="82"/>
      <c r="AF288" s="82"/>
      <c r="AG288" s="90"/>
      <c r="AH288" s="90"/>
      <c r="AI288" s="90" t="s">
        <v>1243</v>
      </c>
      <c r="AJ288" s="90"/>
      <c r="AK288" s="82" t="s">
        <v>47</v>
      </c>
      <c r="AL288" s="82" t="str" cm="1">
        <f t="array" aca="1" ref="AL288" ca="1">_xlfn.IFS(
 AND($AK288&lt;&gt;"", M288&lt;&gt;0, M288&lt;=EDATE(TODAY(),2)),"도래",
 AND($AK288&lt;&gt;"", M288&lt;&gt;0, M288&lt;=EDATE(TODAY(),3)),"예정",
 AND($AK288&lt;&gt;"", M288&lt;&gt;0, M288&lt;=EDATE(TODAY(),6)),"관심",
 TRUE,""
)</f>
        <v/>
      </c>
      <c r="AM288" s="198">
        <f t="shared" si="10"/>
        <v>24</v>
      </c>
    </row>
    <row r="289" spans="1:39" ht="18" customHeight="1">
      <c r="A289" s="81"/>
      <c r="B289" s="205" t="str">
        <f>_xlfn.LET(_xlpm.var,◆관리정보!B289,IF(_xlpm.var&lt;&gt;0,_xlpm.var,""))</f>
        <v>대치칼텍빌딩</v>
      </c>
      <c r="C289" s="82" t="str">
        <f>_xlfn.LET(_xlpm.var,◆관리정보!C289,IF(_xlpm.var&lt;&gt;0,_xlpm.var,""))</f>
        <v>B01</v>
      </c>
      <c r="D289" s="83" t="s">
        <v>1244</v>
      </c>
      <c r="E289" s="84" t="str">
        <f t="shared" si="9"/>
        <v>대치칼텍빌딩B01</v>
      </c>
      <c r="F289" s="85">
        <v>46113</v>
      </c>
      <c r="G289" s="229"/>
      <c r="H289" s="229"/>
      <c r="I289" s="229"/>
      <c r="J289" s="229"/>
      <c r="K289" s="218"/>
      <c r="L289" s="87">
        <v>45658</v>
      </c>
      <c r="M289" s="87">
        <v>46387</v>
      </c>
      <c r="N289" s="82" t="s">
        <v>1245</v>
      </c>
      <c r="O289" s="82" t="s">
        <v>1246</v>
      </c>
      <c r="P289" s="241">
        <v>30000000</v>
      </c>
      <c r="Q289" s="241">
        <v>2000000</v>
      </c>
      <c r="R289" s="82"/>
      <c r="S289" s="241">
        <v>200000</v>
      </c>
      <c r="T289" s="82" t="s">
        <v>40</v>
      </c>
      <c r="U289" s="241"/>
      <c r="V289" s="82"/>
      <c r="W289" s="88"/>
      <c r="X289" s="82"/>
      <c r="Y289" s="89"/>
      <c r="Z289" s="82"/>
      <c r="AA289" s="220"/>
      <c r="AB289" s="241"/>
      <c r="AC289" s="241"/>
      <c r="AD289" s="241"/>
      <c r="AE289" s="82"/>
      <c r="AF289" s="82"/>
      <c r="AG289" s="90"/>
      <c r="AH289" s="90"/>
      <c r="AI289" s="90"/>
      <c r="AJ289" s="90"/>
      <c r="AK289" s="82" t="s">
        <v>47</v>
      </c>
      <c r="AL289" s="82" t="str" cm="1">
        <f t="array" aca="1" ref="AL289" ca="1">_xlfn.IFS(
 AND($AK289&lt;&gt;"", M289&lt;&gt;0, M289&lt;=EDATE(TODAY(),2)),"도래",
 AND($AK289&lt;&gt;"", M289&lt;&gt;0, M289&lt;=EDATE(TODAY(),3)),"예정",
 AND($AK289&lt;&gt;"", M289&lt;&gt;0, M289&lt;=EDATE(TODAY(),6)),"관심",
 TRUE,""
)</f>
        <v/>
      </c>
      <c r="AM289" s="198">
        <f t="shared" si="10"/>
        <v>1</v>
      </c>
    </row>
    <row r="290" spans="1:39" ht="18" customHeight="1">
      <c r="A290" s="81"/>
      <c r="B290" s="205" t="str">
        <f>_xlfn.LET(_xlpm.var,◆관리정보!B290,IF(_xlpm.var&lt;&gt;0,_xlpm.var,""))</f>
        <v>대치칼텍빌딩</v>
      </c>
      <c r="C290" s="82" t="str">
        <f>_xlfn.LET(_xlpm.var,◆관리정보!C290,IF(_xlpm.var&lt;&gt;0,_xlpm.var,""))</f>
        <v>1층</v>
      </c>
      <c r="D290" s="83" t="s">
        <v>1247</v>
      </c>
      <c r="E290" s="84" t="str">
        <f t="shared" si="9"/>
        <v>대치칼텍빌딩1층</v>
      </c>
      <c r="F290" s="85">
        <v>46127</v>
      </c>
      <c r="G290" s="229"/>
      <c r="H290" s="229"/>
      <c r="I290" s="229"/>
      <c r="J290" s="229"/>
      <c r="K290" s="218"/>
      <c r="L290" s="87">
        <v>45397</v>
      </c>
      <c r="M290" s="87">
        <v>46126</v>
      </c>
      <c r="N290" s="82"/>
      <c r="O290" s="82" t="s">
        <v>1248</v>
      </c>
      <c r="P290" s="241">
        <v>40000000</v>
      </c>
      <c r="Q290" s="241">
        <v>2500000</v>
      </c>
      <c r="R290" s="82"/>
      <c r="S290" s="241">
        <v>300000</v>
      </c>
      <c r="T290" s="82" t="s">
        <v>40</v>
      </c>
      <c r="U290" s="241"/>
      <c r="V290" s="82"/>
      <c r="W290" s="88"/>
      <c r="X290" s="82"/>
      <c r="Y290" s="89"/>
      <c r="Z290" s="82"/>
      <c r="AA290" s="220"/>
      <c r="AB290" s="241"/>
      <c r="AC290" s="241"/>
      <c r="AD290" s="241"/>
      <c r="AE290" s="82"/>
      <c r="AF290" s="82"/>
      <c r="AG290" s="90"/>
      <c r="AH290" s="90"/>
      <c r="AI290" s="90" t="s">
        <v>1249</v>
      </c>
      <c r="AJ290" s="90"/>
      <c r="AK290" s="82" t="s">
        <v>47</v>
      </c>
      <c r="AL290" s="82" t="str" cm="1">
        <f t="array" aca="1" ref="AL290" ca="1">_xlfn.IFS(
 AND($AK290&lt;&gt;"", M290&lt;&gt;0, M290&lt;=EDATE(TODAY(),2)),"도래",
 AND($AK290&lt;&gt;"", M290&lt;&gt;0, M290&lt;=EDATE(TODAY(),3)),"예정",
 AND($AK290&lt;&gt;"", M290&lt;&gt;0, M290&lt;=EDATE(TODAY(),6)),"관심",
 TRUE,""
)</f>
        <v>도래</v>
      </c>
      <c r="AM290" s="198">
        <f t="shared" si="10"/>
        <v>15</v>
      </c>
    </row>
    <row r="291" spans="1:39" ht="18" customHeight="1">
      <c r="A291" s="81"/>
      <c r="B291" s="205" t="str">
        <f>_xlfn.LET(_xlpm.var,◆관리정보!B291,IF(_xlpm.var&lt;&gt;0,_xlpm.var,""))</f>
        <v>대치칼텍빌딩</v>
      </c>
      <c r="C291" s="82" t="str">
        <f>_xlfn.LET(_xlpm.var,◆관리정보!C291,IF(_xlpm.var&lt;&gt;0,_xlpm.var,""))</f>
        <v>2층</v>
      </c>
      <c r="D291" s="83" t="s">
        <v>1250</v>
      </c>
      <c r="E291" s="84" t="str">
        <f t="shared" si="9"/>
        <v>대치칼텍빌딩2층</v>
      </c>
      <c r="F291" s="85">
        <v>46132</v>
      </c>
      <c r="G291" s="229"/>
      <c r="H291" s="229"/>
      <c r="I291" s="229"/>
      <c r="J291" s="229"/>
      <c r="K291" s="218"/>
      <c r="L291" s="87">
        <v>45097</v>
      </c>
      <c r="M291" s="87">
        <v>46557</v>
      </c>
      <c r="N291" s="82"/>
      <c r="O291" s="82" t="s">
        <v>1251</v>
      </c>
      <c r="P291" s="241">
        <v>50000000</v>
      </c>
      <c r="Q291" s="241">
        <v>4200000</v>
      </c>
      <c r="R291" s="82"/>
      <c r="S291" s="241">
        <v>420000</v>
      </c>
      <c r="T291" s="82" t="s">
        <v>40</v>
      </c>
      <c r="U291" s="241"/>
      <c r="V291" s="82"/>
      <c r="W291" s="88"/>
      <c r="X291" s="82"/>
      <c r="Y291" s="89"/>
      <c r="Z291" s="82"/>
      <c r="AA291" s="220"/>
      <c r="AB291" s="241"/>
      <c r="AC291" s="241"/>
      <c r="AD291" s="241"/>
      <c r="AE291" s="82"/>
      <c r="AF291" s="82"/>
      <c r="AG291" s="90"/>
      <c r="AH291" s="90"/>
      <c r="AI291" s="90" t="s">
        <v>1252</v>
      </c>
      <c r="AJ291" s="90"/>
      <c r="AK291" s="82" t="s">
        <v>47</v>
      </c>
      <c r="AL291" s="82" t="str" cm="1">
        <f t="array" aca="1" ref="AL291" ca="1">_xlfn.IFS(
 AND($AK291&lt;&gt;"", M291&lt;&gt;0, M291&lt;=EDATE(TODAY(),2)),"도래",
 AND($AK291&lt;&gt;"", M291&lt;&gt;0, M291&lt;=EDATE(TODAY(),3)),"예정",
 AND($AK291&lt;&gt;"", M291&lt;&gt;0, M291&lt;=EDATE(TODAY(),6)),"관심",
 TRUE,""
)</f>
        <v/>
      </c>
      <c r="AM291" s="198">
        <f t="shared" si="10"/>
        <v>20</v>
      </c>
    </row>
    <row r="292" spans="1:39" ht="18" customHeight="1">
      <c r="A292" s="81"/>
      <c r="B292" s="205" t="str">
        <f>_xlfn.LET(_xlpm.var,◆관리정보!B292,IF(_xlpm.var&lt;&gt;0,_xlpm.var,""))</f>
        <v>대치칼텍빌딩</v>
      </c>
      <c r="C292" s="82" t="str">
        <f>_xlfn.LET(_xlpm.var,◆관리정보!C292,IF(_xlpm.var&lt;&gt;0,_xlpm.var,""))</f>
        <v>3층</v>
      </c>
      <c r="D292" s="83" t="s">
        <v>1253</v>
      </c>
      <c r="E292" s="84" t="str">
        <f t="shared" si="9"/>
        <v>대치칼텍빌딩3층</v>
      </c>
      <c r="F292" s="85">
        <v>46111</v>
      </c>
      <c r="G292" s="229"/>
      <c r="H292" s="229"/>
      <c r="I292" s="229"/>
      <c r="J292" s="229"/>
      <c r="K292" s="218"/>
      <c r="L292" s="87">
        <v>45930</v>
      </c>
      <c r="M292" s="87">
        <v>46659</v>
      </c>
      <c r="N292" s="82" t="s">
        <v>1254</v>
      </c>
      <c r="O292" s="82" t="s">
        <v>1255</v>
      </c>
      <c r="P292" s="241">
        <v>50000000</v>
      </c>
      <c r="Q292" s="241">
        <v>4200000</v>
      </c>
      <c r="R292" s="82"/>
      <c r="S292" s="241">
        <v>420000</v>
      </c>
      <c r="T292" s="82" t="s">
        <v>40</v>
      </c>
      <c r="U292" s="241"/>
      <c r="V292" s="82"/>
      <c r="W292" s="88"/>
      <c r="X292" s="82"/>
      <c r="Y292" s="89"/>
      <c r="Z292" s="82"/>
      <c r="AA292" s="220"/>
      <c r="AB292" s="241"/>
      <c r="AC292" s="241"/>
      <c r="AD292" s="241"/>
      <c r="AE292" s="82"/>
      <c r="AF292" s="82"/>
      <c r="AG292" s="90"/>
      <c r="AH292" s="90"/>
      <c r="AI292" s="90"/>
      <c r="AJ292" s="90"/>
      <c r="AK292" s="82" t="s">
        <v>47</v>
      </c>
      <c r="AL292" s="82" t="str" cm="1">
        <f t="array" aca="1" ref="AL292" ca="1">_xlfn.IFS(
 AND($AK292&lt;&gt;"", M292&lt;&gt;0, M292&lt;=EDATE(TODAY(),2)),"도래",
 AND($AK292&lt;&gt;"", M292&lt;&gt;0, M292&lt;=EDATE(TODAY(),3)),"예정",
 AND($AK292&lt;&gt;"", M292&lt;&gt;0, M292&lt;=EDATE(TODAY(),6)),"관심",
 TRUE,""
)</f>
        <v/>
      </c>
      <c r="AM292" s="198">
        <f t="shared" si="10"/>
        <v>30</v>
      </c>
    </row>
    <row r="293" spans="1:39" ht="18" customHeight="1">
      <c r="A293" s="81"/>
      <c r="B293" s="205" t="str">
        <f>_xlfn.LET(_xlpm.var,◆관리정보!B293,IF(_xlpm.var&lt;&gt;0,_xlpm.var,""))</f>
        <v>대치칼텍빌딩</v>
      </c>
      <c r="C293" s="82" t="str">
        <f>_xlfn.LET(_xlpm.var,◆관리정보!C293,IF(_xlpm.var&lt;&gt;0,_xlpm.var,""))</f>
        <v>4-5층</v>
      </c>
      <c r="D293" s="83" t="s">
        <v>1247</v>
      </c>
      <c r="E293" s="84" t="str">
        <f t="shared" si="9"/>
        <v>대치칼텍빌딩4-5층</v>
      </c>
      <c r="F293" s="85">
        <v>46127</v>
      </c>
      <c r="G293" s="229"/>
      <c r="H293" s="229"/>
      <c r="I293" s="229"/>
      <c r="J293" s="229"/>
      <c r="K293" s="218"/>
      <c r="L293" s="87">
        <v>45397</v>
      </c>
      <c r="M293" s="87">
        <v>46126</v>
      </c>
      <c r="N293" s="82"/>
      <c r="O293" s="82" t="s">
        <v>1248</v>
      </c>
      <c r="P293" s="241">
        <v>50000000</v>
      </c>
      <c r="Q293" s="241">
        <v>3500000</v>
      </c>
      <c r="R293" s="82"/>
      <c r="S293" s="241">
        <v>400000</v>
      </c>
      <c r="T293" s="82" t="s">
        <v>40</v>
      </c>
      <c r="U293" s="241"/>
      <c r="V293" s="82"/>
      <c r="W293" s="88"/>
      <c r="X293" s="82"/>
      <c r="Y293" s="89"/>
      <c r="Z293" s="82"/>
      <c r="AA293" s="220"/>
      <c r="AB293" s="241"/>
      <c r="AC293" s="241"/>
      <c r="AD293" s="241"/>
      <c r="AE293" s="82"/>
      <c r="AF293" s="82"/>
      <c r="AG293" s="90"/>
      <c r="AH293" s="90"/>
      <c r="AI293" s="90" t="s">
        <v>1256</v>
      </c>
      <c r="AJ293" s="90"/>
      <c r="AK293" s="82" t="s">
        <v>47</v>
      </c>
      <c r="AL293" s="82" t="str" cm="1">
        <f t="array" aca="1" ref="AL293" ca="1">_xlfn.IFS(
 AND($AK293&lt;&gt;"", M293&lt;&gt;0, M293&lt;=EDATE(TODAY(),2)),"도래",
 AND($AK293&lt;&gt;"", M293&lt;&gt;0, M293&lt;=EDATE(TODAY(),3)),"예정",
 AND($AK293&lt;&gt;"", M293&lt;&gt;0, M293&lt;=EDATE(TODAY(),6)),"관심",
 TRUE,""
)</f>
        <v>도래</v>
      </c>
      <c r="AM293" s="198">
        <f t="shared" si="10"/>
        <v>15</v>
      </c>
    </row>
    <row r="294" spans="1:39" ht="18" customHeight="1">
      <c r="A294" s="81"/>
      <c r="B294" s="205" t="str">
        <f>_xlfn.LET(_xlpm.var,◆관리정보!B294,IF(_xlpm.var&lt;&gt;0,_xlpm.var,""))</f>
        <v>서연빌</v>
      </c>
      <c r="C294" s="82">
        <f>_xlfn.LET(_xlpm.var,◆관리정보!C294,IF(_xlpm.var&lt;&gt;0,_xlpm.var,""))</f>
        <v>101</v>
      </c>
      <c r="D294" s="83" t="s">
        <v>1257</v>
      </c>
      <c r="E294" s="84" t="str">
        <f t="shared" si="9"/>
        <v>서연빌101</v>
      </c>
      <c r="F294" s="85">
        <v>46113</v>
      </c>
      <c r="G294" s="229"/>
      <c r="H294" s="229"/>
      <c r="I294" s="229"/>
      <c r="J294" s="229"/>
      <c r="K294" s="218"/>
      <c r="L294" s="87">
        <v>44501</v>
      </c>
      <c r="M294" s="87">
        <v>46691</v>
      </c>
      <c r="N294" s="82"/>
      <c r="O294" s="82" t="s">
        <v>1258</v>
      </c>
      <c r="P294" s="241">
        <v>20000000</v>
      </c>
      <c r="Q294" s="241">
        <v>1900000</v>
      </c>
      <c r="R294" s="82"/>
      <c r="S294" s="241">
        <v>100000</v>
      </c>
      <c r="T294" s="82"/>
      <c r="U294" s="241"/>
      <c r="V294" s="82"/>
      <c r="W294" s="88"/>
      <c r="X294" s="82"/>
      <c r="Y294" s="89"/>
      <c r="Z294" s="82"/>
      <c r="AA294" s="220"/>
      <c r="AB294" s="241"/>
      <c r="AC294" s="241"/>
      <c r="AD294" s="241"/>
      <c r="AE294" s="82"/>
      <c r="AF294" s="82"/>
      <c r="AG294" s="90"/>
      <c r="AH294" s="90"/>
      <c r="AI294" s="90" t="s">
        <v>1259</v>
      </c>
      <c r="AJ294" s="90"/>
      <c r="AK294" s="82" t="s">
        <v>47</v>
      </c>
      <c r="AL294" s="82" t="str" cm="1">
        <f t="array" aca="1" ref="AL294" ca="1">_xlfn.IFS(
 AND($AK294&lt;&gt;"", M294&lt;&gt;0, M294&lt;=EDATE(TODAY(),2)),"도래",
 AND($AK294&lt;&gt;"", M294&lt;&gt;0, M294&lt;=EDATE(TODAY(),3)),"예정",
 AND($AK294&lt;&gt;"", M294&lt;&gt;0, M294&lt;=EDATE(TODAY(),6)),"관심",
 TRUE,""
)</f>
        <v/>
      </c>
      <c r="AM294" s="198">
        <f t="shared" si="10"/>
        <v>1</v>
      </c>
    </row>
    <row r="295" spans="1:39" ht="18" customHeight="1">
      <c r="A295" s="81"/>
      <c r="B295" s="205" t="str">
        <f>_xlfn.LET(_xlpm.var,◆관리정보!B295,IF(_xlpm.var&lt;&gt;0,_xlpm.var,""))</f>
        <v>서연빌</v>
      </c>
      <c r="C295" s="82">
        <f>_xlfn.LET(_xlpm.var,◆관리정보!C295,IF(_xlpm.var&lt;&gt;0,_xlpm.var,""))</f>
        <v>102</v>
      </c>
      <c r="D295" s="83" t="s">
        <v>1260</v>
      </c>
      <c r="E295" s="84" t="str">
        <f t="shared" si="9"/>
        <v>서연빌102</v>
      </c>
      <c r="F295" s="85">
        <v>45945</v>
      </c>
      <c r="G295" s="229">
        <v>6875000</v>
      </c>
      <c r="H295" s="229"/>
      <c r="I295" s="229">
        <v>1375000</v>
      </c>
      <c r="J295" s="229"/>
      <c r="K295" s="218"/>
      <c r="L295" s="87">
        <v>44211</v>
      </c>
      <c r="M295" s="87">
        <v>46401</v>
      </c>
      <c r="N295" s="82"/>
      <c r="O295" s="82" t="s">
        <v>1261</v>
      </c>
      <c r="P295" s="241">
        <v>30000000</v>
      </c>
      <c r="Q295" s="241">
        <v>1250000</v>
      </c>
      <c r="R295" s="82"/>
      <c r="S295" s="241"/>
      <c r="T295" s="82"/>
      <c r="U295" s="241"/>
      <c r="V295" s="82"/>
      <c r="W295" s="88"/>
      <c r="X295" s="82"/>
      <c r="Y295" s="89"/>
      <c r="Z295" s="82"/>
      <c r="AA295" s="220"/>
      <c r="AB295" s="241"/>
      <c r="AC295" s="241"/>
      <c r="AD295" s="241"/>
      <c r="AE295" s="82"/>
      <c r="AF295" s="82"/>
      <c r="AG295" s="90"/>
      <c r="AH295" s="90"/>
      <c r="AI295" s="90"/>
      <c r="AJ295" s="90"/>
      <c r="AK295" s="82" t="s">
        <v>47</v>
      </c>
      <c r="AL295" s="82" t="str" cm="1">
        <f t="array" aca="1" ref="AL295" ca="1">_xlfn.IFS(
 AND($AK295&lt;&gt;"", M295&lt;&gt;0, M295&lt;=EDATE(TODAY(),2)),"도래",
 AND($AK295&lt;&gt;"", M295&lt;&gt;0, M295&lt;=EDATE(TODAY(),3)),"예정",
 AND($AK295&lt;&gt;"", M295&lt;&gt;0, M295&lt;=EDATE(TODAY(),6)),"관심",
 TRUE,""
)</f>
        <v/>
      </c>
      <c r="AM295" s="198">
        <f t="shared" si="10"/>
        <v>15</v>
      </c>
    </row>
    <row r="296" spans="1:39" ht="18" customHeight="1">
      <c r="A296" s="81"/>
      <c r="B296" s="205" t="str">
        <f>_xlfn.LET(_xlpm.var,◆관리정보!B296,IF(_xlpm.var&lt;&gt;0,_xlpm.var,""))</f>
        <v>서연빌</v>
      </c>
      <c r="C296" s="82">
        <f>_xlfn.LET(_xlpm.var,◆관리정보!C296,IF(_xlpm.var&lt;&gt;0,_xlpm.var,""))</f>
        <v>103</v>
      </c>
      <c r="D296" s="83" t="s">
        <v>1262</v>
      </c>
      <c r="E296" s="84" t="str">
        <f t="shared" si="9"/>
        <v>서연빌103</v>
      </c>
      <c r="F296" s="85">
        <v>46127</v>
      </c>
      <c r="G296" s="229"/>
      <c r="H296" s="229"/>
      <c r="I296" s="229"/>
      <c r="J296" s="229"/>
      <c r="K296" s="218"/>
      <c r="L296" s="87">
        <v>44941</v>
      </c>
      <c r="M296" s="87">
        <v>46401</v>
      </c>
      <c r="N296" s="82"/>
      <c r="O296" s="82" t="s">
        <v>1263</v>
      </c>
      <c r="P296" s="241"/>
      <c r="Q296" s="241">
        <v>350000</v>
      </c>
      <c r="R296" s="82"/>
      <c r="S296" s="241"/>
      <c r="T296" s="82"/>
      <c r="U296" s="241"/>
      <c r="V296" s="82"/>
      <c r="W296" s="88"/>
      <c r="X296" s="82"/>
      <c r="Y296" s="89"/>
      <c r="Z296" s="82"/>
      <c r="AA296" s="220"/>
      <c r="AB296" s="241"/>
      <c r="AC296" s="241"/>
      <c r="AD296" s="241"/>
      <c r="AE296" s="82"/>
      <c r="AF296" s="82"/>
      <c r="AG296" s="90"/>
      <c r="AH296" s="90"/>
      <c r="AI296" s="90"/>
      <c r="AJ296" s="90"/>
      <c r="AK296" s="82" t="s">
        <v>47</v>
      </c>
      <c r="AL296" s="82" t="str" cm="1">
        <f t="array" aca="1" ref="AL296" ca="1">_xlfn.IFS(
 AND($AK296&lt;&gt;"", M296&lt;&gt;0, M296&lt;=EDATE(TODAY(),2)),"도래",
 AND($AK296&lt;&gt;"", M296&lt;&gt;0, M296&lt;=EDATE(TODAY(),3)),"예정",
 AND($AK296&lt;&gt;"", M296&lt;&gt;0, M296&lt;=EDATE(TODAY(),6)),"관심",
 TRUE,""
)</f>
        <v/>
      </c>
      <c r="AM296" s="198">
        <f t="shared" si="10"/>
        <v>15</v>
      </c>
    </row>
    <row r="297" spans="1:39" ht="18" customHeight="1">
      <c r="A297" s="81"/>
      <c r="B297" s="205" t="str">
        <f>_xlfn.LET(_xlpm.var,◆관리정보!B297,IF(_xlpm.var&lt;&gt;0,_xlpm.var,""))</f>
        <v>서연빌</v>
      </c>
      <c r="C297" s="82">
        <f>_xlfn.LET(_xlpm.var,◆관리정보!C297,IF(_xlpm.var&lt;&gt;0,_xlpm.var,""))</f>
        <v>301</v>
      </c>
      <c r="D297" s="83" t="s">
        <v>1264</v>
      </c>
      <c r="E297" s="84" t="str">
        <f t="shared" si="9"/>
        <v>서연빌301</v>
      </c>
      <c r="F297" s="85">
        <v>46099</v>
      </c>
      <c r="G297" s="229"/>
      <c r="H297" s="229"/>
      <c r="I297" s="229">
        <v>150000</v>
      </c>
      <c r="J297" s="229"/>
      <c r="K297" s="218"/>
      <c r="L297" s="87">
        <v>45248</v>
      </c>
      <c r="M297" s="87">
        <v>46343</v>
      </c>
      <c r="N297" s="82"/>
      <c r="O297" s="82" t="s">
        <v>1265</v>
      </c>
      <c r="P297" s="241">
        <v>273000000</v>
      </c>
      <c r="Q297" s="241"/>
      <c r="R297" s="82"/>
      <c r="S297" s="241">
        <v>150000</v>
      </c>
      <c r="T297" s="82"/>
      <c r="U297" s="241"/>
      <c r="V297" s="82"/>
      <c r="W297" s="88"/>
      <c r="X297" s="82"/>
      <c r="Y297" s="89"/>
      <c r="Z297" s="82"/>
      <c r="AA297" s="220"/>
      <c r="AB297" s="241"/>
      <c r="AC297" s="241"/>
      <c r="AD297" s="241"/>
      <c r="AE297" s="82"/>
      <c r="AF297" s="82"/>
      <c r="AG297" s="90"/>
      <c r="AH297" s="90"/>
      <c r="AI297" s="90"/>
      <c r="AJ297" s="90"/>
      <c r="AK297" s="82" t="s">
        <v>47</v>
      </c>
      <c r="AL297" s="82" t="str" cm="1">
        <f t="array" aca="1" ref="AL297" ca="1">_xlfn.IFS(
 AND($AK297&lt;&gt;"", M297&lt;&gt;0, M297&lt;=EDATE(TODAY(),2)),"도래",
 AND($AK297&lt;&gt;"", M297&lt;&gt;0, M297&lt;=EDATE(TODAY(),3)),"예정",
 AND($AK297&lt;&gt;"", M297&lt;&gt;0, M297&lt;=EDATE(TODAY(),6)),"관심",
 TRUE,""
)</f>
        <v/>
      </c>
      <c r="AM297" s="198">
        <f t="shared" si="10"/>
        <v>18</v>
      </c>
    </row>
    <row r="298" spans="1:39" ht="18" customHeight="1">
      <c r="A298" s="81"/>
      <c r="B298" s="205" t="str">
        <f>_xlfn.LET(_xlpm.var,◆관리정보!B298,IF(_xlpm.var&lt;&gt;0,_xlpm.var,""))</f>
        <v>서연빌</v>
      </c>
      <c r="C298" s="82">
        <f>_xlfn.LET(_xlpm.var,◆관리정보!C298,IF(_xlpm.var&lt;&gt;0,_xlpm.var,""))</f>
        <v>302</v>
      </c>
      <c r="D298" s="83" t="s">
        <v>1266</v>
      </c>
      <c r="E298" s="84" t="str">
        <f t="shared" si="9"/>
        <v>서연빌302</v>
      </c>
      <c r="F298" s="85">
        <v>46101</v>
      </c>
      <c r="G298" s="229"/>
      <c r="H298" s="229"/>
      <c r="I298" s="229">
        <v>1450000</v>
      </c>
      <c r="J298" s="229"/>
      <c r="K298" s="218"/>
      <c r="L298" s="87">
        <v>44520</v>
      </c>
      <c r="M298" s="87">
        <v>46345</v>
      </c>
      <c r="N298" s="82"/>
      <c r="O298" s="82" t="s">
        <v>1267</v>
      </c>
      <c r="P298" s="241">
        <v>20000000</v>
      </c>
      <c r="Q298" s="241">
        <v>1300000</v>
      </c>
      <c r="R298" s="82"/>
      <c r="S298" s="241">
        <v>150000</v>
      </c>
      <c r="T298" s="82"/>
      <c r="U298" s="241"/>
      <c r="V298" s="82"/>
      <c r="W298" s="88"/>
      <c r="X298" s="82"/>
      <c r="Y298" s="89"/>
      <c r="Z298" s="82"/>
      <c r="AA298" s="220"/>
      <c r="AB298" s="241">
        <v>180000</v>
      </c>
      <c r="AC298" s="241"/>
      <c r="AD298" s="241"/>
      <c r="AE298" s="82"/>
      <c r="AF298" s="82"/>
      <c r="AG298" s="90"/>
      <c r="AH298" s="90"/>
      <c r="AI298" s="90"/>
      <c r="AJ298" s="90"/>
      <c r="AK298" s="82" t="s">
        <v>47</v>
      </c>
      <c r="AL298" s="82" t="str" cm="1">
        <f t="array" aca="1" ref="AL298" ca="1">_xlfn.IFS(
 AND($AK298&lt;&gt;"", M298&lt;&gt;0, M298&lt;=EDATE(TODAY(),2)),"도래",
 AND($AK298&lt;&gt;"", M298&lt;&gt;0, M298&lt;=EDATE(TODAY(),3)),"예정",
 AND($AK298&lt;&gt;"", M298&lt;&gt;0, M298&lt;=EDATE(TODAY(),6)),"관심",
 TRUE,""
)</f>
        <v/>
      </c>
      <c r="AM298" s="198">
        <f t="shared" si="10"/>
        <v>20</v>
      </c>
    </row>
    <row r="299" spans="1:39" ht="18" customHeight="1">
      <c r="A299" s="81"/>
      <c r="B299" s="205" t="str">
        <f>_xlfn.LET(_xlpm.var,◆관리정보!B299,IF(_xlpm.var&lt;&gt;0,_xlpm.var,""))</f>
        <v>서연빌</v>
      </c>
      <c r="C299" s="82">
        <f>_xlfn.LET(_xlpm.var,◆관리정보!C299,IF(_xlpm.var&lt;&gt;0,_xlpm.var,""))</f>
        <v>401</v>
      </c>
      <c r="D299" s="83" t="s">
        <v>1268</v>
      </c>
      <c r="E299" s="84" t="str">
        <f t="shared" si="9"/>
        <v>서연빌401</v>
      </c>
      <c r="F299" s="85">
        <v>46118</v>
      </c>
      <c r="G299" s="229"/>
      <c r="H299" s="229"/>
      <c r="I299" s="229"/>
      <c r="J299" s="229"/>
      <c r="K299" s="218"/>
      <c r="L299" s="87">
        <v>46059</v>
      </c>
      <c r="M299" s="87">
        <v>46788</v>
      </c>
      <c r="N299" s="82" t="s">
        <v>1269</v>
      </c>
      <c r="O299" s="82" t="s">
        <v>1270</v>
      </c>
      <c r="P299" s="241">
        <v>280000000</v>
      </c>
      <c r="Q299" s="241">
        <v>500000</v>
      </c>
      <c r="R299" s="82"/>
      <c r="S299" s="241">
        <v>200000</v>
      </c>
      <c r="T299" s="82"/>
      <c r="U299" s="241"/>
      <c r="V299" s="82"/>
      <c r="W299" s="88"/>
      <c r="X299" s="82"/>
      <c r="Y299" s="89"/>
      <c r="Z299" s="82"/>
      <c r="AA299" s="220"/>
      <c r="AB299" s="241"/>
      <c r="AC299" s="241"/>
      <c r="AD299" s="241"/>
      <c r="AE299" s="82" t="s">
        <v>1271</v>
      </c>
      <c r="AF299" s="82" t="s">
        <v>1272</v>
      </c>
      <c r="AG299" s="90"/>
      <c r="AH299" s="90"/>
      <c r="AI299" s="315"/>
      <c r="AJ299" s="90"/>
      <c r="AK299" s="82" t="s">
        <v>47</v>
      </c>
      <c r="AL299" s="82" t="str" cm="1">
        <f t="array" aca="1" ref="AL299" ca="1">_xlfn.IFS(
 AND($AK299&lt;&gt;"", M299&lt;&gt;0, M299&lt;=EDATE(TODAY(),2)),"도래",
 AND($AK299&lt;&gt;"", M299&lt;&gt;0, M299&lt;=EDATE(TODAY(),3)),"예정",
 AND($AK299&lt;&gt;"", M299&lt;&gt;0, M299&lt;=EDATE(TODAY(),6)),"관심",
 TRUE,""
)</f>
        <v/>
      </c>
      <c r="AM299" s="198">
        <f t="shared" si="10"/>
        <v>6</v>
      </c>
    </row>
    <row r="300" spans="1:39" ht="18" customHeight="1">
      <c r="A300" s="81"/>
      <c r="B300" s="205" t="str">
        <f>_xlfn.LET(_xlpm.var,◆관리정보!B300,IF(_xlpm.var&lt;&gt;0,_xlpm.var,""))</f>
        <v>서연빌</v>
      </c>
      <c r="C300" s="82">
        <f>_xlfn.LET(_xlpm.var,◆관리정보!C300,IF(_xlpm.var&lt;&gt;0,_xlpm.var,""))</f>
        <v>402</v>
      </c>
      <c r="D300" s="83" t="s">
        <v>1273</v>
      </c>
      <c r="E300" s="84" t="str">
        <f t="shared" si="9"/>
        <v>서연빌402</v>
      </c>
      <c r="F300" s="85">
        <v>46125</v>
      </c>
      <c r="G300" s="229"/>
      <c r="H300" s="229"/>
      <c r="I300" s="229"/>
      <c r="J300" s="229"/>
      <c r="K300" s="218"/>
      <c r="L300" s="87">
        <v>43934</v>
      </c>
      <c r="M300" s="87">
        <v>46855</v>
      </c>
      <c r="N300" s="82"/>
      <c r="O300" s="82" t="s">
        <v>1274</v>
      </c>
      <c r="P300" s="241">
        <v>200000000</v>
      </c>
      <c r="Q300" s="241"/>
      <c r="R300" s="82"/>
      <c r="S300" s="241">
        <v>300000</v>
      </c>
      <c r="T300" s="82" t="s">
        <v>40</v>
      </c>
      <c r="U300" s="241"/>
      <c r="V300" s="82"/>
      <c r="W300" s="88"/>
      <c r="X300" s="82"/>
      <c r="Y300" s="89"/>
      <c r="Z300" s="82"/>
      <c r="AA300" s="220"/>
      <c r="AB300" s="241"/>
      <c r="AC300" s="241"/>
      <c r="AD300" s="241"/>
      <c r="AE300" s="82"/>
      <c r="AF300" s="82"/>
      <c r="AG300" s="90"/>
      <c r="AH300" s="90"/>
      <c r="AI300" s="90" t="s">
        <v>1275</v>
      </c>
      <c r="AJ300" s="90"/>
      <c r="AK300" s="82" t="s">
        <v>47</v>
      </c>
      <c r="AL300" s="82" t="str" cm="1">
        <f t="array" aca="1" ref="AL300" ca="1">_xlfn.IFS(
 AND($AK300&lt;&gt;"", M300&lt;&gt;0, M300&lt;=EDATE(TODAY(),2)),"도래",
 AND($AK300&lt;&gt;"", M300&lt;&gt;0, M300&lt;=EDATE(TODAY(),3)),"예정",
 AND($AK300&lt;&gt;"", M300&lt;&gt;0, M300&lt;=EDATE(TODAY(),6)),"관심",
 TRUE,""
)</f>
        <v/>
      </c>
      <c r="AM300" s="198">
        <f t="shared" si="10"/>
        <v>13</v>
      </c>
    </row>
    <row r="301" spans="1:39" ht="18" customHeight="1">
      <c r="A301" s="81"/>
      <c r="B301" s="205" t="str">
        <f>_xlfn.LET(_xlpm.var,◆관리정보!B301,IF(_xlpm.var&lt;&gt;0,_xlpm.var,""))</f>
        <v>서연빌</v>
      </c>
      <c r="C301" s="82">
        <f>_xlfn.LET(_xlpm.var,◆관리정보!C301,IF(_xlpm.var&lt;&gt;0,_xlpm.var,""))</f>
        <v>501</v>
      </c>
      <c r="D301" s="83" t="s">
        <v>1276</v>
      </c>
      <c r="E301" s="84" t="str">
        <f t="shared" si="9"/>
        <v>서연빌501</v>
      </c>
      <c r="F301" s="85">
        <v>46088</v>
      </c>
      <c r="G301" s="229"/>
      <c r="H301" s="229"/>
      <c r="I301" s="229">
        <v>1700000</v>
      </c>
      <c r="J301" s="229"/>
      <c r="K301" s="218"/>
      <c r="L301" s="87">
        <v>45176</v>
      </c>
      <c r="M301" s="87">
        <v>46636</v>
      </c>
      <c r="N301" s="82"/>
      <c r="O301" s="82" t="s">
        <v>1277</v>
      </c>
      <c r="P301" s="241">
        <v>30000000</v>
      </c>
      <c r="Q301" s="241">
        <v>1600000</v>
      </c>
      <c r="R301" s="82"/>
      <c r="S301" s="241">
        <v>100000</v>
      </c>
      <c r="T301" s="82"/>
      <c r="U301" s="241"/>
      <c r="V301" s="82"/>
      <c r="W301" s="88"/>
      <c r="X301" s="82"/>
      <c r="Y301" s="89"/>
      <c r="Z301" s="82"/>
      <c r="AA301" s="220"/>
      <c r="AB301" s="241"/>
      <c r="AC301" s="241"/>
      <c r="AD301" s="241"/>
      <c r="AE301" s="82"/>
      <c r="AF301" s="82"/>
      <c r="AG301" s="90"/>
      <c r="AH301" s="90"/>
      <c r="AI301" s="90"/>
      <c r="AJ301" s="90"/>
      <c r="AK301" s="82" t="s">
        <v>47</v>
      </c>
      <c r="AL301" s="82" t="str" cm="1">
        <f t="array" aca="1" ref="AL301" ca="1">_xlfn.IFS(
 AND($AK301&lt;&gt;"", M301&lt;&gt;0, M301&lt;=EDATE(TODAY(),2)),"도래",
 AND($AK301&lt;&gt;"", M301&lt;&gt;0, M301&lt;=EDATE(TODAY(),3)),"예정",
 AND($AK301&lt;&gt;"", M301&lt;&gt;0, M301&lt;=EDATE(TODAY(),6)),"관심",
 TRUE,""
)</f>
        <v/>
      </c>
      <c r="AM301" s="198">
        <f t="shared" si="10"/>
        <v>7</v>
      </c>
    </row>
    <row r="302" spans="1:39" ht="18" customHeight="1">
      <c r="A302" s="81"/>
      <c r="B302" s="205" t="str">
        <f>_xlfn.LET(_xlpm.var,◆관리정보!B302,IF(_xlpm.var&lt;&gt;0,_xlpm.var,""))</f>
        <v>서연빌</v>
      </c>
      <c r="C302" s="82">
        <f>_xlfn.LET(_xlpm.var,◆관리정보!C302,IF(_xlpm.var&lt;&gt;0,_xlpm.var,""))</f>
        <v>502</v>
      </c>
      <c r="D302" s="83" t="s">
        <v>1278</v>
      </c>
      <c r="E302" s="84" t="str">
        <f t="shared" si="9"/>
        <v>서연빌502</v>
      </c>
      <c r="F302" s="85">
        <v>46107</v>
      </c>
      <c r="G302" s="229"/>
      <c r="H302" s="229"/>
      <c r="I302" s="229"/>
      <c r="J302" s="229"/>
      <c r="K302" s="218"/>
      <c r="L302" s="87">
        <v>45195</v>
      </c>
      <c r="M302" s="87">
        <v>46655</v>
      </c>
      <c r="N302" s="82"/>
      <c r="O302" s="82" t="s">
        <v>1279</v>
      </c>
      <c r="P302" s="241">
        <v>180000000</v>
      </c>
      <c r="Q302" s="241"/>
      <c r="R302" s="82"/>
      <c r="S302" s="241">
        <v>300000</v>
      </c>
      <c r="T302" s="82"/>
      <c r="U302" s="241"/>
      <c r="V302" s="82"/>
      <c r="W302" s="88"/>
      <c r="X302" s="82"/>
      <c r="Y302" s="89"/>
      <c r="Z302" s="82"/>
      <c r="AA302" s="220"/>
      <c r="AB302" s="241"/>
      <c r="AC302" s="241"/>
      <c r="AD302" s="241"/>
      <c r="AE302" s="82"/>
      <c r="AF302" s="82"/>
      <c r="AG302" s="90"/>
      <c r="AH302" s="90"/>
      <c r="AI302" s="90"/>
      <c r="AJ302" s="90"/>
      <c r="AK302" s="82" t="s">
        <v>47</v>
      </c>
      <c r="AL302" s="82" t="str" cm="1">
        <f t="array" aca="1" ref="AL302" ca="1">_xlfn.IFS(
 AND($AK302&lt;&gt;"", M302&lt;&gt;0, M302&lt;=EDATE(TODAY(),2)),"도래",
 AND($AK302&lt;&gt;"", M302&lt;&gt;0, M302&lt;=EDATE(TODAY(),3)),"예정",
 AND($AK302&lt;&gt;"", M302&lt;&gt;0, M302&lt;=EDATE(TODAY(),6)),"관심",
 TRUE,""
)</f>
        <v/>
      </c>
      <c r="AM302" s="198">
        <f t="shared" si="10"/>
        <v>26</v>
      </c>
    </row>
    <row r="303" spans="1:39" ht="18" customHeight="1">
      <c r="A303" s="81"/>
      <c r="B303" s="205" t="str">
        <f>_xlfn.LET(_xlpm.var,◆관리정보!B303,IF(_xlpm.var&lt;&gt;0,_xlpm.var,""))</f>
        <v>더힐하우스101동</v>
      </c>
      <c r="C303" s="82">
        <f>_xlfn.LET(_xlpm.var,◆관리정보!C303,IF(_xlpm.var&lt;&gt;0,_xlpm.var,""))</f>
        <v>201</v>
      </c>
      <c r="D303" s="83" t="s">
        <v>1280</v>
      </c>
      <c r="E303" s="84" t="str">
        <f t="shared" si="9"/>
        <v>더힐하우스101동201</v>
      </c>
      <c r="F303" s="85">
        <v>46121</v>
      </c>
      <c r="G303" s="229"/>
      <c r="H303" s="229"/>
      <c r="I303" s="229"/>
      <c r="J303" s="229"/>
      <c r="K303" s="318"/>
      <c r="L303" s="87">
        <v>9</v>
      </c>
      <c r="M303" s="87"/>
      <c r="N303" s="82" t="s">
        <v>1281</v>
      </c>
      <c r="O303" s="82" t="s">
        <v>1282</v>
      </c>
      <c r="P303" s="241"/>
      <c r="Q303" s="241"/>
      <c r="R303" s="82"/>
      <c r="S303" s="241">
        <v>90000</v>
      </c>
      <c r="T303" s="82"/>
      <c r="U303" s="241"/>
      <c r="V303" s="82"/>
      <c r="W303" s="88"/>
      <c r="X303" s="82"/>
      <c r="Y303" s="89"/>
      <c r="Z303" s="82"/>
      <c r="AA303" s="220"/>
      <c r="AB303" s="241"/>
      <c r="AC303" s="241"/>
      <c r="AD303" s="241"/>
      <c r="AE303" s="82"/>
      <c r="AF303" s="82"/>
      <c r="AG303" s="90"/>
      <c r="AH303" s="90"/>
      <c r="AI303" s="90" t="s">
        <v>1283</v>
      </c>
      <c r="AJ303" s="90"/>
      <c r="AK303" s="82"/>
      <c r="AL303" s="82" t="str" cm="1">
        <f t="array" aca="1" ref="AL303" ca="1">_xlfn.IFS(
 AND($AK303&lt;&gt;"", M303&lt;&gt;0, M303&lt;=EDATE(TODAY(),2)),"도래",
 AND($AK303&lt;&gt;"", M303&lt;&gt;0, M303&lt;=EDATE(TODAY(),3)),"예정",
 AND($AK303&lt;&gt;"", M303&lt;&gt;0, M303&lt;=EDATE(TODAY(),6)),"관심",
 TRUE,""
)</f>
        <v/>
      </c>
      <c r="AM303" s="198">
        <f t="shared" si="10"/>
        <v>9</v>
      </c>
    </row>
    <row r="304" spans="1:39" ht="18" customHeight="1">
      <c r="A304" s="81"/>
      <c r="B304" s="205" t="str">
        <f>_xlfn.LET(_xlpm.var,◆관리정보!B304,IF(_xlpm.var&lt;&gt;0,_xlpm.var,""))</f>
        <v>더힐하우스101동</v>
      </c>
      <c r="C304" s="82">
        <f>_xlfn.LET(_xlpm.var,◆관리정보!C304,IF(_xlpm.var&lt;&gt;0,_xlpm.var,""))</f>
        <v>202</v>
      </c>
      <c r="D304" s="83" t="s">
        <v>1284</v>
      </c>
      <c r="E304" s="84" t="str">
        <f t="shared" si="9"/>
        <v>더힐하우스101동202</v>
      </c>
      <c r="F304" s="85">
        <v>46104</v>
      </c>
      <c r="G304" s="229"/>
      <c r="H304" s="229"/>
      <c r="I304" s="229"/>
      <c r="J304" s="229">
        <v>90000</v>
      </c>
      <c r="K304" s="218"/>
      <c r="L304" s="87">
        <v>23</v>
      </c>
      <c r="M304" s="87"/>
      <c r="N304" s="82" t="s">
        <v>1285</v>
      </c>
      <c r="O304" s="82" t="s">
        <v>1286</v>
      </c>
      <c r="P304" s="241"/>
      <c r="Q304" s="241"/>
      <c r="R304" s="82"/>
      <c r="S304" s="241">
        <v>90000</v>
      </c>
      <c r="T304" s="82"/>
      <c r="U304" s="241"/>
      <c r="V304" s="82"/>
      <c r="W304" s="88"/>
      <c r="X304" s="82"/>
      <c r="Y304" s="89"/>
      <c r="Z304" s="82"/>
      <c r="AA304" s="220" t="s">
        <v>1287</v>
      </c>
      <c r="AB304" s="241"/>
      <c r="AC304" s="241"/>
      <c r="AD304" s="241"/>
      <c r="AE304" s="82"/>
      <c r="AF304" s="82"/>
      <c r="AG304" s="90"/>
      <c r="AH304" s="90"/>
      <c r="AI304" s="90"/>
      <c r="AJ304" s="90"/>
      <c r="AK304" s="82"/>
      <c r="AL304" s="82" t="str" cm="1">
        <f t="array" aca="1" ref="AL304" ca="1">_xlfn.IFS(
 AND($AK304&lt;&gt;"", M304&lt;&gt;0, M304&lt;=EDATE(TODAY(),2)),"도래",
 AND($AK304&lt;&gt;"", M304&lt;&gt;0, M304&lt;=EDATE(TODAY(),3)),"예정",
 AND($AK304&lt;&gt;"", M304&lt;&gt;0, M304&lt;=EDATE(TODAY(),6)),"관심",
 TRUE,""
)</f>
        <v/>
      </c>
      <c r="AM304" s="198">
        <f t="shared" si="10"/>
        <v>23</v>
      </c>
    </row>
    <row r="305" spans="1:39" ht="18" customHeight="1">
      <c r="A305" s="81"/>
      <c r="B305" s="205" t="str">
        <f>_xlfn.LET(_xlpm.var,◆관리정보!B305,IF(_xlpm.var&lt;&gt;0,_xlpm.var,""))</f>
        <v>더힐하우스101동</v>
      </c>
      <c r="C305" s="82">
        <f>_xlfn.LET(_xlpm.var,◆관리정보!C305,IF(_xlpm.var&lt;&gt;0,_xlpm.var,""))</f>
        <v>203</v>
      </c>
      <c r="D305" s="83" t="s">
        <v>1288</v>
      </c>
      <c r="E305" s="84" t="str">
        <f t="shared" si="9"/>
        <v>더힐하우스101동203</v>
      </c>
      <c r="F305" s="85">
        <v>46128</v>
      </c>
      <c r="G305" s="229"/>
      <c r="H305" s="229"/>
      <c r="I305" s="229"/>
      <c r="J305" s="229"/>
      <c r="K305" s="218"/>
      <c r="L305" s="87">
        <v>16</v>
      </c>
      <c r="M305" s="87"/>
      <c r="N305" s="82"/>
      <c r="O305" s="82" t="s">
        <v>1289</v>
      </c>
      <c r="P305" s="241"/>
      <c r="Q305" s="241"/>
      <c r="R305" s="82"/>
      <c r="S305" s="241">
        <v>90000</v>
      </c>
      <c r="T305" s="82"/>
      <c r="U305" s="241"/>
      <c r="V305" s="82"/>
      <c r="W305" s="88"/>
      <c r="X305" s="82"/>
      <c r="Y305" s="89"/>
      <c r="Z305" s="82"/>
      <c r="AA305" s="220" t="s">
        <v>1290</v>
      </c>
      <c r="AB305" s="241"/>
      <c r="AC305" s="241"/>
      <c r="AD305" s="241"/>
      <c r="AE305" s="82"/>
      <c r="AF305" s="82"/>
      <c r="AG305" s="90"/>
      <c r="AH305" s="90"/>
      <c r="AI305" s="90" t="s">
        <v>1291</v>
      </c>
      <c r="AJ305" s="90"/>
      <c r="AK305" s="82"/>
      <c r="AL305" s="82" t="str" cm="1">
        <f t="array" aca="1" ref="AL305" ca="1">_xlfn.IFS(
 AND($AK305&lt;&gt;"", M305&lt;&gt;0, M305&lt;=EDATE(TODAY(),2)),"도래",
 AND($AK305&lt;&gt;"", M305&lt;&gt;0, M305&lt;=EDATE(TODAY(),3)),"예정",
 AND($AK305&lt;&gt;"", M305&lt;&gt;0, M305&lt;=EDATE(TODAY(),6)),"관심",
 TRUE,""
)</f>
        <v/>
      </c>
      <c r="AM305" s="198">
        <f t="shared" si="10"/>
        <v>16</v>
      </c>
    </row>
    <row r="306" spans="1:39" ht="18" customHeight="1">
      <c r="A306" s="81"/>
      <c r="B306" s="205" t="str">
        <f>_xlfn.LET(_xlpm.var,◆관리정보!B306,IF(_xlpm.var&lt;&gt;0,_xlpm.var,""))</f>
        <v>더힐하우스101동</v>
      </c>
      <c r="C306" s="82">
        <f>_xlfn.LET(_xlpm.var,◆관리정보!C306,IF(_xlpm.var&lt;&gt;0,_xlpm.var,""))</f>
        <v>301</v>
      </c>
      <c r="D306" s="83" t="s">
        <v>1292</v>
      </c>
      <c r="E306" s="84" t="str">
        <f t="shared" si="9"/>
        <v>더힐하우스101동301</v>
      </c>
      <c r="F306" s="85">
        <v>46081</v>
      </c>
      <c r="G306" s="229"/>
      <c r="H306" s="229"/>
      <c r="I306" s="229"/>
      <c r="J306" s="229">
        <v>90000</v>
      </c>
      <c r="K306" s="218"/>
      <c r="L306" s="87">
        <v>29</v>
      </c>
      <c r="M306" s="87"/>
      <c r="N306" s="82" t="s">
        <v>1293</v>
      </c>
      <c r="O306" s="82" t="s">
        <v>1294</v>
      </c>
      <c r="P306" s="241"/>
      <c r="Q306" s="241"/>
      <c r="R306" s="82"/>
      <c r="S306" s="241">
        <v>90000</v>
      </c>
      <c r="T306" s="82"/>
      <c r="U306" s="241"/>
      <c r="V306" s="82"/>
      <c r="W306" s="88"/>
      <c r="X306" s="82"/>
      <c r="Y306" s="89"/>
      <c r="Z306" s="82"/>
      <c r="AA306" s="220" t="s">
        <v>1295</v>
      </c>
      <c r="AB306" s="241"/>
      <c r="AC306" s="241"/>
      <c r="AD306" s="241"/>
      <c r="AE306" s="82"/>
      <c r="AF306" s="82"/>
      <c r="AG306" s="90"/>
      <c r="AH306" s="90"/>
      <c r="AI306" s="90" t="s">
        <v>1296</v>
      </c>
      <c r="AJ306" s="90"/>
      <c r="AK306" s="82"/>
      <c r="AL306" s="82" t="str" cm="1">
        <f t="array" aca="1" ref="AL306" ca="1">_xlfn.IFS(
 AND($AK306&lt;&gt;"", M306&lt;&gt;0, M306&lt;=EDATE(TODAY(),2)),"도래",
 AND($AK306&lt;&gt;"", M306&lt;&gt;0, M306&lt;=EDATE(TODAY(),3)),"예정",
 AND($AK306&lt;&gt;"", M306&lt;&gt;0, M306&lt;=EDATE(TODAY(),6)),"관심",
 TRUE,""
)</f>
        <v/>
      </c>
      <c r="AM306" s="198">
        <f t="shared" si="10"/>
        <v>29</v>
      </c>
    </row>
    <row r="307" spans="1:39" ht="18" customHeight="1">
      <c r="A307" s="81"/>
      <c r="B307" s="205" t="str">
        <f>_xlfn.LET(_xlpm.var,◆관리정보!B307,IF(_xlpm.var&lt;&gt;0,_xlpm.var,""))</f>
        <v>더힐하우스101동</v>
      </c>
      <c r="C307" s="82">
        <f>_xlfn.LET(_xlpm.var,◆관리정보!C307,IF(_xlpm.var&lt;&gt;0,_xlpm.var,""))</f>
        <v>302</v>
      </c>
      <c r="D307" s="83" t="s">
        <v>1297</v>
      </c>
      <c r="E307" s="84" t="str">
        <f t="shared" si="9"/>
        <v>더힐하우스101동302</v>
      </c>
      <c r="F307" s="85">
        <v>46104</v>
      </c>
      <c r="G307" s="229"/>
      <c r="H307" s="229"/>
      <c r="I307" s="229"/>
      <c r="J307" s="229">
        <v>90000</v>
      </c>
      <c r="K307" s="218"/>
      <c r="L307" s="87">
        <v>45496</v>
      </c>
      <c r="M307" s="87">
        <v>46225</v>
      </c>
      <c r="N307" s="82"/>
      <c r="O307" s="82" t="s">
        <v>1298</v>
      </c>
      <c r="P307" s="241"/>
      <c r="Q307" s="241"/>
      <c r="R307" s="82"/>
      <c r="S307" s="241">
        <v>90000</v>
      </c>
      <c r="T307" s="82"/>
      <c r="U307" s="241"/>
      <c r="V307" s="82"/>
      <c r="W307" s="88"/>
      <c r="X307" s="82"/>
      <c r="Y307" s="89"/>
      <c r="Z307" s="82"/>
      <c r="AA307" s="220" t="s">
        <v>1299</v>
      </c>
      <c r="AB307" s="241"/>
      <c r="AC307" s="241"/>
      <c r="AD307" s="241"/>
      <c r="AE307" s="82"/>
      <c r="AF307" s="82"/>
      <c r="AG307" s="90"/>
      <c r="AH307" s="90"/>
      <c r="AI307" s="90" t="s">
        <v>1300</v>
      </c>
      <c r="AJ307" s="90"/>
      <c r="AK307" s="82"/>
      <c r="AL307" s="82" t="str" cm="1">
        <f t="array" aca="1" ref="AL307" ca="1">_xlfn.IFS(
 AND($AK307&lt;&gt;"", M307&lt;&gt;0, M307&lt;=EDATE(TODAY(),2)),"도래",
 AND($AK307&lt;&gt;"", M307&lt;&gt;0, M307&lt;=EDATE(TODAY(),3)),"예정",
 AND($AK307&lt;&gt;"", M307&lt;&gt;0, M307&lt;=EDATE(TODAY(),6)),"관심",
 TRUE,""
)</f>
        <v/>
      </c>
      <c r="AM307" s="198">
        <f t="shared" si="10"/>
        <v>23</v>
      </c>
    </row>
    <row r="308" spans="1:39" ht="18" customHeight="1">
      <c r="A308" s="81"/>
      <c r="B308" s="205" t="str">
        <f>_xlfn.LET(_xlpm.var,◆관리정보!B308,IF(_xlpm.var&lt;&gt;0,_xlpm.var,""))</f>
        <v>더힐하우스101동</v>
      </c>
      <c r="C308" s="82">
        <f>_xlfn.LET(_xlpm.var,◆관리정보!C308,IF(_xlpm.var&lt;&gt;0,_xlpm.var,""))</f>
        <v>303</v>
      </c>
      <c r="D308" s="83" t="s">
        <v>1301</v>
      </c>
      <c r="E308" s="84" t="str">
        <f t="shared" si="9"/>
        <v>더힐하우스101동303</v>
      </c>
      <c r="F308" s="85">
        <v>46082</v>
      </c>
      <c r="G308" s="229"/>
      <c r="H308" s="229"/>
      <c r="I308" s="229"/>
      <c r="J308" s="229">
        <v>90000</v>
      </c>
      <c r="K308" s="218"/>
      <c r="L308" s="87">
        <v>1</v>
      </c>
      <c r="M308" s="87"/>
      <c r="N308" s="82"/>
      <c r="O308" s="82" t="s">
        <v>1302</v>
      </c>
      <c r="P308" s="241"/>
      <c r="Q308" s="241"/>
      <c r="R308" s="82"/>
      <c r="S308" s="241">
        <v>90000</v>
      </c>
      <c r="T308" s="82"/>
      <c r="U308" s="241"/>
      <c r="V308" s="82"/>
      <c r="W308" s="88"/>
      <c r="X308" s="82"/>
      <c r="Y308" s="89"/>
      <c r="Z308" s="82"/>
      <c r="AA308" s="220" t="s">
        <v>1303</v>
      </c>
      <c r="AB308" s="241"/>
      <c r="AC308" s="241"/>
      <c r="AD308" s="241"/>
      <c r="AE308" s="82"/>
      <c r="AF308" s="82"/>
      <c r="AG308" s="90"/>
      <c r="AH308" s="90"/>
      <c r="AI308" s="90"/>
      <c r="AJ308" s="90"/>
      <c r="AK308" s="82"/>
      <c r="AL308" s="82" t="str" cm="1">
        <f t="array" aca="1" ref="AL308" ca="1">_xlfn.IFS(
 AND($AK308&lt;&gt;"", M308&lt;&gt;0, M308&lt;=EDATE(TODAY(),2)),"도래",
 AND($AK308&lt;&gt;"", M308&lt;&gt;0, M308&lt;=EDATE(TODAY(),3)),"예정",
 AND($AK308&lt;&gt;"", M308&lt;&gt;0, M308&lt;=EDATE(TODAY(),6)),"관심",
 TRUE,""
)</f>
        <v/>
      </c>
      <c r="AM308" s="198">
        <f t="shared" si="10"/>
        <v>1</v>
      </c>
    </row>
    <row r="309" spans="1:39" ht="18" customHeight="1">
      <c r="A309" s="81"/>
      <c r="B309" s="205" t="str">
        <f>_xlfn.LET(_xlpm.var,◆관리정보!B309,IF(_xlpm.var&lt;&gt;0,_xlpm.var,""))</f>
        <v>더힐하우스101동</v>
      </c>
      <c r="C309" s="82">
        <f>_xlfn.LET(_xlpm.var,◆관리정보!C309,IF(_xlpm.var&lt;&gt;0,_xlpm.var,""))</f>
        <v>401</v>
      </c>
      <c r="D309" s="83" t="s">
        <v>1304</v>
      </c>
      <c r="E309" s="84" t="str">
        <f t="shared" si="9"/>
        <v>더힐하우스101동401</v>
      </c>
      <c r="F309" s="85">
        <v>46127</v>
      </c>
      <c r="G309" s="229"/>
      <c r="H309" s="229"/>
      <c r="I309" s="229"/>
      <c r="J309" s="229"/>
      <c r="K309" s="218"/>
      <c r="L309" s="87">
        <v>45884</v>
      </c>
      <c r="M309" s="87"/>
      <c r="N309" s="82"/>
      <c r="O309" s="82" t="s">
        <v>1305</v>
      </c>
      <c r="P309" s="241"/>
      <c r="Q309" s="241"/>
      <c r="R309" s="82"/>
      <c r="S309" s="241">
        <v>90000</v>
      </c>
      <c r="T309" s="82"/>
      <c r="U309" s="241"/>
      <c r="V309" s="82"/>
      <c r="W309" s="88"/>
      <c r="X309" s="82"/>
      <c r="Y309" s="89"/>
      <c r="Z309" s="82"/>
      <c r="AA309" s="220" t="s">
        <v>1306</v>
      </c>
      <c r="AB309" s="241"/>
      <c r="AC309" s="241"/>
      <c r="AD309" s="241"/>
      <c r="AE309" s="82"/>
      <c r="AF309" s="82"/>
      <c r="AG309" s="90"/>
      <c r="AH309" s="90"/>
      <c r="AI309" s="90"/>
      <c r="AJ309" s="90"/>
      <c r="AK309" s="82"/>
      <c r="AL309" s="82" t="str" cm="1">
        <f t="array" aca="1" ref="AL309" ca="1">_xlfn.IFS(
 AND($AK309&lt;&gt;"", M309&lt;&gt;0, M309&lt;=EDATE(TODAY(),2)),"도래",
 AND($AK309&lt;&gt;"", M309&lt;&gt;0, M309&lt;=EDATE(TODAY(),3)),"예정",
 AND($AK309&lt;&gt;"", M309&lt;&gt;0, M309&lt;=EDATE(TODAY(),6)),"관심",
 TRUE,""
)</f>
        <v/>
      </c>
      <c r="AM309" s="198">
        <f t="shared" si="10"/>
        <v>15</v>
      </c>
    </row>
    <row r="310" spans="1:39" ht="18" customHeight="1">
      <c r="A310" s="81"/>
      <c r="B310" s="205" t="str">
        <f>_xlfn.LET(_xlpm.var,◆관리정보!B310,IF(_xlpm.var&lt;&gt;0,_xlpm.var,""))</f>
        <v>더힐하우스101동</v>
      </c>
      <c r="C310" s="82">
        <f>_xlfn.LET(_xlpm.var,◆관리정보!C310,IF(_xlpm.var&lt;&gt;0,_xlpm.var,""))</f>
        <v>402</v>
      </c>
      <c r="D310" s="83" t="s">
        <v>1307</v>
      </c>
      <c r="E310" s="84" t="str">
        <f t="shared" si="9"/>
        <v>더힐하우스101동402</v>
      </c>
      <c r="F310" s="85">
        <v>46119</v>
      </c>
      <c r="G310" s="229"/>
      <c r="H310" s="229"/>
      <c r="I310" s="229"/>
      <c r="J310" s="229"/>
      <c r="K310" s="218"/>
      <c r="L310" s="87">
        <v>7</v>
      </c>
      <c r="M310" s="87"/>
      <c r="N310" s="82"/>
      <c r="O310" s="82" t="s">
        <v>1308</v>
      </c>
      <c r="P310" s="241"/>
      <c r="Q310" s="241"/>
      <c r="R310" s="82"/>
      <c r="S310" s="241">
        <v>90000</v>
      </c>
      <c r="T310" s="82"/>
      <c r="U310" s="241"/>
      <c r="V310" s="82"/>
      <c r="W310" s="88"/>
      <c r="X310" s="82"/>
      <c r="Y310" s="89"/>
      <c r="Z310" s="82"/>
      <c r="AA310" s="220" t="s">
        <v>1309</v>
      </c>
      <c r="AB310" s="241"/>
      <c r="AC310" s="241"/>
      <c r="AD310" s="241"/>
      <c r="AE310" s="82"/>
      <c r="AF310" s="82"/>
      <c r="AG310" s="90"/>
      <c r="AH310" s="90"/>
      <c r="AI310" s="90"/>
      <c r="AJ310" s="90"/>
      <c r="AK310" s="82"/>
      <c r="AL310" s="82" t="str" cm="1">
        <f t="array" aca="1" ref="AL310" ca="1">_xlfn.IFS(
 AND($AK310&lt;&gt;"", M310&lt;&gt;0, M310&lt;=EDATE(TODAY(),2)),"도래",
 AND($AK310&lt;&gt;"", M310&lt;&gt;0, M310&lt;=EDATE(TODAY(),3)),"예정",
 AND($AK310&lt;&gt;"", M310&lt;&gt;0, M310&lt;=EDATE(TODAY(),6)),"관심",
 TRUE,""
)</f>
        <v/>
      </c>
      <c r="AM310" s="198">
        <f t="shared" si="10"/>
        <v>7</v>
      </c>
    </row>
    <row r="311" spans="1:39" ht="18" customHeight="1">
      <c r="A311" s="81"/>
      <c r="B311" s="205" t="str">
        <f>_xlfn.LET(_xlpm.var,◆관리정보!B311,IF(_xlpm.var&lt;&gt;0,_xlpm.var,""))</f>
        <v>더힐하우스101동</v>
      </c>
      <c r="C311" s="82">
        <f>_xlfn.LET(_xlpm.var,◆관리정보!C311,IF(_xlpm.var&lt;&gt;0,_xlpm.var,""))</f>
        <v>403</v>
      </c>
      <c r="D311" s="83" t="s">
        <v>1310</v>
      </c>
      <c r="E311" s="84" t="str">
        <f t="shared" si="9"/>
        <v>더힐하우스101동403</v>
      </c>
      <c r="F311" s="85">
        <v>46102</v>
      </c>
      <c r="G311" s="229"/>
      <c r="H311" s="229"/>
      <c r="I311" s="229"/>
      <c r="J311" s="229">
        <v>90000</v>
      </c>
      <c r="K311" s="218"/>
      <c r="L311" s="87">
        <v>21</v>
      </c>
      <c r="M311" s="87"/>
      <c r="N311" s="82" t="s">
        <v>1311</v>
      </c>
      <c r="O311" s="82" t="s">
        <v>1312</v>
      </c>
      <c r="P311" s="241"/>
      <c r="Q311" s="241"/>
      <c r="R311" s="82"/>
      <c r="S311" s="241">
        <v>90000</v>
      </c>
      <c r="T311" s="82"/>
      <c r="U311" s="241"/>
      <c r="V311" s="82"/>
      <c r="W311" s="88"/>
      <c r="X311" s="82"/>
      <c r="Y311" s="89"/>
      <c r="Z311" s="82"/>
      <c r="AA311" s="220" t="s">
        <v>1313</v>
      </c>
      <c r="AB311" s="241"/>
      <c r="AC311" s="241"/>
      <c r="AD311" s="241"/>
      <c r="AE311" s="82"/>
      <c r="AF311" s="82"/>
      <c r="AG311" s="90"/>
      <c r="AH311" s="90"/>
      <c r="AI311" s="90"/>
      <c r="AJ311" s="90"/>
      <c r="AK311" s="82"/>
      <c r="AL311" s="82" t="str" cm="1">
        <f t="array" aca="1" ref="AL311" ca="1">_xlfn.IFS(
 AND($AK311&lt;&gt;"", M311&lt;&gt;0, M311&lt;=EDATE(TODAY(),2)),"도래",
 AND($AK311&lt;&gt;"", M311&lt;&gt;0, M311&lt;=EDATE(TODAY(),3)),"예정",
 AND($AK311&lt;&gt;"", M311&lt;&gt;0, M311&lt;=EDATE(TODAY(),6)),"관심",
 TRUE,""
)</f>
        <v/>
      </c>
      <c r="AM311" s="198">
        <f t="shared" si="10"/>
        <v>21</v>
      </c>
    </row>
    <row r="312" spans="1:39" ht="18" customHeight="1">
      <c r="A312" s="81"/>
      <c r="B312" s="205" t="str">
        <f>_xlfn.LET(_xlpm.var,◆관리정보!B312,IF(_xlpm.var&lt;&gt;0,_xlpm.var,""))</f>
        <v>더힐하우스101동</v>
      </c>
      <c r="C312" s="82">
        <f>_xlfn.LET(_xlpm.var,◆관리정보!C312,IF(_xlpm.var&lt;&gt;0,_xlpm.var,""))</f>
        <v>501</v>
      </c>
      <c r="D312" s="83" t="s">
        <v>1314</v>
      </c>
      <c r="E312" s="84" t="str">
        <f t="shared" si="9"/>
        <v>더힐하우스101동501</v>
      </c>
      <c r="F312" s="85">
        <v>46109</v>
      </c>
      <c r="G312" s="229"/>
      <c r="H312" s="229"/>
      <c r="I312" s="229"/>
      <c r="J312" s="229"/>
      <c r="K312" s="218"/>
      <c r="L312" s="87">
        <v>28</v>
      </c>
      <c r="M312" s="87"/>
      <c r="N312" s="82" t="s">
        <v>1285</v>
      </c>
      <c r="O312" s="82" t="s">
        <v>1315</v>
      </c>
      <c r="P312" s="241"/>
      <c r="Q312" s="241"/>
      <c r="R312" s="82"/>
      <c r="S312" s="241">
        <v>90000</v>
      </c>
      <c r="T312" s="82"/>
      <c r="U312" s="241"/>
      <c r="V312" s="82"/>
      <c r="W312" s="88"/>
      <c r="X312" s="82"/>
      <c r="Y312" s="89"/>
      <c r="Z312" s="82"/>
      <c r="AA312" s="220" t="s">
        <v>1316</v>
      </c>
      <c r="AB312" s="241"/>
      <c r="AC312" s="241"/>
      <c r="AD312" s="241"/>
      <c r="AE312" s="82"/>
      <c r="AF312" s="82"/>
      <c r="AG312" s="90"/>
      <c r="AH312" s="90"/>
      <c r="AI312" s="90"/>
      <c r="AJ312" s="90"/>
      <c r="AK312" s="82"/>
      <c r="AL312" s="82" t="str" cm="1">
        <f t="array" aca="1" ref="AL312" ca="1">_xlfn.IFS(
 AND($AK312&lt;&gt;"", M312&lt;&gt;0, M312&lt;=EDATE(TODAY(),2)),"도래",
 AND($AK312&lt;&gt;"", M312&lt;&gt;0, M312&lt;=EDATE(TODAY(),3)),"예정",
 AND($AK312&lt;&gt;"", M312&lt;&gt;0, M312&lt;=EDATE(TODAY(),6)),"관심",
 TRUE,""
)</f>
        <v/>
      </c>
      <c r="AM312" s="198">
        <f t="shared" si="10"/>
        <v>28</v>
      </c>
    </row>
    <row r="313" spans="1:39" ht="18" customHeight="1">
      <c r="A313" s="81"/>
      <c r="B313" s="205" t="str">
        <f>_xlfn.LET(_xlpm.var,◆관리정보!B313,IF(_xlpm.var&lt;&gt;0,_xlpm.var,""))</f>
        <v>더힐하우스101동</v>
      </c>
      <c r="C313" s="82">
        <f>_xlfn.LET(_xlpm.var,◆관리정보!C313,IF(_xlpm.var&lt;&gt;0,_xlpm.var,""))</f>
        <v>502</v>
      </c>
      <c r="D313" s="83" t="s">
        <v>1317</v>
      </c>
      <c r="E313" s="84" t="str">
        <f t="shared" si="9"/>
        <v>더힐하우스101동502</v>
      </c>
      <c r="F313" s="85">
        <v>46096</v>
      </c>
      <c r="G313" s="229"/>
      <c r="H313" s="229"/>
      <c r="I313" s="229"/>
      <c r="J313" s="229">
        <v>90000</v>
      </c>
      <c r="K313" s="218"/>
      <c r="L313" s="87">
        <v>15</v>
      </c>
      <c r="M313" s="87"/>
      <c r="N313" s="82"/>
      <c r="O313" s="82" t="s">
        <v>1318</v>
      </c>
      <c r="P313" s="241"/>
      <c r="Q313" s="241"/>
      <c r="R313" s="82"/>
      <c r="S313" s="241">
        <v>90000</v>
      </c>
      <c r="T313" s="82"/>
      <c r="U313" s="241"/>
      <c r="V313" s="82"/>
      <c r="W313" s="88"/>
      <c r="X313" s="82"/>
      <c r="Y313" s="89"/>
      <c r="Z313" s="82"/>
      <c r="AA313" s="220" t="s">
        <v>1319</v>
      </c>
      <c r="AB313" s="241"/>
      <c r="AC313" s="241"/>
      <c r="AD313" s="241"/>
      <c r="AE313" s="82"/>
      <c r="AF313" s="82"/>
      <c r="AG313" s="90"/>
      <c r="AH313" s="90"/>
      <c r="AI313" s="90"/>
      <c r="AJ313" s="90"/>
      <c r="AK313" s="82"/>
      <c r="AL313" s="82" t="str" cm="1">
        <f t="array" aca="1" ref="AL313" ca="1">_xlfn.IFS(
 AND($AK313&lt;&gt;"", M313&lt;&gt;0, M313&lt;=EDATE(TODAY(),2)),"도래",
 AND($AK313&lt;&gt;"", M313&lt;&gt;0, M313&lt;=EDATE(TODAY(),3)),"예정",
 AND($AK313&lt;&gt;"", M313&lt;&gt;0, M313&lt;=EDATE(TODAY(),6)),"관심",
 TRUE,""
)</f>
        <v/>
      </c>
      <c r="AM313" s="198">
        <f t="shared" si="10"/>
        <v>15</v>
      </c>
    </row>
    <row r="314" spans="1:39" ht="18" customHeight="1">
      <c r="A314" s="81"/>
      <c r="B314" s="205" t="str">
        <f>_xlfn.LET(_xlpm.var,◆관리정보!B314,IF(_xlpm.var&lt;&gt;0,_xlpm.var,""))</f>
        <v>더힐하우스101동</v>
      </c>
      <c r="C314" s="82">
        <f>_xlfn.LET(_xlpm.var,◆관리정보!C314,IF(_xlpm.var&lt;&gt;0,_xlpm.var,""))</f>
        <v>503</v>
      </c>
      <c r="D314" s="83" t="s">
        <v>1320</v>
      </c>
      <c r="E314" s="84" t="str">
        <f t="shared" si="9"/>
        <v>더힐하우스101동503</v>
      </c>
      <c r="F314" s="85">
        <v>46101</v>
      </c>
      <c r="G314" s="229"/>
      <c r="H314" s="229"/>
      <c r="I314" s="229"/>
      <c r="J314" s="229">
        <v>90000</v>
      </c>
      <c r="K314" s="218"/>
      <c r="L314" s="87">
        <v>46042</v>
      </c>
      <c r="M314" s="87"/>
      <c r="N314" s="82"/>
      <c r="O314" s="82" t="s">
        <v>1321</v>
      </c>
      <c r="P314" s="241"/>
      <c r="Q314" s="241"/>
      <c r="R314" s="82"/>
      <c r="S314" s="241">
        <v>90000</v>
      </c>
      <c r="T314" s="82"/>
      <c r="U314" s="241"/>
      <c r="V314" s="82"/>
      <c r="W314" s="88"/>
      <c r="X314" s="82"/>
      <c r="Y314" s="89"/>
      <c r="Z314" s="82"/>
      <c r="AA314" s="220" t="s">
        <v>1322</v>
      </c>
      <c r="AB314" s="241"/>
      <c r="AC314" s="241"/>
      <c r="AD314" s="241"/>
      <c r="AE314" s="82"/>
      <c r="AF314" s="82"/>
      <c r="AG314" s="90"/>
      <c r="AH314" s="90"/>
      <c r="AI314" s="90"/>
      <c r="AJ314" s="90"/>
      <c r="AK314" s="82"/>
      <c r="AL314" s="82" t="str" cm="1">
        <f t="array" aca="1" ref="AL314" ca="1">_xlfn.IFS(
 AND($AK314&lt;&gt;"", M314&lt;&gt;0, M314&lt;=EDATE(TODAY(),2)),"도래",
 AND($AK314&lt;&gt;"", M314&lt;&gt;0, M314&lt;=EDATE(TODAY(),3)),"예정",
 AND($AK314&lt;&gt;"", M314&lt;&gt;0, M314&lt;=EDATE(TODAY(),6)),"관심",
 TRUE,""
)</f>
        <v/>
      </c>
      <c r="AM314" s="198">
        <f t="shared" si="10"/>
        <v>20</v>
      </c>
    </row>
    <row r="315" spans="1:39" ht="18" customHeight="1">
      <c r="A315" s="81"/>
      <c r="B315" s="205" t="str">
        <f>_xlfn.LET(_xlpm.var,◆관리정보!B315,IF(_xlpm.var&lt;&gt;0,_xlpm.var,""))</f>
        <v>더힐하우스102동</v>
      </c>
      <c r="C315" s="82">
        <f>_xlfn.LET(_xlpm.var,◆관리정보!C315,IF(_xlpm.var&lt;&gt;0,_xlpm.var,""))</f>
        <v>201</v>
      </c>
      <c r="D315" s="83" t="s">
        <v>1323</v>
      </c>
      <c r="E315" s="84" t="str">
        <f t="shared" si="9"/>
        <v>더힐하우스102동201</v>
      </c>
      <c r="F315" s="85">
        <v>46052</v>
      </c>
      <c r="G315" s="229"/>
      <c r="H315" s="229">
        <v>90000</v>
      </c>
      <c r="I315" s="229"/>
      <c r="J315" s="229">
        <v>90000</v>
      </c>
      <c r="K315" s="218"/>
      <c r="L315" s="87">
        <v>46052</v>
      </c>
      <c r="M315" s="87"/>
      <c r="N315" s="82"/>
      <c r="O315" s="82" t="s">
        <v>1324</v>
      </c>
      <c r="P315" s="241"/>
      <c r="Q315" s="241"/>
      <c r="R315" s="82"/>
      <c r="S315" s="241">
        <v>90000</v>
      </c>
      <c r="T315" s="82"/>
      <c r="U315" s="241"/>
      <c r="V315" s="82"/>
      <c r="W315" s="88"/>
      <c r="X315" s="82"/>
      <c r="Y315" s="89"/>
      <c r="Z315" s="82"/>
      <c r="AA315" s="220"/>
      <c r="AB315" s="241"/>
      <c r="AC315" s="241"/>
      <c r="AD315" s="241"/>
      <c r="AE315" s="82"/>
      <c r="AF315" s="82"/>
      <c r="AG315" s="90"/>
      <c r="AH315" s="90"/>
      <c r="AI315" s="90" t="s">
        <v>1325</v>
      </c>
      <c r="AJ315" s="90"/>
      <c r="AK315" s="82"/>
      <c r="AL315" s="82" t="str" cm="1">
        <f t="array" aca="1" ref="AL315" ca="1">_xlfn.IFS(
 AND($AK315&lt;&gt;"", M315&lt;&gt;0, M315&lt;=EDATE(TODAY(),2)),"도래",
 AND($AK315&lt;&gt;"", M315&lt;&gt;0, M315&lt;=EDATE(TODAY(),3)),"예정",
 AND($AK315&lt;&gt;"", M315&lt;&gt;0, M315&lt;=EDATE(TODAY(),6)),"관심",
 TRUE,""
)</f>
        <v/>
      </c>
      <c r="AM315" s="198">
        <f t="shared" si="10"/>
        <v>30</v>
      </c>
    </row>
    <row r="316" spans="1:39" ht="18" customHeight="1">
      <c r="A316" s="81"/>
      <c r="B316" s="205" t="str">
        <f>_xlfn.LET(_xlpm.var,◆관리정보!B316,IF(_xlpm.var&lt;&gt;0,_xlpm.var,""))</f>
        <v>더힐하우스102동</v>
      </c>
      <c r="C316" s="82">
        <f>_xlfn.LET(_xlpm.var,◆관리정보!C316,IF(_xlpm.var&lt;&gt;0,_xlpm.var,""))</f>
        <v>202</v>
      </c>
      <c r="D316" s="83" t="s">
        <v>1326</v>
      </c>
      <c r="E316" s="84" t="str">
        <f t="shared" si="9"/>
        <v>더힐하우스102동202</v>
      </c>
      <c r="F316" s="85">
        <v>46082</v>
      </c>
      <c r="G316" s="229"/>
      <c r="H316" s="229"/>
      <c r="I316" s="229"/>
      <c r="J316" s="229">
        <v>90000</v>
      </c>
      <c r="K316" s="218"/>
      <c r="L316" s="87">
        <v>1</v>
      </c>
      <c r="M316" s="87"/>
      <c r="N316" s="82"/>
      <c r="O316" s="82" t="s">
        <v>1327</v>
      </c>
      <c r="P316" s="241"/>
      <c r="Q316" s="241"/>
      <c r="R316" s="82"/>
      <c r="S316" s="241">
        <v>90000</v>
      </c>
      <c r="T316" s="82"/>
      <c r="U316" s="241"/>
      <c r="V316" s="82"/>
      <c r="W316" s="88"/>
      <c r="X316" s="82"/>
      <c r="Y316" s="89"/>
      <c r="Z316" s="82"/>
      <c r="AA316" s="220" t="s">
        <v>1328</v>
      </c>
      <c r="AB316" s="241"/>
      <c r="AC316" s="241"/>
      <c r="AD316" s="241"/>
      <c r="AE316" s="82" t="s">
        <v>1329</v>
      </c>
      <c r="AF316" s="82"/>
      <c r="AG316" s="90"/>
      <c r="AH316" s="90"/>
      <c r="AI316" s="90"/>
      <c r="AJ316" s="90"/>
      <c r="AK316" s="82"/>
      <c r="AL316" s="82" t="str" cm="1">
        <f t="array" aca="1" ref="AL316" ca="1">_xlfn.IFS(
 AND($AK316&lt;&gt;"", M316&lt;&gt;0, M316&lt;=EDATE(TODAY(),2)),"도래",
 AND($AK316&lt;&gt;"", M316&lt;&gt;0, M316&lt;=EDATE(TODAY(),3)),"예정",
 AND($AK316&lt;&gt;"", M316&lt;&gt;0, M316&lt;=EDATE(TODAY(),6)),"관심",
 TRUE,""
)</f>
        <v/>
      </c>
      <c r="AM316" s="198">
        <f t="shared" si="10"/>
        <v>1</v>
      </c>
    </row>
    <row r="317" spans="1:39" ht="18" customHeight="1">
      <c r="A317" s="81"/>
      <c r="B317" s="205" t="str">
        <f>_xlfn.LET(_xlpm.var,◆관리정보!B317,IF(_xlpm.var&lt;&gt;0,_xlpm.var,""))</f>
        <v>더힐하우스102동</v>
      </c>
      <c r="C317" s="82">
        <f>_xlfn.LET(_xlpm.var,◆관리정보!C317,IF(_xlpm.var&lt;&gt;0,_xlpm.var,""))</f>
        <v>203</v>
      </c>
      <c r="D317" s="83" t="s">
        <v>1330</v>
      </c>
      <c r="E317" s="84" t="str">
        <f t="shared" si="9"/>
        <v>더힐하우스102동203</v>
      </c>
      <c r="F317" s="85">
        <v>46127</v>
      </c>
      <c r="G317" s="229"/>
      <c r="H317" s="229"/>
      <c r="I317" s="229"/>
      <c r="J317" s="229"/>
      <c r="K317" s="218"/>
      <c r="L317" s="87">
        <v>15</v>
      </c>
      <c r="M317" s="87"/>
      <c r="N317" s="82"/>
      <c r="O317" s="82" t="s">
        <v>1331</v>
      </c>
      <c r="P317" s="241" t="s">
        <v>1332</v>
      </c>
      <c r="Q317" s="241"/>
      <c r="R317" s="82"/>
      <c r="S317" s="241">
        <v>90000</v>
      </c>
      <c r="T317" s="82"/>
      <c r="U317" s="241"/>
      <c r="V317" s="82"/>
      <c r="W317" s="88"/>
      <c r="X317" s="82"/>
      <c r="Y317" s="89"/>
      <c r="Z317" s="82"/>
      <c r="AA317" s="220" t="s">
        <v>1333</v>
      </c>
      <c r="AB317" s="241"/>
      <c r="AC317" s="241"/>
      <c r="AD317" s="241"/>
      <c r="AE317" s="82" t="s">
        <v>1334</v>
      </c>
      <c r="AF317" s="82"/>
      <c r="AG317" s="90"/>
      <c r="AH317" s="90"/>
      <c r="AI317" s="90" t="s">
        <v>1335</v>
      </c>
      <c r="AJ317" s="90"/>
      <c r="AK317" s="82"/>
      <c r="AL317" s="82" t="str" cm="1">
        <f t="array" aca="1" ref="AL317" ca="1">_xlfn.IFS(
 AND($AK317&lt;&gt;"", M317&lt;&gt;0, M317&lt;=EDATE(TODAY(),2)),"도래",
 AND($AK317&lt;&gt;"", M317&lt;&gt;0, M317&lt;=EDATE(TODAY(),3)),"예정",
 AND($AK317&lt;&gt;"", M317&lt;&gt;0, M317&lt;=EDATE(TODAY(),6)),"관심",
 TRUE,""
)</f>
        <v/>
      </c>
      <c r="AM317" s="198">
        <f t="shared" si="10"/>
        <v>15</v>
      </c>
    </row>
    <row r="318" spans="1:39" ht="18" customHeight="1">
      <c r="A318" s="81"/>
      <c r="B318" s="205" t="str">
        <f>_xlfn.LET(_xlpm.var,◆관리정보!B318,IF(_xlpm.var&lt;&gt;0,_xlpm.var,""))</f>
        <v>더힐하우스102동</v>
      </c>
      <c r="C318" s="82">
        <f>_xlfn.LET(_xlpm.var,◆관리정보!C318,IF(_xlpm.var&lt;&gt;0,_xlpm.var,""))</f>
        <v>301</v>
      </c>
      <c r="D318" s="83" t="s">
        <v>1336</v>
      </c>
      <c r="E318" s="84" t="str">
        <f t="shared" si="9"/>
        <v>더힐하우스102동301</v>
      </c>
      <c r="F318" s="85">
        <v>46080</v>
      </c>
      <c r="G318" s="229"/>
      <c r="H318" s="229"/>
      <c r="I318" s="229"/>
      <c r="J318" s="229">
        <v>90000</v>
      </c>
      <c r="K318" s="218"/>
      <c r="L318" s="87">
        <v>27</v>
      </c>
      <c r="M318" s="87"/>
      <c r="N318" s="82"/>
      <c r="O318" s="82" t="s">
        <v>1337</v>
      </c>
      <c r="P318" s="241"/>
      <c r="Q318" s="241"/>
      <c r="R318" s="82"/>
      <c r="S318" s="241">
        <v>90000</v>
      </c>
      <c r="T318" s="82"/>
      <c r="U318" s="241"/>
      <c r="V318" s="82"/>
      <c r="W318" s="88"/>
      <c r="X318" s="82"/>
      <c r="Y318" s="89"/>
      <c r="Z318" s="82"/>
      <c r="AA318" s="220" t="s">
        <v>1338</v>
      </c>
      <c r="AB318" s="241"/>
      <c r="AC318" s="241"/>
      <c r="AD318" s="241"/>
      <c r="AE318" s="82"/>
      <c r="AF318" s="82"/>
      <c r="AG318" s="90"/>
      <c r="AH318" s="90"/>
      <c r="AI318" s="90"/>
      <c r="AJ318" s="90"/>
      <c r="AK318" s="82"/>
      <c r="AL318" s="82" t="str" cm="1">
        <f t="array" aca="1" ref="AL318" ca="1">_xlfn.IFS(
 AND($AK318&lt;&gt;"", M318&lt;&gt;0, M318&lt;=EDATE(TODAY(),2)),"도래",
 AND($AK318&lt;&gt;"", M318&lt;&gt;0, M318&lt;=EDATE(TODAY(),3)),"예정",
 AND($AK318&lt;&gt;"", M318&lt;&gt;0, M318&lt;=EDATE(TODAY(),6)),"관심",
 TRUE,""
)</f>
        <v/>
      </c>
      <c r="AM318" s="198">
        <f t="shared" si="10"/>
        <v>27</v>
      </c>
    </row>
    <row r="319" spans="1:39" ht="18" customHeight="1">
      <c r="A319" s="81"/>
      <c r="B319" s="205" t="str">
        <f>_xlfn.LET(_xlpm.var,◆관리정보!B319,IF(_xlpm.var&lt;&gt;0,_xlpm.var,""))</f>
        <v>더힐하우스102동</v>
      </c>
      <c r="C319" s="82">
        <f>_xlfn.LET(_xlpm.var,◆관리정보!C319,IF(_xlpm.var&lt;&gt;0,_xlpm.var,""))</f>
        <v>302</v>
      </c>
      <c r="D319" s="83" t="s">
        <v>1339</v>
      </c>
      <c r="E319" s="84" t="str">
        <f t="shared" si="9"/>
        <v>더힐하우스102동302</v>
      </c>
      <c r="F319" s="85">
        <v>46101</v>
      </c>
      <c r="G319" s="229"/>
      <c r="H319" s="229"/>
      <c r="I319" s="229"/>
      <c r="J319" s="229">
        <v>90000</v>
      </c>
      <c r="K319" s="218"/>
      <c r="L319" s="87">
        <v>20</v>
      </c>
      <c r="M319" s="87"/>
      <c r="N319" s="82"/>
      <c r="O319" s="82" t="s">
        <v>1340</v>
      </c>
      <c r="P319" s="241"/>
      <c r="Q319" s="241"/>
      <c r="R319" s="82"/>
      <c r="S319" s="241">
        <v>90000</v>
      </c>
      <c r="T319" s="82"/>
      <c r="U319" s="241"/>
      <c r="V319" s="82"/>
      <c r="W319" s="88"/>
      <c r="X319" s="82"/>
      <c r="Y319" s="89"/>
      <c r="Z319" s="82"/>
      <c r="AA319" s="220" t="s">
        <v>1341</v>
      </c>
      <c r="AB319" s="241"/>
      <c r="AC319" s="241"/>
      <c r="AD319" s="241"/>
      <c r="AE319" s="82"/>
      <c r="AF319" s="82"/>
      <c r="AG319" s="90"/>
      <c r="AH319" s="90"/>
      <c r="AI319" s="90" t="s">
        <v>1342</v>
      </c>
      <c r="AJ319" s="90"/>
      <c r="AK319" s="82"/>
      <c r="AL319" s="82" t="str" cm="1">
        <f t="array" aca="1" ref="AL319" ca="1">_xlfn.IFS(
 AND($AK319&lt;&gt;"", M319&lt;&gt;0, M319&lt;=EDATE(TODAY(),2)),"도래",
 AND($AK319&lt;&gt;"", M319&lt;&gt;0, M319&lt;=EDATE(TODAY(),3)),"예정",
 AND($AK319&lt;&gt;"", M319&lt;&gt;0, M319&lt;=EDATE(TODAY(),6)),"관심",
 TRUE,""
)</f>
        <v/>
      </c>
      <c r="AM319" s="198">
        <f t="shared" si="10"/>
        <v>20</v>
      </c>
    </row>
    <row r="320" spans="1:39" ht="18" customHeight="1">
      <c r="A320" s="81"/>
      <c r="B320" s="205" t="str">
        <f>_xlfn.LET(_xlpm.var,◆관리정보!B320,IF(_xlpm.var&lt;&gt;0,_xlpm.var,""))</f>
        <v>더힐하우스102동</v>
      </c>
      <c r="C320" s="82">
        <f>_xlfn.LET(_xlpm.var,◆관리정보!C320,IF(_xlpm.var&lt;&gt;0,_xlpm.var,""))</f>
        <v>303</v>
      </c>
      <c r="D320" s="83" t="s">
        <v>1343</v>
      </c>
      <c r="E320" s="84" t="str">
        <f t="shared" si="9"/>
        <v>더힐하우스102동303</v>
      </c>
      <c r="F320" s="85">
        <v>46115</v>
      </c>
      <c r="G320" s="229"/>
      <c r="H320" s="229"/>
      <c r="I320" s="229"/>
      <c r="J320" s="229"/>
      <c r="K320" s="218"/>
      <c r="L320" s="87">
        <v>46025</v>
      </c>
      <c r="M320" s="87"/>
      <c r="N320" s="82"/>
      <c r="O320" s="82" t="s">
        <v>1344</v>
      </c>
      <c r="P320" s="241"/>
      <c r="Q320" s="241"/>
      <c r="R320" s="82"/>
      <c r="S320" s="241">
        <v>90000</v>
      </c>
      <c r="T320" s="82"/>
      <c r="U320" s="241"/>
      <c r="V320" s="82"/>
      <c r="W320" s="88"/>
      <c r="X320" s="82"/>
      <c r="Y320" s="89"/>
      <c r="Z320" s="82"/>
      <c r="AA320" s="220" t="s">
        <v>1345</v>
      </c>
      <c r="AB320" s="241"/>
      <c r="AC320" s="241"/>
      <c r="AD320" s="241"/>
      <c r="AE320" s="82"/>
      <c r="AF320" s="82"/>
      <c r="AG320" s="90"/>
      <c r="AH320" s="90"/>
      <c r="AI320" s="90" t="s">
        <v>1346</v>
      </c>
      <c r="AJ320" s="90"/>
      <c r="AK320" s="82"/>
      <c r="AL320" s="82" t="str" cm="1">
        <f t="array" aca="1" ref="AL320" ca="1">_xlfn.IFS(
 AND($AK320&lt;&gt;"", M320&lt;&gt;0, M320&lt;=EDATE(TODAY(),2)),"도래",
 AND($AK320&lt;&gt;"", M320&lt;&gt;0, M320&lt;=EDATE(TODAY(),3)),"예정",
 AND($AK320&lt;&gt;"", M320&lt;&gt;0, M320&lt;=EDATE(TODAY(),6)),"관심",
 TRUE,""
)</f>
        <v/>
      </c>
      <c r="AM320" s="198">
        <f t="shared" si="10"/>
        <v>3</v>
      </c>
    </row>
    <row r="321" spans="1:39" ht="18" customHeight="1">
      <c r="A321" s="81"/>
      <c r="B321" s="205" t="str">
        <f>_xlfn.LET(_xlpm.var,◆관리정보!B321,IF(_xlpm.var&lt;&gt;0,_xlpm.var,""))</f>
        <v>더힐하우스102동</v>
      </c>
      <c r="C321" s="82">
        <f>_xlfn.LET(_xlpm.var,◆관리정보!C321,IF(_xlpm.var&lt;&gt;0,_xlpm.var,""))</f>
        <v>401</v>
      </c>
      <c r="D321" s="83" t="s">
        <v>1347</v>
      </c>
      <c r="E321" s="84" t="str">
        <f t="shared" si="9"/>
        <v>더힐하우스102동401</v>
      </c>
      <c r="F321" s="85">
        <v>45992</v>
      </c>
      <c r="G321" s="229"/>
      <c r="H321" s="229">
        <v>270000</v>
      </c>
      <c r="I321" s="229"/>
      <c r="J321" s="229">
        <v>90000</v>
      </c>
      <c r="K321" s="218"/>
      <c r="L321" s="87">
        <v>1</v>
      </c>
      <c r="M321" s="87"/>
      <c r="N321" s="82"/>
      <c r="O321" s="82" t="s">
        <v>1348</v>
      </c>
      <c r="P321" s="241"/>
      <c r="Q321" s="241"/>
      <c r="R321" s="82"/>
      <c r="S321" s="241">
        <v>90000</v>
      </c>
      <c r="T321" s="82"/>
      <c r="U321" s="241"/>
      <c r="V321" s="82"/>
      <c r="W321" s="88"/>
      <c r="X321" s="82"/>
      <c r="Y321" s="89"/>
      <c r="Z321" s="82"/>
      <c r="AA321" s="220" t="s">
        <v>1349</v>
      </c>
      <c r="AB321" s="241"/>
      <c r="AC321" s="241"/>
      <c r="AD321" s="241"/>
      <c r="AE321" s="82"/>
      <c r="AF321" s="82"/>
      <c r="AG321" s="90"/>
      <c r="AH321" s="90"/>
      <c r="AI321" s="90" t="s">
        <v>1342</v>
      </c>
      <c r="AJ321" s="90"/>
      <c r="AK321" s="82"/>
      <c r="AL321" s="82" t="str" cm="1">
        <f t="array" aca="1" ref="AL321" ca="1">_xlfn.IFS(
 AND($AK321&lt;&gt;"", M321&lt;&gt;0, M321&lt;=EDATE(TODAY(),2)),"도래",
 AND($AK321&lt;&gt;"", M321&lt;&gt;0, M321&lt;=EDATE(TODAY(),3)),"예정",
 AND($AK321&lt;&gt;"", M321&lt;&gt;0, M321&lt;=EDATE(TODAY(),6)),"관심",
 TRUE,""
)</f>
        <v/>
      </c>
      <c r="AM321" s="198">
        <f t="shared" si="10"/>
        <v>1</v>
      </c>
    </row>
    <row r="322" spans="1:39" ht="18" customHeight="1">
      <c r="A322" s="81"/>
      <c r="B322" s="205" t="str">
        <f>_xlfn.LET(_xlpm.var,◆관리정보!B322,IF(_xlpm.var&lt;&gt;0,_xlpm.var,""))</f>
        <v>더힐하우스102동</v>
      </c>
      <c r="C322" s="82">
        <f>_xlfn.LET(_xlpm.var,◆관리정보!C322,IF(_xlpm.var&lt;&gt;0,_xlpm.var,""))</f>
        <v>402</v>
      </c>
      <c r="D322" s="83" t="s">
        <v>1350</v>
      </c>
      <c r="E322" s="84" t="str">
        <f t="shared" si="9"/>
        <v>더힐하우스102동402</v>
      </c>
      <c r="F322" s="85">
        <v>45976</v>
      </c>
      <c r="G322" s="229"/>
      <c r="H322" s="229">
        <v>360000</v>
      </c>
      <c r="I322" s="229"/>
      <c r="J322" s="229">
        <v>90000</v>
      </c>
      <c r="K322" s="218"/>
      <c r="L322" s="87">
        <v>15</v>
      </c>
      <c r="M322" s="87"/>
      <c r="N322" s="82" t="s">
        <v>1351</v>
      </c>
      <c r="O322" s="82" t="s">
        <v>1352</v>
      </c>
      <c r="P322" s="241"/>
      <c r="Q322" s="241"/>
      <c r="R322" s="82"/>
      <c r="S322" s="241">
        <v>90000</v>
      </c>
      <c r="T322" s="82"/>
      <c r="U322" s="241"/>
      <c r="V322" s="82"/>
      <c r="W322" s="88"/>
      <c r="X322" s="82"/>
      <c r="Y322" s="89"/>
      <c r="Z322" s="82"/>
      <c r="AA322" s="220" t="s">
        <v>1353</v>
      </c>
      <c r="AB322" s="241"/>
      <c r="AC322" s="241"/>
      <c r="AD322" s="241"/>
      <c r="AE322" s="82"/>
      <c r="AF322" s="82"/>
      <c r="AG322" s="90"/>
      <c r="AH322" s="90"/>
      <c r="AI322" s="90" t="s">
        <v>1342</v>
      </c>
      <c r="AJ322" s="90"/>
      <c r="AK322" s="82"/>
      <c r="AL322" s="82" t="str" cm="1">
        <f t="array" aca="1" ref="AL322" ca="1">_xlfn.IFS(
 AND($AK322&lt;&gt;"", M322&lt;&gt;0, M322&lt;=EDATE(TODAY(),2)),"도래",
 AND($AK322&lt;&gt;"", M322&lt;&gt;0, M322&lt;=EDATE(TODAY(),3)),"예정",
 AND($AK322&lt;&gt;"", M322&lt;&gt;0, M322&lt;=EDATE(TODAY(),6)),"관심",
 TRUE,""
)</f>
        <v/>
      </c>
      <c r="AM322" s="198">
        <f t="shared" si="10"/>
        <v>15</v>
      </c>
    </row>
    <row r="323" spans="1:39" ht="18" customHeight="1">
      <c r="A323" s="81"/>
      <c r="B323" s="205" t="str">
        <f>_xlfn.LET(_xlpm.var,◆관리정보!B323,IF(_xlpm.var&lt;&gt;0,_xlpm.var,""))</f>
        <v>더힐하우스102동</v>
      </c>
      <c r="C323" s="82">
        <f>_xlfn.LET(_xlpm.var,◆관리정보!C323,IF(_xlpm.var&lt;&gt;0,_xlpm.var,""))</f>
        <v>403</v>
      </c>
      <c r="D323" s="83" t="s">
        <v>1354</v>
      </c>
      <c r="E323" s="84" t="str">
        <f t="shared" si="9"/>
        <v>더힐하우스102동403</v>
      </c>
      <c r="F323" s="85">
        <v>46113</v>
      </c>
      <c r="G323" s="229"/>
      <c r="H323" s="229"/>
      <c r="I323" s="229"/>
      <c r="J323" s="229">
        <v>-90000</v>
      </c>
      <c r="K323" s="218"/>
      <c r="L323" s="87">
        <v>1</v>
      </c>
      <c r="M323" s="87"/>
      <c r="N323" s="82"/>
      <c r="O323" s="82" t="s">
        <v>1355</v>
      </c>
      <c r="P323" s="241"/>
      <c r="Q323" s="241"/>
      <c r="R323" s="82"/>
      <c r="S323" s="241">
        <v>90000</v>
      </c>
      <c r="T323" s="82"/>
      <c r="U323" s="241"/>
      <c r="V323" s="82"/>
      <c r="W323" s="88"/>
      <c r="X323" s="82"/>
      <c r="Y323" s="89"/>
      <c r="Z323" s="82"/>
      <c r="AA323" s="220" t="s">
        <v>1356</v>
      </c>
      <c r="AB323" s="241"/>
      <c r="AC323" s="241"/>
      <c r="AD323" s="241"/>
      <c r="AE323" s="82"/>
      <c r="AF323" s="82"/>
      <c r="AG323" s="90"/>
      <c r="AH323" s="90"/>
      <c r="AI323" s="90" t="s">
        <v>1357</v>
      </c>
      <c r="AJ323" s="90"/>
      <c r="AK323" s="82"/>
      <c r="AL323" s="82" t="str" cm="1">
        <f t="array" aca="1" ref="AL323" ca="1">_xlfn.IFS(
 AND($AK323&lt;&gt;"", M323&lt;&gt;0, M323&lt;=EDATE(TODAY(),2)),"도래",
 AND($AK323&lt;&gt;"", M323&lt;&gt;0, M323&lt;=EDATE(TODAY(),3)),"예정",
 AND($AK323&lt;&gt;"", M323&lt;&gt;0, M323&lt;=EDATE(TODAY(),6)),"관심",
 TRUE,""
)</f>
        <v/>
      </c>
      <c r="AM323" s="198">
        <f t="shared" si="10"/>
        <v>1</v>
      </c>
    </row>
    <row r="324" spans="1:39" ht="18" customHeight="1">
      <c r="A324" s="81"/>
      <c r="B324" s="205" t="str">
        <f>_xlfn.LET(_xlpm.var,◆관리정보!B324,IF(_xlpm.var&lt;&gt;0,_xlpm.var,""))</f>
        <v>더힐하우스102동</v>
      </c>
      <c r="C324" s="82">
        <f>_xlfn.LET(_xlpm.var,◆관리정보!C324,IF(_xlpm.var&lt;&gt;0,_xlpm.var,""))</f>
        <v>501</v>
      </c>
      <c r="D324" s="83" t="s">
        <v>1358</v>
      </c>
      <c r="E324" s="84" t="str">
        <f t="shared" ref="E324:E387" si="11">_xlfn.CONCAT(B324,C324)</f>
        <v>더힐하우스102동501</v>
      </c>
      <c r="F324" s="85">
        <v>46108</v>
      </c>
      <c r="G324" s="229"/>
      <c r="H324" s="229"/>
      <c r="I324" s="229"/>
      <c r="J324" s="229"/>
      <c r="K324" s="218"/>
      <c r="L324" s="87">
        <v>27</v>
      </c>
      <c r="M324" s="87"/>
      <c r="N324" s="82" t="s">
        <v>1359</v>
      </c>
      <c r="O324" s="82" t="s">
        <v>1360</v>
      </c>
      <c r="P324" s="241"/>
      <c r="Q324" s="241"/>
      <c r="R324" s="82"/>
      <c r="S324" s="241">
        <v>90000</v>
      </c>
      <c r="T324" s="82"/>
      <c r="U324" s="241"/>
      <c r="V324" s="82"/>
      <c r="W324" s="88"/>
      <c r="X324" s="82"/>
      <c r="Y324" s="89"/>
      <c r="Z324" s="82"/>
      <c r="AA324" s="220" t="s">
        <v>1361</v>
      </c>
      <c r="AB324" s="241"/>
      <c r="AC324" s="241"/>
      <c r="AD324" s="241"/>
      <c r="AE324" s="82"/>
      <c r="AF324" s="82"/>
      <c r="AG324" s="90"/>
      <c r="AH324" s="90"/>
      <c r="AI324" s="90"/>
      <c r="AJ324" s="90"/>
      <c r="AK324" s="82"/>
      <c r="AL324" s="82" t="str" cm="1">
        <f t="array" aca="1" ref="AL324" ca="1">_xlfn.IFS(
 AND($AK324&lt;&gt;"", M324&lt;&gt;0, M324&lt;=EDATE(TODAY(),2)),"도래",
 AND($AK324&lt;&gt;"", M324&lt;&gt;0, M324&lt;=EDATE(TODAY(),3)),"예정",
 AND($AK324&lt;&gt;"", M324&lt;&gt;0, M324&lt;=EDATE(TODAY(),6)),"관심",
 TRUE,""
)</f>
        <v/>
      </c>
      <c r="AM324" s="198">
        <f t="shared" si="10"/>
        <v>27</v>
      </c>
    </row>
    <row r="325" spans="1:39" ht="18" customHeight="1">
      <c r="A325" s="81"/>
      <c r="B325" s="205" t="str">
        <f>_xlfn.LET(_xlpm.var,◆관리정보!B325,IF(_xlpm.var&lt;&gt;0,_xlpm.var,""))</f>
        <v>더힐하우스102동</v>
      </c>
      <c r="C325" s="82">
        <f>_xlfn.LET(_xlpm.var,◆관리정보!C325,IF(_xlpm.var&lt;&gt;0,_xlpm.var,""))</f>
        <v>502</v>
      </c>
      <c r="D325" s="83" t="s">
        <v>1362</v>
      </c>
      <c r="E325" s="84" t="str">
        <f t="shared" si="11"/>
        <v>더힐하우스102동502</v>
      </c>
      <c r="F325" s="85">
        <v>46080</v>
      </c>
      <c r="G325" s="229"/>
      <c r="H325" s="229"/>
      <c r="I325" s="229"/>
      <c r="J325" s="308">
        <f>90000-(90000-80000)</f>
        <v>80000</v>
      </c>
      <c r="K325" s="218"/>
      <c r="L325" s="87">
        <v>30</v>
      </c>
      <c r="M325" s="87"/>
      <c r="N325" s="82" t="s">
        <v>1363</v>
      </c>
      <c r="O325" s="82" t="s">
        <v>1364</v>
      </c>
      <c r="P325" s="241"/>
      <c r="Q325" s="241"/>
      <c r="R325" s="82"/>
      <c r="S325" s="241">
        <v>90000</v>
      </c>
      <c r="T325" s="82"/>
      <c r="U325" s="241"/>
      <c r="V325" s="82"/>
      <c r="W325" s="88"/>
      <c r="X325" s="82"/>
      <c r="Y325" s="89"/>
      <c r="Z325" s="82"/>
      <c r="AA325" s="220" t="s">
        <v>1365</v>
      </c>
      <c r="AB325" s="241"/>
      <c r="AC325" s="241"/>
      <c r="AD325" s="241"/>
      <c r="AE325" s="82"/>
      <c r="AF325" s="82"/>
      <c r="AG325" s="90"/>
      <c r="AH325" s="90"/>
      <c r="AI325" s="90" t="s">
        <v>1342</v>
      </c>
      <c r="AJ325" s="90"/>
      <c r="AK325" s="82"/>
      <c r="AL325" s="82" t="str" cm="1">
        <f t="array" aca="1" ref="AL325" ca="1">_xlfn.IFS(
 AND($AK325&lt;&gt;"", M325&lt;&gt;0, M325&lt;=EDATE(TODAY(),2)),"도래",
 AND($AK325&lt;&gt;"", M325&lt;&gt;0, M325&lt;=EDATE(TODAY(),3)),"예정",
 AND($AK325&lt;&gt;"", M325&lt;&gt;0, M325&lt;=EDATE(TODAY(),6)),"관심",
 TRUE,""
)</f>
        <v/>
      </c>
      <c r="AM325" s="198">
        <f t="shared" ref="AM325:AM388" si="12">DAY(L325)</f>
        <v>30</v>
      </c>
    </row>
    <row r="326" spans="1:39" ht="18" customHeight="1">
      <c r="A326" s="81"/>
      <c r="B326" s="205" t="str">
        <f>_xlfn.LET(_xlpm.var,◆관리정보!B326,IF(_xlpm.var&lt;&gt;0,_xlpm.var,""))</f>
        <v>더힐하우스102동</v>
      </c>
      <c r="C326" s="82">
        <f>_xlfn.LET(_xlpm.var,◆관리정보!C326,IF(_xlpm.var&lt;&gt;0,_xlpm.var,""))</f>
        <v>503</v>
      </c>
      <c r="D326" s="83" t="s">
        <v>1366</v>
      </c>
      <c r="E326" s="84" t="str">
        <f t="shared" si="11"/>
        <v>더힐하우스102동503</v>
      </c>
      <c r="F326" s="85">
        <v>45949</v>
      </c>
      <c r="G326" s="229"/>
      <c r="H326" s="229">
        <v>380000</v>
      </c>
      <c r="I326" s="229"/>
      <c r="J326" s="229">
        <v>90000</v>
      </c>
      <c r="K326" s="218"/>
      <c r="L326" s="87">
        <v>19</v>
      </c>
      <c r="M326" s="87"/>
      <c r="N326" s="82"/>
      <c r="O326" s="82" t="s">
        <v>1367</v>
      </c>
      <c r="P326" s="241"/>
      <c r="Q326" s="241"/>
      <c r="R326" s="82"/>
      <c r="S326" s="241">
        <v>90000</v>
      </c>
      <c r="T326" s="82"/>
      <c r="U326" s="241"/>
      <c r="V326" s="82"/>
      <c r="W326" s="88"/>
      <c r="X326" s="82"/>
      <c r="Y326" s="89"/>
      <c r="Z326" s="82"/>
      <c r="AA326" s="220" t="s">
        <v>1368</v>
      </c>
      <c r="AB326" s="241"/>
      <c r="AC326" s="241"/>
      <c r="AD326" s="241"/>
      <c r="AE326" s="82"/>
      <c r="AF326" s="82"/>
      <c r="AG326" s="90"/>
      <c r="AH326" s="90"/>
      <c r="AI326" s="90" t="s">
        <v>1369</v>
      </c>
      <c r="AJ326" s="90"/>
      <c r="AK326" s="82"/>
      <c r="AL326" s="82" t="str" cm="1">
        <f t="array" aca="1" ref="AL326" ca="1">_xlfn.IFS(
 AND($AK326&lt;&gt;"", M326&lt;&gt;0, M326&lt;=EDATE(TODAY(),2)),"도래",
 AND($AK326&lt;&gt;"", M326&lt;&gt;0, M326&lt;=EDATE(TODAY(),3)),"예정",
 AND($AK326&lt;&gt;"", M326&lt;&gt;0, M326&lt;=EDATE(TODAY(),6)),"관심",
 TRUE,""
)</f>
        <v/>
      </c>
      <c r="AM326" s="198">
        <f t="shared" si="12"/>
        <v>19</v>
      </c>
    </row>
    <row r="327" spans="1:39" ht="18" customHeight="1">
      <c r="A327" s="81"/>
      <c r="B327" s="205" t="str">
        <f>_xlfn.LET(_xlpm.var,◆관리정보!B327,IF(_xlpm.var&lt;&gt;0,_xlpm.var,""))</f>
        <v>더힐하우스103동</v>
      </c>
      <c r="C327" s="82">
        <f>_xlfn.LET(_xlpm.var,◆관리정보!C327,IF(_xlpm.var&lt;&gt;0,_xlpm.var,""))</f>
        <v>201</v>
      </c>
      <c r="D327" s="83" t="s">
        <v>1370</v>
      </c>
      <c r="E327" s="84" t="str">
        <f t="shared" si="11"/>
        <v>더힐하우스103동201</v>
      </c>
      <c r="F327" s="85">
        <v>46079</v>
      </c>
      <c r="G327" s="229"/>
      <c r="H327" s="229"/>
      <c r="I327" s="229"/>
      <c r="J327" s="229">
        <v>90000</v>
      </c>
      <c r="K327" s="218"/>
      <c r="L327" s="87">
        <v>26</v>
      </c>
      <c r="M327" s="87"/>
      <c r="N327" s="82"/>
      <c r="O327" s="82" t="s">
        <v>1371</v>
      </c>
      <c r="P327" s="241"/>
      <c r="Q327" s="241"/>
      <c r="R327" s="82"/>
      <c r="S327" s="241">
        <v>90000</v>
      </c>
      <c r="T327" s="82"/>
      <c r="U327" s="241"/>
      <c r="V327" s="82"/>
      <c r="W327" s="88"/>
      <c r="X327" s="82"/>
      <c r="Y327" s="89"/>
      <c r="Z327" s="82"/>
      <c r="AA327" s="220" t="s">
        <v>1372</v>
      </c>
      <c r="AB327" s="241"/>
      <c r="AC327" s="241"/>
      <c r="AD327" s="241"/>
      <c r="AE327" s="82"/>
      <c r="AF327" s="82"/>
      <c r="AG327" s="90"/>
      <c r="AH327" s="90"/>
      <c r="AI327" s="90" t="s">
        <v>1373</v>
      </c>
      <c r="AJ327" s="90"/>
      <c r="AK327" s="82"/>
      <c r="AL327" s="82" t="str" cm="1">
        <f t="array" aca="1" ref="AL327" ca="1">_xlfn.IFS(
 AND($AK327&lt;&gt;"", M327&lt;&gt;0, M327&lt;=EDATE(TODAY(),2)),"도래",
 AND($AK327&lt;&gt;"", M327&lt;&gt;0, M327&lt;=EDATE(TODAY(),3)),"예정",
 AND($AK327&lt;&gt;"", M327&lt;&gt;0, M327&lt;=EDATE(TODAY(),6)),"관심",
 TRUE,""
)</f>
        <v/>
      </c>
      <c r="AM327" s="198">
        <f t="shared" si="12"/>
        <v>26</v>
      </c>
    </row>
    <row r="328" spans="1:39" ht="18" customHeight="1">
      <c r="A328" s="81"/>
      <c r="B328" s="205" t="str">
        <f>_xlfn.LET(_xlpm.var,◆관리정보!B328,IF(_xlpm.var&lt;&gt;0,_xlpm.var,""))</f>
        <v>더힐하우스103동</v>
      </c>
      <c r="C328" s="82">
        <f>_xlfn.LET(_xlpm.var,◆관리정보!C328,IF(_xlpm.var&lt;&gt;0,_xlpm.var,""))</f>
        <v>202</v>
      </c>
      <c r="D328" s="83" t="s">
        <v>1374</v>
      </c>
      <c r="E328" s="84" t="str">
        <f t="shared" si="11"/>
        <v>더힐하우스103동202</v>
      </c>
      <c r="F328" s="85">
        <v>45870</v>
      </c>
      <c r="G328" s="229"/>
      <c r="H328" s="229">
        <v>630000</v>
      </c>
      <c r="I328" s="229"/>
      <c r="J328" s="229">
        <v>90000</v>
      </c>
      <c r="K328" s="218"/>
      <c r="L328" s="87">
        <v>1</v>
      </c>
      <c r="M328" s="87"/>
      <c r="N328" s="82"/>
      <c r="O328" s="82" t="s">
        <v>1375</v>
      </c>
      <c r="P328" s="241"/>
      <c r="Q328" s="241"/>
      <c r="R328" s="82"/>
      <c r="S328" s="241">
        <v>90000</v>
      </c>
      <c r="T328" s="82"/>
      <c r="U328" s="241"/>
      <c r="V328" s="82"/>
      <c r="W328" s="88"/>
      <c r="X328" s="82"/>
      <c r="Y328" s="89"/>
      <c r="Z328" s="82"/>
      <c r="AA328" s="220" t="s">
        <v>1376</v>
      </c>
      <c r="AB328" s="241"/>
      <c r="AC328" s="241"/>
      <c r="AD328" s="241"/>
      <c r="AE328" s="82"/>
      <c r="AF328" s="82"/>
      <c r="AG328" s="90"/>
      <c r="AH328" s="90"/>
      <c r="AI328" s="90" t="s">
        <v>1377</v>
      </c>
      <c r="AJ328" s="90"/>
      <c r="AK328" s="82"/>
      <c r="AL328" s="82" t="str" cm="1">
        <f t="array" aca="1" ref="AL328" ca="1">_xlfn.IFS(
 AND($AK328&lt;&gt;"", M328&lt;&gt;0, M328&lt;=EDATE(TODAY(),2)),"도래",
 AND($AK328&lt;&gt;"", M328&lt;&gt;0, M328&lt;=EDATE(TODAY(),3)),"예정",
 AND($AK328&lt;&gt;"", M328&lt;&gt;0, M328&lt;=EDATE(TODAY(),6)),"관심",
 TRUE,""
)</f>
        <v/>
      </c>
      <c r="AM328" s="198">
        <f t="shared" si="12"/>
        <v>1</v>
      </c>
    </row>
    <row r="329" spans="1:39" ht="18" customHeight="1">
      <c r="A329" s="81"/>
      <c r="B329" s="205" t="str">
        <f>_xlfn.LET(_xlpm.var,◆관리정보!B329,IF(_xlpm.var&lt;&gt;0,_xlpm.var,""))</f>
        <v>더힐하우스103동</v>
      </c>
      <c r="C329" s="82">
        <f>_xlfn.LET(_xlpm.var,◆관리정보!C329,IF(_xlpm.var&lt;&gt;0,_xlpm.var,""))</f>
        <v>301</v>
      </c>
      <c r="D329" s="83" t="s">
        <v>1378</v>
      </c>
      <c r="E329" s="84" t="str">
        <f t="shared" si="11"/>
        <v>더힐하우스103동301</v>
      </c>
      <c r="F329" s="85">
        <v>46108</v>
      </c>
      <c r="G329" s="229"/>
      <c r="H329" s="229"/>
      <c r="I329" s="229"/>
      <c r="J329" s="229"/>
      <c r="K329" s="218"/>
      <c r="L329" s="87">
        <v>27</v>
      </c>
      <c r="M329" s="87"/>
      <c r="N329" s="82" t="s">
        <v>1379</v>
      </c>
      <c r="O329" s="82" t="s">
        <v>1380</v>
      </c>
      <c r="P329" s="241"/>
      <c r="Q329" s="241"/>
      <c r="R329" s="82"/>
      <c r="S329" s="241">
        <v>90000</v>
      </c>
      <c r="T329" s="82"/>
      <c r="U329" s="241"/>
      <c r="V329" s="82"/>
      <c r="W329" s="88"/>
      <c r="X329" s="82"/>
      <c r="Y329" s="89"/>
      <c r="Z329" s="82"/>
      <c r="AA329" s="220" t="s">
        <v>1381</v>
      </c>
      <c r="AB329" s="241"/>
      <c r="AC329" s="241"/>
      <c r="AD329" s="241"/>
      <c r="AE329" s="82"/>
      <c r="AF329" s="82"/>
      <c r="AG329" s="90"/>
      <c r="AH329" s="90"/>
      <c r="AI329" s="90" t="s">
        <v>1342</v>
      </c>
      <c r="AJ329" s="90"/>
      <c r="AK329" s="82"/>
      <c r="AL329" s="82" t="str" cm="1">
        <f t="array" aca="1" ref="AL329" ca="1">_xlfn.IFS(
 AND($AK329&lt;&gt;"", M329&lt;&gt;0, M329&lt;=EDATE(TODAY(),2)),"도래",
 AND($AK329&lt;&gt;"", M329&lt;&gt;0, M329&lt;=EDATE(TODAY(),3)),"예정",
 AND($AK329&lt;&gt;"", M329&lt;&gt;0, M329&lt;=EDATE(TODAY(),6)),"관심",
 TRUE,""
)</f>
        <v/>
      </c>
      <c r="AM329" s="198">
        <f t="shared" si="12"/>
        <v>27</v>
      </c>
    </row>
    <row r="330" spans="1:39" ht="18" customHeight="1">
      <c r="A330" s="81"/>
      <c r="B330" s="205" t="str">
        <f>_xlfn.LET(_xlpm.var,◆관리정보!B330,IF(_xlpm.var&lt;&gt;0,_xlpm.var,""))</f>
        <v>더힐하우스103동</v>
      </c>
      <c r="C330" s="82">
        <f>_xlfn.LET(_xlpm.var,◆관리정보!C330,IF(_xlpm.var&lt;&gt;0,_xlpm.var,""))</f>
        <v>302</v>
      </c>
      <c r="D330" s="83" t="s">
        <v>1382</v>
      </c>
      <c r="E330" s="84" t="str">
        <f t="shared" si="11"/>
        <v>더힐하우스103동302</v>
      </c>
      <c r="F330" s="85">
        <v>46107</v>
      </c>
      <c r="G330" s="229"/>
      <c r="H330" s="229"/>
      <c r="I330" s="229"/>
      <c r="J330" s="229"/>
      <c r="K330" s="218"/>
      <c r="L330" s="87">
        <v>26</v>
      </c>
      <c r="M330" s="87"/>
      <c r="N330" s="82"/>
      <c r="O330" s="82" t="s">
        <v>1383</v>
      </c>
      <c r="P330" s="241"/>
      <c r="Q330" s="241"/>
      <c r="R330" s="82"/>
      <c r="S330" s="241">
        <v>90000</v>
      </c>
      <c r="T330" s="82"/>
      <c r="U330" s="241"/>
      <c r="V330" s="82"/>
      <c r="W330" s="88"/>
      <c r="X330" s="82"/>
      <c r="Y330" s="89"/>
      <c r="Z330" s="82"/>
      <c r="AA330" s="220" t="s">
        <v>1384</v>
      </c>
      <c r="AB330" s="241"/>
      <c r="AC330" s="241"/>
      <c r="AD330" s="241"/>
      <c r="AE330" s="82"/>
      <c r="AF330" s="82"/>
      <c r="AG330" s="90"/>
      <c r="AH330" s="90"/>
      <c r="AI330" s="90"/>
      <c r="AJ330" s="90"/>
      <c r="AK330" s="82"/>
      <c r="AL330" s="82" t="str" cm="1">
        <f t="array" aca="1" ref="AL330" ca="1">_xlfn.IFS(
 AND($AK330&lt;&gt;"", M330&lt;&gt;0, M330&lt;=EDATE(TODAY(),2)),"도래",
 AND($AK330&lt;&gt;"", M330&lt;&gt;0, M330&lt;=EDATE(TODAY(),3)),"예정",
 AND($AK330&lt;&gt;"", M330&lt;&gt;0, M330&lt;=EDATE(TODAY(),6)),"관심",
 TRUE,""
)</f>
        <v/>
      </c>
      <c r="AM330" s="198">
        <f t="shared" si="12"/>
        <v>26</v>
      </c>
    </row>
    <row r="331" spans="1:39" ht="18" customHeight="1">
      <c r="A331" s="81"/>
      <c r="B331" s="205" t="str">
        <f>_xlfn.LET(_xlpm.var,◆관리정보!B331,IF(_xlpm.var&lt;&gt;0,_xlpm.var,""))</f>
        <v>더힐하우스103동</v>
      </c>
      <c r="C331" s="82">
        <f>_xlfn.LET(_xlpm.var,◆관리정보!C331,IF(_xlpm.var&lt;&gt;0,_xlpm.var,""))</f>
        <v>401</v>
      </c>
      <c r="D331" s="83" t="s">
        <v>1385</v>
      </c>
      <c r="E331" s="84" t="str">
        <f t="shared" si="11"/>
        <v>더힐하우스103동401</v>
      </c>
      <c r="F331" s="85">
        <v>46109</v>
      </c>
      <c r="G331" s="229"/>
      <c r="H331" s="229"/>
      <c r="I331" s="229"/>
      <c r="J331" s="229"/>
      <c r="K331" s="218"/>
      <c r="L331" s="87">
        <v>28</v>
      </c>
      <c r="M331" s="87"/>
      <c r="N331" s="82"/>
      <c r="O331" s="82" t="s">
        <v>1386</v>
      </c>
      <c r="P331" s="241"/>
      <c r="Q331" s="241"/>
      <c r="R331" s="82"/>
      <c r="S331" s="241">
        <v>90000</v>
      </c>
      <c r="T331" s="82"/>
      <c r="U331" s="241"/>
      <c r="V331" s="82"/>
      <c r="W331" s="88"/>
      <c r="X331" s="82"/>
      <c r="Y331" s="89"/>
      <c r="Z331" s="82"/>
      <c r="AA331" s="220" t="s">
        <v>1387</v>
      </c>
      <c r="AB331" s="241"/>
      <c r="AC331" s="241"/>
      <c r="AD331" s="241"/>
      <c r="AE331" s="82"/>
      <c r="AF331" s="82"/>
      <c r="AG331" s="90"/>
      <c r="AH331" s="90"/>
      <c r="AI331" s="90" t="s">
        <v>1342</v>
      </c>
      <c r="AJ331" s="90"/>
      <c r="AK331" s="82"/>
      <c r="AL331" s="82" t="str" cm="1">
        <f t="array" aca="1" ref="AL331" ca="1">_xlfn.IFS(
 AND($AK331&lt;&gt;"", M331&lt;&gt;0, M331&lt;=EDATE(TODAY(),2)),"도래",
 AND($AK331&lt;&gt;"", M331&lt;&gt;0, M331&lt;=EDATE(TODAY(),3)),"예정",
 AND($AK331&lt;&gt;"", M331&lt;&gt;0, M331&lt;=EDATE(TODAY(),6)),"관심",
 TRUE,""
)</f>
        <v/>
      </c>
      <c r="AM331" s="198">
        <f t="shared" si="12"/>
        <v>28</v>
      </c>
    </row>
    <row r="332" spans="1:39" ht="18" customHeight="1">
      <c r="A332" s="81"/>
      <c r="B332" s="205" t="str">
        <f>_xlfn.LET(_xlpm.var,◆관리정보!B332,IF(_xlpm.var&lt;&gt;0,_xlpm.var,""))</f>
        <v>더힐하우스103동</v>
      </c>
      <c r="C332" s="82">
        <f>_xlfn.LET(_xlpm.var,◆관리정보!C332,IF(_xlpm.var&lt;&gt;0,_xlpm.var,""))</f>
        <v>402</v>
      </c>
      <c r="D332" s="83" t="s">
        <v>1388</v>
      </c>
      <c r="E332" s="84" t="str">
        <f t="shared" si="11"/>
        <v>더힐하우스103동402</v>
      </c>
      <c r="F332" s="85">
        <v>46116</v>
      </c>
      <c r="G332" s="229"/>
      <c r="H332" s="229"/>
      <c r="I332" s="229"/>
      <c r="J332" s="229"/>
      <c r="K332" s="218"/>
      <c r="L332" s="87">
        <v>4</v>
      </c>
      <c r="M332" s="87"/>
      <c r="N332" s="82" t="s">
        <v>1389</v>
      </c>
      <c r="O332" s="82" t="s">
        <v>1390</v>
      </c>
      <c r="P332" s="241" t="s">
        <v>1391</v>
      </c>
      <c r="Q332" s="241"/>
      <c r="R332" s="82"/>
      <c r="S332" s="241">
        <v>90000</v>
      </c>
      <c r="T332" s="82"/>
      <c r="U332" s="241"/>
      <c r="V332" s="82"/>
      <c r="W332" s="88"/>
      <c r="X332" s="82"/>
      <c r="Y332" s="89"/>
      <c r="Z332" s="82"/>
      <c r="AA332" s="220" t="s">
        <v>1392</v>
      </c>
      <c r="AB332" s="241"/>
      <c r="AC332" s="241"/>
      <c r="AD332" s="241"/>
      <c r="AE332" s="82" t="s">
        <v>1393</v>
      </c>
      <c r="AF332" s="82"/>
      <c r="AG332" s="90"/>
      <c r="AH332" s="90"/>
      <c r="AI332" s="90"/>
      <c r="AJ332" s="90"/>
      <c r="AK332" s="82"/>
      <c r="AL332" s="82" t="str" cm="1">
        <f t="array" aca="1" ref="AL332" ca="1">_xlfn.IFS(
 AND($AK332&lt;&gt;"", M332&lt;&gt;0, M332&lt;=EDATE(TODAY(),2)),"도래",
 AND($AK332&lt;&gt;"", M332&lt;&gt;0, M332&lt;=EDATE(TODAY(),3)),"예정",
 AND($AK332&lt;&gt;"", M332&lt;&gt;0, M332&lt;=EDATE(TODAY(),6)),"관심",
 TRUE,""
)</f>
        <v/>
      </c>
      <c r="AM332" s="198">
        <f t="shared" si="12"/>
        <v>4</v>
      </c>
    </row>
    <row r="333" spans="1:39" ht="18" customHeight="1">
      <c r="A333" s="81"/>
      <c r="B333" s="205" t="str">
        <f>_xlfn.LET(_xlpm.var,◆관리정보!B333,IF(_xlpm.var&lt;&gt;0,_xlpm.var,""))</f>
        <v>더힐하우스103동</v>
      </c>
      <c r="C333" s="82">
        <f>_xlfn.LET(_xlpm.var,◆관리정보!C333,IF(_xlpm.var&lt;&gt;0,_xlpm.var,""))</f>
        <v>501</v>
      </c>
      <c r="D333" s="83" t="s">
        <v>1394</v>
      </c>
      <c r="E333" s="84" t="str">
        <f t="shared" si="11"/>
        <v>더힐하우스103동501</v>
      </c>
      <c r="F333" s="85">
        <v>46123</v>
      </c>
      <c r="G333" s="229"/>
      <c r="H333" s="229"/>
      <c r="I333" s="229"/>
      <c r="J333" s="229"/>
      <c r="K333" s="318"/>
      <c r="L333" s="87">
        <v>11</v>
      </c>
      <c r="M333" s="87"/>
      <c r="N333" s="82"/>
      <c r="O333" s="82" t="s">
        <v>1395</v>
      </c>
      <c r="P333" s="241"/>
      <c r="Q333" s="241"/>
      <c r="R333" s="82"/>
      <c r="S333" s="241">
        <v>90000</v>
      </c>
      <c r="T333" s="82"/>
      <c r="U333" s="241"/>
      <c r="V333" s="82"/>
      <c r="W333" s="88"/>
      <c r="X333" s="82"/>
      <c r="Y333" s="89"/>
      <c r="Z333" s="82"/>
      <c r="AA333" s="220"/>
      <c r="AB333" s="241"/>
      <c r="AC333" s="241"/>
      <c r="AD333" s="241"/>
      <c r="AE333" s="82"/>
      <c r="AF333" s="82"/>
      <c r="AG333" s="90"/>
      <c r="AH333" s="90"/>
      <c r="AI333" s="90" t="s">
        <v>1342</v>
      </c>
      <c r="AJ333" s="90"/>
      <c r="AK333" s="82"/>
      <c r="AL333" s="82" t="str" cm="1">
        <f t="array" aca="1" ref="AL333" ca="1">_xlfn.IFS(
 AND($AK333&lt;&gt;"", M333&lt;&gt;0, M333&lt;=EDATE(TODAY(),2)),"도래",
 AND($AK333&lt;&gt;"", M333&lt;&gt;0, M333&lt;=EDATE(TODAY(),3)),"예정",
 AND($AK333&lt;&gt;"", M333&lt;&gt;0, M333&lt;=EDATE(TODAY(),6)),"관심",
 TRUE,""
)</f>
        <v/>
      </c>
      <c r="AM333" s="198">
        <f t="shared" si="12"/>
        <v>11</v>
      </c>
    </row>
    <row r="334" spans="1:39" ht="18" customHeight="1">
      <c r="A334" s="81"/>
      <c r="B334" s="205" t="str">
        <f>_xlfn.LET(_xlpm.var,◆관리정보!B334,IF(_xlpm.var&lt;&gt;0,_xlpm.var,""))</f>
        <v>더힐하우스103동</v>
      </c>
      <c r="C334" s="82">
        <f>_xlfn.LET(_xlpm.var,◆관리정보!C334,IF(_xlpm.var&lt;&gt;0,_xlpm.var,""))</f>
        <v>502</v>
      </c>
      <c r="D334" s="83" t="s">
        <v>1396</v>
      </c>
      <c r="E334" s="84" t="str">
        <f t="shared" si="11"/>
        <v>더힐하우스103동502</v>
      </c>
      <c r="F334" s="85">
        <v>46112</v>
      </c>
      <c r="G334" s="229"/>
      <c r="H334" s="229"/>
      <c r="I334" s="229"/>
      <c r="J334" s="229"/>
      <c r="K334" s="218"/>
      <c r="L334" s="87">
        <v>45230</v>
      </c>
      <c r="M334" s="87"/>
      <c r="N334" s="82" t="s">
        <v>1397</v>
      </c>
      <c r="O334" s="82" t="s">
        <v>1398</v>
      </c>
      <c r="P334" s="241"/>
      <c r="Q334" s="241"/>
      <c r="R334" s="82"/>
      <c r="S334" s="241">
        <v>90000</v>
      </c>
      <c r="T334" s="82"/>
      <c r="U334" s="241"/>
      <c r="V334" s="82"/>
      <c r="W334" s="88"/>
      <c r="X334" s="82"/>
      <c r="Y334" s="89"/>
      <c r="Z334" s="82"/>
      <c r="AA334" s="220"/>
      <c r="AB334" s="241"/>
      <c r="AC334" s="241"/>
      <c r="AD334" s="241"/>
      <c r="AE334" s="82"/>
      <c r="AF334" s="82"/>
      <c r="AG334" s="90"/>
      <c r="AH334" s="90"/>
      <c r="AI334" s="90"/>
      <c r="AJ334" s="90"/>
      <c r="AK334" s="82"/>
      <c r="AL334" s="82" t="str" cm="1">
        <f t="array" aca="1" ref="AL334" ca="1">_xlfn.IFS(
 AND($AK334&lt;&gt;"", M334&lt;&gt;0, M334&lt;=EDATE(TODAY(),2)),"도래",
 AND($AK334&lt;&gt;"", M334&lt;&gt;0, M334&lt;=EDATE(TODAY(),3)),"예정",
 AND($AK334&lt;&gt;"", M334&lt;&gt;0, M334&lt;=EDATE(TODAY(),6)),"관심",
 TRUE,""
)</f>
        <v/>
      </c>
      <c r="AM334" s="198">
        <f t="shared" si="12"/>
        <v>31</v>
      </c>
    </row>
    <row r="335" spans="1:39" ht="18" customHeight="1">
      <c r="A335" s="81"/>
      <c r="B335" s="205" t="str">
        <f>_xlfn.LET(_xlpm.var,◆관리정보!B335,IF(_xlpm.var&lt;&gt;0,_xlpm.var,""))</f>
        <v>더힐하우스104동</v>
      </c>
      <c r="C335" s="82">
        <f>_xlfn.LET(_xlpm.var,◆관리정보!C335,IF(_xlpm.var&lt;&gt;0,_xlpm.var,""))</f>
        <v>201</v>
      </c>
      <c r="D335" s="83" t="s">
        <v>1399</v>
      </c>
      <c r="E335" s="84" t="str">
        <f t="shared" si="11"/>
        <v>더힐하우스104동201</v>
      </c>
      <c r="F335" s="85">
        <v>46129</v>
      </c>
      <c r="G335" s="229"/>
      <c r="H335" s="229"/>
      <c r="I335" s="229"/>
      <c r="J335" s="229"/>
      <c r="K335" s="218"/>
      <c r="L335" s="87">
        <v>17</v>
      </c>
      <c r="M335" s="87"/>
      <c r="N335" s="82"/>
      <c r="O335" s="82" t="s">
        <v>1400</v>
      </c>
      <c r="P335" s="241"/>
      <c r="Q335" s="241"/>
      <c r="R335" s="82"/>
      <c r="S335" s="241">
        <v>90000</v>
      </c>
      <c r="T335" s="82"/>
      <c r="U335" s="241"/>
      <c r="V335" s="82"/>
      <c r="W335" s="88"/>
      <c r="X335" s="82"/>
      <c r="Y335" s="89"/>
      <c r="Z335" s="82"/>
      <c r="AA335" s="220" t="s">
        <v>1401</v>
      </c>
      <c r="AB335" s="241"/>
      <c r="AC335" s="241"/>
      <c r="AD335" s="241"/>
      <c r="AE335" s="82"/>
      <c r="AF335" s="82"/>
      <c r="AG335" s="90"/>
      <c r="AH335" s="90"/>
      <c r="AI335" s="90"/>
      <c r="AJ335" s="90"/>
      <c r="AK335" s="82"/>
      <c r="AL335" s="82" t="str" cm="1">
        <f t="array" aca="1" ref="AL335" ca="1">_xlfn.IFS(
 AND($AK335&lt;&gt;"", M335&lt;&gt;0, M335&lt;=EDATE(TODAY(),2)),"도래",
 AND($AK335&lt;&gt;"", M335&lt;&gt;0, M335&lt;=EDATE(TODAY(),3)),"예정",
 AND($AK335&lt;&gt;"", M335&lt;&gt;0, M335&lt;=EDATE(TODAY(),6)),"관심",
 TRUE,""
)</f>
        <v/>
      </c>
      <c r="AM335" s="198">
        <f t="shared" si="12"/>
        <v>17</v>
      </c>
    </row>
    <row r="336" spans="1:39" ht="18" customHeight="1">
      <c r="A336" s="81"/>
      <c r="B336" s="205" t="str">
        <f>_xlfn.LET(_xlpm.var,◆관리정보!B336,IF(_xlpm.var&lt;&gt;0,_xlpm.var,""))</f>
        <v>더힐하우스104동</v>
      </c>
      <c r="C336" s="82">
        <f>_xlfn.LET(_xlpm.var,◆관리정보!C336,IF(_xlpm.var&lt;&gt;0,_xlpm.var,""))</f>
        <v>202</v>
      </c>
      <c r="D336" s="83" t="s">
        <v>1402</v>
      </c>
      <c r="E336" s="84" t="str">
        <f t="shared" si="11"/>
        <v>더힐하우스104동202</v>
      </c>
      <c r="F336" s="85">
        <v>46100</v>
      </c>
      <c r="G336" s="229"/>
      <c r="H336" s="229"/>
      <c r="I336" s="229"/>
      <c r="J336" s="229">
        <v>90000</v>
      </c>
      <c r="K336" s="218"/>
      <c r="L336" s="87">
        <v>19</v>
      </c>
      <c r="M336" s="87"/>
      <c r="N336" s="82"/>
      <c r="O336" s="82" t="s">
        <v>1403</v>
      </c>
      <c r="P336" s="241"/>
      <c r="Q336" s="241"/>
      <c r="R336" s="82"/>
      <c r="S336" s="241">
        <v>90000</v>
      </c>
      <c r="T336" s="82"/>
      <c r="U336" s="241"/>
      <c r="V336" s="82"/>
      <c r="W336" s="88"/>
      <c r="X336" s="82"/>
      <c r="Y336" s="89"/>
      <c r="Z336" s="82"/>
      <c r="AA336" s="220" t="s">
        <v>1404</v>
      </c>
      <c r="AB336" s="241"/>
      <c r="AC336" s="241"/>
      <c r="AD336" s="241"/>
      <c r="AE336" s="82"/>
      <c r="AF336" s="82"/>
      <c r="AG336" s="90"/>
      <c r="AH336" s="90"/>
      <c r="AI336" s="90"/>
      <c r="AJ336" s="90"/>
      <c r="AK336" s="82"/>
      <c r="AL336" s="82" t="str" cm="1">
        <f t="array" aca="1" ref="AL336" ca="1">_xlfn.IFS(
 AND($AK336&lt;&gt;"", M336&lt;&gt;0, M336&lt;=EDATE(TODAY(),2)),"도래",
 AND($AK336&lt;&gt;"", M336&lt;&gt;0, M336&lt;=EDATE(TODAY(),3)),"예정",
 AND($AK336&lt;&gt;"", M336&lt;&gt;0, M336&lt;=EDATE(TODAY(),6)),"관심",
 TRUE,""
)</f>
        <v/>
      </c>
      <c r="AM336" s="198">
        <f t="shared" si="12"/>
        <v>19</v>
      </c>
    </row>
    <row r="337" spans="1:39" ht="18" customHeight="1">
      <c r="A337" s="81"/>
      <c r="B337" s="205" t="str">
        <f>_xlfn.LET(_xlpm.var,◆관리정보!B337,IF(_xlpm.var&lt;&gt;0,_xlpm.var,""))</f>
        <v>더힐하우스104동</v>
      </c>
      <c r="C337" s="82">
        <f>_xlfn.LET(_xlpm.var,◆관리정보!C337,IF(_xlpm.var&lt;&gt;0,_xlpm.var,""))</f>
        <v>203</v>
      </c>
      <c r="D337" s="83" t="s">
        <v>1405</v>
      </c>
      <c r="E337" s="84" t="str">
        <f t="shared" si="11"/>
        <v>더힐하우스104동203</v>
      </c>
      <c r="F337" s="85">
        <v>46106</v>
      </c>
      <c r="G337" s="229"/>
      <c r="H337" s="229"/>
      <c r="I337" s="229"/>
      <c r="J337" s="229">
        <v>90000</v>
      </c>
      <c r="K337" s="218"/>
      <c r="L337" s="87">
        <v>25</v>
      </c>
      <c r="M337" s="87"/>
      <c r="N337" s="82"/>
      <c r="O337" s="82" t="s">
        <v>1406</v>
      </c>
      <c r="P337" s="241"/>
      <c r="Q337" s="241"/>
      <c r="R337" s="82"/>
      <c r="S337" s="241">
        <v>90000</v>
      </c>
      <c r="T337" s="82"/>
      <c r="U337" s="241"/>
      <c r="V337" s="82"/>
      <c r="W337" s="88"/>
      <c r="X337" s="82"/>
      <c r="Y337" s="89"/>
      <c r="Z337" s="82"/>
      <c r="AA337" s="220" t="s">
        <v>1407</v>
      </c>
      <c r="AB337" s="241"/>
      <c r="AC337" s="241"/>
      <c r="AD337" s="241"/>
      <c r="AE337" s="82"/>
      <c r="AF337" s="82"/>
      <c r="AG337" s="90"/>
      <c r="AH337" s="90"/>
      <c r="AI337" s="90"/>
      <c r="AJ337" s="90"/>
      <c r="AK337" s="82"/>
      <c r="AL337" s="82" t="str" cm="1">
        <f t="array" aca="1" ref="AL337" ca="1">_xlfn.IFS(
 AND($AK337&lt;&gt;"", M337&lt;&gt;0, M337&lt;=EDATE(TODAY(),2)),"도래",
 AND($AK337&lt;&gt;"", M337&lt;&gt;0, M337&lt;=EDATE(TODAY(),3)),"예정",
 AND($AK337&lt;&gt;"", M337&lt;&gt;0, M337&lt;=EDATE(TODAY(),6)),"관심",
 TRUE,""
)</f>
        <v/>
      </c>
      <c r="AM337" s="198">
        <f t="shared" si="12"/>
        <v>25</v>
      </c>
    </row>
    <row r="338" spans="1:39" ht="18" customHeight="1">
      <c r="A338" s="81"/>
      <c r="B338" s="205" t="str">
        <f>_xlfn.LET(_xlpm.var,◆관리정보!B338,IF(_xlpm.var&lt;&gt;0,_xlpm.var,""))</f>
        <v>더힐하우스104동</v>
      </c>
      <c r="C338" s="82">
        <f>_xlfn.LET(_xlpm.var,◆관리정보!C338,IF(_xlpm.var&lt;&gt;0,_xlpm.var,""))</f>
        <v>301</v>
      </c>
      <c r="D338" s="83" t="s">
        <v>1408</v>
      </c>
      <c r="E338" s="84" t="str">
        <f t="shared" si="11"/>
        <v>더힐하우스104동301</v>
      </c>
      <c r="F338" s="85">
        <v>46108</v>
      </c>
      <c r="G338" s="229"/>
      <c r="H338" s="229"/>
      <c r="I338" s="229"/>
      <c r="J338" s="229"/>
      <c r="K338" s="218"/>
      <c r="L338" s="87">
        <v>27</v>
      </c>
      <c r="M338" s="87"/>
      <c r="N338" s="82"/>
      <c r="O338" s="82" t="s">
        <v>1409</v>
      </c>
      <c r="P338" s="241"/>
      <c r="Q338" s="241"/>
      <c r="R338" s="82"/>
      <c r="S338" s="241">
        <v>90000</v>
      </c>
      <c r="T338" s="82"/>
      <c r="U338" s="241"/>
      <c r="V338" s="82"/>
      <c r="W338" s="88"/>
      <c r="X338" s="82"/>
      <c r="Y338" s="89"/>
      <c r="Z338" s="82"/>
      <c r="AA338" s="220" t="s">
        <v>1410</v>
      </c>
      <c r="AB338" s="241"/>
      <c r="AC338" s="241"/>
      <c r="AD338" s="241"/>
      <c r="AE338" s="82"/>
      <c r="AF338" s="82"/>
      <c r="AG338" s="90"/>
      <c r="AH338" s="90"/>
      <c r="AI338" s="90"/>
      <c r="AJ338" s="90"/>
      <c r="AK338" s="82"/>
      <c r="AL338" s="82" t="str" cm="1">
        <f t="array" aca="1" ref="AL338" ca="1">_xlfn.IFS(
 AND($AK338&lt;&gt;"", M338&lt;&gt;0, M338&lt;=EDATE(TODAY(),2)),"도래",
 AND($AK338&lt;&gt;"", M338&lt;&gt;0, M338&lt;=EDATE(TODAY(),3)),"예정",
 AND($AK338&lt;&gt;"", M338&lt;&gt;0, M338&lt;=EDATE(TODAY(),6)),"관심",
 TRUE,""
)</f>
        <v/>
      </c>
      <c r="AM338" s="198">
        <f t="shared" si="12"/>
        <v>27</v>
      </c>
    </row>
    <row r="339" spans="1:39" ht="18" customHeight="1">
      <c r="A339" s="81"/>
      <c r="B339" s="205" t="str">
        <f>_xlfn.LET(_xlpm.var,◆관리정보!B339,IF(_xlpm.var&lt;&gt;0,_xlpm.var,""))</f>
        <v>더힐하우스104동</v>
      </c>
      <c r="C339" s="82">
        <f>_xlfn.LET(_xlpm.var,◆관리정보!C339,IF(_xlpm.var&lt;&gt;0,_xlpm.var,""))</f>
        <v>302</v>
      </c>
      <c r="D339" s="83" t="s">
        <v>1411</v>
      </c>
      <c r="E339" s="84" t="str">
        <f t="shared" si="11"/>
        <v>더힐하우스104동302</v>
      </c>
      <c r="F339" s="85">
        <v>46109</v>
      </c>
      <c r="G339" s="229"/>
      <c r="H339" s="229"/>
      <c r="I339" s="229"/>
      <c r="J339" s="229"/>
      <c r="K339" s="218"/>
      <c r="L339" s="87">
        <v>30</v>
      </c>
      <c r="M339" s="87"/>
      <c r="N339" s="82"/>
      <c r="O339" s="82" t="s">
        <v>1412</v>
      </c>
      <c r="P339" s="241"/>
      <c r="Q339" s="241"/>
      <c r="R339" s="82"/>
      <c r="S339" s="241">
        <v>90000</v>
      </c>
      <c r="T339" s="82"/>
      <c r="U339" s="241"/>
      <c r="V339" s="82"/>
      <c r="W339" s="88"/>
      <c r="X339" s="82"/>
      <c r="Y339" s="89"/>
      <c r="Z339" s="82"/>
      <c r="AA339" s="220" t="s">
        <v>1413</v>
      </c>
      <c r="AB339" s="241"/>
      <c r="AC339" s="241"/>
      <c r="AD339" s="241"/>
      <c r="AE339" s="82"/>
      <c r="AF339" s="82"/>
      <c r="AG339" s="90"/>
      <c r="AH339" s="90"/>
      <c r="AI339" s="90" t="s">
        <v>1342</v>
      </c>
      <c r="AJ339" s="90"/>
      <c r="AK339" s="82"/>
      <c r="AL339" s="82" t="str" cm="1">
        <f t="array" aca="1" ref="AL339" ca="1">_xlfn.IFS(
 AND($AK339&lt;&gt;"", M339&lt;&gt;0, M339&lt;=EDATE(TODAY(),2)),"도래",
 AND($AK339&lt;&gt;"", M339&lt;&gt;0, M339&lt;=EDATE(TODAY(),3)),"예정",
 AND($AK339&lt;&gt;"", M339&lt;&gt;0, M339&lt;=EDATE(TODAY(),6)),"관심",
 TRUE,""
)</f>
        <v/>
      </c>
      <c r="AM339" s="198">
        <f t="shared" si="12"/>
        <v>30</v>
      </c>
    </row>
    <row r="340" spans="1:39" ht="18" customHeight="1">
      <c r="A340" s="81"/>
      <c r="B340" s="205" t="str">
        <f>_xlfn.LET(_xlpm.var,◆관리정보!B340,IF(_xlpm.var&lt;&gt;0,_xlpm.var,""))</f>
        <v>더힐하우스104동</v>
      </c>
      <c r="C340" s="82">
        <f>_xlfn.LET(_xlpm.var,◆관리정보!C340,IF(_xlpm.var&lt;&gt;0,_xlpm.var,""))</f>
        <v>303</v>
      </c>
      <c r="D340" s="83" t="s">
        <v>1414</v>
      </c>
      <c r="E340" s="84" t="str">
        <f t="shared" si="11"/>
        <v>더힐하우스104동303</v>
      </c>
      <c r="F340" s="85">
        <v>46109</v>
      </c>
      <c r="G340" s="229"/>
      <c r="H340" s="229"/>
      <c r="I340" s="229"/>
      <c r="J340" s="229"/>
      <c r="K340" s="218"/>
      <c r="L340" s="87">
        <v>28</v>
      </c>
      <c r="M340" s="87"/>
      <c r="N340" s="82"/>
      <c r="O340" s="82" t="s">
        <v>1415</v>
      </c>
      <c r="P340" s="241"/>
      <c r="Q340" s="241"/>
      <c r="R340" s="82"/>
      <c r="S340" s="241">
        <v>90000</v>
      </c>
      <c r="T340" s="82"/>
      <c r="U340" s="241"/>
      <c r="V340" s="82"/>
      <c r="W340" s="88"/>
      <c r="X340" s="82"/>
      <c r="Y340" s="89"/>
      <c r="Z340" s="82"/>
      <c r="AA340" s="220" t="s">
        <v>1416</v>
      </c>
      <c r="AB340" s="241"/>
      <c r="AC340" s="241"/>
      <c r="AD340" s="241"/>
      <c r="AE340" s="82"/>
      <c r="AF340" s="82"/>
      <c r="AG340" s="90"/>
      <c r="AH340" s="90"/>
      <c r="AI340" s="90"/>
      <c r="AJ340" s="90"/>
      <c r="AK340" s="82"/>
      <c r="AL340" s="82" t="str" cm="1">
        <f t="array" aca="1" ref="AL340" ca="1">_xlfn.IFS(
 AND($AK340&lt;&gt;"", M340&lt;&gt;0, M340&lt;=EDATE(TODAY(),2)),"도래",
 AND($AK340&lt;&gt;"", M340&lt;&gt;0, M340&lt;=EDATE(TODAY(),3)),"예정",
 AND($AK340&lt;&gt;"", M340&lt;&gt;0, M340&lt;=EDATE(TODAY(),6)),"관심",
 TRUE,""
)</f>
        <v/>
      </c>
      <c r="AM340" s="198">
        <f t="shared" si="12"/>
        <v>28</v>
      </c>
    </row>
    <row r="341" spans="1:39" ht="18" customHeight="1">
      <c r="A341" s="81"/>
      <c r="B341" s="205" t="str">
        <f>_xlfn.LET(_xlpm.var,◆관리정보!B341,IF(_xlpm.var&lt;&gt;0,_xlpm.var,""))</f>
        <v>더힐하우스104동</v>
      </c>
      <c r="C341" s="82">
        <f>_xlfn.LET(_xlpm.var,◆관리정보!C341,IF(_xlpm.var&lt;&gt;0,_xlpm.var,""))</f>
        <v>401</v>
      </c>
      <c r="D341" s="83" t="s">
        <v>1417</v>
      </c>
      <c r="E341" s="84" t="str">
        <f t="shared" si="11"/>
        <v>더힐하우스104동401</v>
      </c>
      <c r="F341" s="85">
        <v>46082</v>
      </c>
      <c r="G341" s="229"/>
      <c r="H341" s="229"/>
      <c r="I341" s="229"/>
      <c r="J341" s="229">
        <f>90000-(90000-60000)</f>
        <v>60000</v>
      </c>
      <c r="K341" s="218"/>
      <c r="L341" s="87">
        <v>1</v>
      </c>
      <c r="M341" s="87"/>
      <c r="N341" s="82"/>
      <c r="O341" s="82" t="s">
        <v>1418</v>
      </c>
      <c r="P341" s="241"/>
      <c r="Q341" s="241"/>
      <c r="R341" s="82"/>
      <c r="S341" s="241">
        <v>90000</v>
      </c>
      <c r="T341" s="82"/>
      <c r="U341" s="241"/>
      <c r="V341" s="82"/>
      <c r="W341" s="88"/>
      <c r="X341" s="82"/>
      <c r="Y341" s="89"/>
      <c r="Z341" s="82"/>
      <c r="AA341" s="220" t="s">
        <v>1419</v>
      </c>
      <c r="AB341" s="241"/>
      <c r="AC341" s="241"/>
      <c r="AD341" s="241"/>
      <c r="AE341" s="82"/>
      <c r="AF341" s="82"/>
      <c r="AG341" s="90"/>
      <c r="AH341" s="90"/>
      <c r="AI341" s="90" t="s">
        <v>1342</v>
      </c>
      <c r="AJ341" s="90"/>
      <c r="AK341" s="82"/>
      <c r="AL341" s="82" t="str" cm="1">
        <f t="array" aca="1" ref="AL341" ca="1">_xlfn.IFS(
 AND($AK341&lt;&gt;"", M341&lt;&gt;0, M341&lt;=EDATE(TODAY(),2)),"도래",
 AND($AK341&lt;&gt;"", M341&lt;&gt;0, M341&lt;=EDATE(TODAY(),3)),"예정",
 AND($AK341&lt;&gt;"", M341&lt;&gt;0, M341&lt;=EDATE(TODAY(),6)),"관심",
 TRUE,""
)</f>
        <v/>
      </c>
      <c r="AM341" s="198">
        <f t="shared" si="12"/>
        <v>1</v>
      </c>
    </row>
    <row r="342" spans="1:39" ht="18" customHeight="1">
      <c r="A342" s="81"/>
      <c r="B342" s="205" t="str">
        <f>_xlfn.LET(_xlpm.var,◆관리정보!B342,IF(_xlpm.var&lt;&gt;0,_xlpm.var,""))</f>
        <v>더힐하우스104동</v>
      </c>
      <c r="C342" s="82">
        <f>_xlfn.LET(_xlpm.var,◆관리정보!C342,IF(_xlpm.var&lt;&gt;0,_xlpm.var,""))</f>
        <v>402</v>
      </c>
      <c r="D342" s="83" t="s">
        <v>1420</v>
      </c>
      <c r="E342" s="84" t="str">
        <f t="shared" si="11"/>
        <v>더힐하우스104동402</v>
      </c>
      <c r="F342" s="85">
        <v>46122</v>
      </c>
      <c r="G342" s="229"/>
      <c r="H342" s="229"/>
      <c r="I342" s="229"/>
      <c r="J342" s="229"/>
      <c r="K342" s="318"/>
      <c r="L342" s="87">
        <v>10</v>
      </c>
      <c r="M342" s="87"/>
      <c r="N342" s="82"/>
      <c r="O342" s="82" t="s">
        <v>1421</v>
      </c>
      <c r="P342" s="241"/>
      <c r="Q342" s="241"/>
      <c r="R342" s="82"/>
      <c r="S342" s="241">
        <v>90000</v>
      </c>
      <c r="T342" s="82"/>
      <c r="U342" s="241"/>
      <c r="V342" s="82"/>
      <c r="W342" s="88"/>
      <c r="X342" s="82"/>
      <c r="Y342" s="89"/>
      <c r="Z342" s="82"/>
      <c r="AA342" s="220" t="s">
        <v>1422</v>
      </c>
      <c r="AB342" s="241"/>
      <c r="AC342" s="241"/>
      <c r="AD342" s="241"/>
      <c r="AE342" s="82"/>
      <c r="AF342" s="82"/>
      <c r="AG342" s="90"/>
      <c r="AH342" s="90"/>
      <c r="AI342" s="90"/>
      <c r="AJ342" s="90"/>
      <c r="AK342" s="82"/>
      <c r="AL342" s="82" t="str" cm="1">
        <f t="array" aca="1" ref="AL342" ca="1">_xlfn.IFS(
 AND($AK342&lt;&gt;"", M342&lt;&gt;0, M342&lt;=EDATE(TODAY(),2)),"도래",
 AND($AK342&lt;&gt;"", M342&lt;&gt;0, M342&lt;=EDATE(TODAY(),3)),"예정",
 AND($AK342&lt;&gt;"", M342&lt;&gt;0, M342&lt;=EDATE(TODAY(),6)),"관심",
 TRUE,""
)</f>
        <v/>
      </c>
      <c r="AM342" s="198">
        <f t="shared" si="12"/>
        <v>10</v>
      </c>
    </row>
    <row r="343" spans="1:39" ht="18" customHeight="1">
      <c r="A343" s="81"/>
      <c r="B343" s="205" t="str">
        <f>_xlfn.LET(_xlpm.var,◆관리정보!B343,IF(_xlpm.var&lt;&gt;0,_xlpm.var,""))</f>
        <v>더힐하우스104동</v>
      </c>
      <c r="C343" s="82">
        <f>_xlfn.LET(_xlpm.var,◆관리정보!C343,IF(_xlpm.var&lt;&gt;0,_xlpm.var,""))</f>
        <v>403</v>
      </c>
      <c r="D343" s="83" t="s">
        <v>1423</v>
      </c>
      <c r="E343" s="84" t="str">
        <f t="shared" si="11"/>
        <v>더힐하우스104동403</v>
      </c>
      <c r="F343" s="85">
        <v>46109</v>
      </c>
      <c r="G343" s="229"/>
      <c r="H343" s="229"/>
      <c r="I343" s="229"/>
      <c r="J343" s="229"/>
      <c r="K343" s="218"/>
      <c r="L343" s="87">
        <v>45989</v>
      </c>
      <c r="M343" s="87"/>
      <c r="N343" s="82"/>
      <c r="O343" s="82" t="s">
        <v>1424</v>
      </c>
      <c r="P343" s="241"/>
      <c r="Q343" s="241"/>
      <c r="R343" s="82"/>
      <c r="S343" s="241">
        <v>90000</v>
      </c>
      <c r="T343" s="82"/>
      <c r="U343" s="241"/>
      <c r="V343" s="82"/>
      <c r="W343" s="88"/>
      <c r="X343" s="82"/>
      <c r="Y343" s="89"/>
      <c r="Z343" s="82"/>
      <c r="AA343" s="220" t="s">
        <v>1425</v>
      </c>
      <c r="AB343" s="241"/>
      <c r="AC343" s="241"/>
      <c r="AD343" s="241"/>
      <c r="AE343" s="82"/>
      <c r="AF343" s="82"/>
      <c r="AG343" s="90"/>
      <c r="AH343" s="90"/>
      <c r="AI343" s="90"/>
      <c r="AJ343" s="90"/>
      <c r="AK343" s="82"/>
      <c r="AL343" s="82" t="str" cm="1">
        <f t="array" aca="1" ref="AL343" ca="1">_xlfn.IFS(
 AND($AK343&lt;&gt;"", M343&lt;&gt;0, M343&lt;=EDATE(TODAY(),2)),"도래",
 AND($AK343&lt;&gt;"", M343&lt;&gt;0, M343&lt;=EDATE(TODAY(),3)),"예정",
 AND($AK343&lt;&gt;"", M343&lt;&gt;0, M343&lt;=EDATE(TODAY(),6)),"관심",
 TRUE,""
)</f>
        <v/>
      </c>
      <c r="AM343" s="198">
        <f t="shared" si="12"/>
        <v>28</v>
      </c>
    </row>
    <row r="344" spans="1:39" ht="18" customHeight="1">
      <c r="A344" s="81"/>
      <c r="B344" s="205" t="str">
        <f>_xlfn.LET(_xlpm.var,◆관리정보!B344,IF(_xlpm.var&lt;&gt;0,_xlpm.var,""))</f>
        <v>더힐하우스104동</v>
      </c>
      <c r="C344" s="82">
        <f>_xlfn.LET(_xlpm.var,◆관리정보!C344,IF(_xlpm.var&lt;&gt;0,_xlpm.var,""))</f>
        <v>501</v>
      </c>
      <c r="D344" s="83" t="s">
        <v>1426</v>
      </c>
      <c r="E344" s="84" t="str">
        <f t="shared" si="11"/>
        <v>더힐하우스104동501</v>
      </c>
      <c r="F344" s="85">
        <v>46102</v>
      </c>
      <c r="G344" s="229"/>
      <c r="H344" s="229"/>
      <c r="I344" s="229"/>
      <c r="J344" s="229">
        <v>90000</v>
      </c>
      <c r="K344" s="218"/>
      <c r="L344" s="87">
        <v>21</v>
      </c>
      <c r="M344" s="87"/>
      <c r="N344" s="82"/>
      <c r="O344" s="82" t="s">
        <v>1427</v>
      </c>
      <c r="P344" s="241"/>
      <c r="Q344" s="241"/>
      <c r="R344" s="82"/>
      <c r="S344" s="241">
        <v>90000</v>
      </c>
      <c r="T344" s="82"/>
      <c r="U344" s="241"/>
      <c r="V344" s="82"/>
      <c r="W344" s="88"/>
      <c r="X344" s="82"/>
      <c r="Y344" s="89"/>
      <c r="Z344" s="82"/>
      <c r="AA344" s="220" t="s">
        <v>1428</v>
      </c>
      <c r="AB344" s="241"/>
      <c r="AC344" s="241"/>
      <c r="AD344" s="241"/>
      <c r="AE344" s="82"/>
      <c r="AF344" s="82"/>
      <c r="AG344" s="90"/>
      <c r="AH344" s="90"/>
      <c r="AI344" s="90"/>
      <c r="AJ344" s="90"/>
      <c r="AK344" s="82"/>
      <c r="AL344" s="82" t="str" cm="1">
        <f t="array" aca="1" ref="AL344" ca="1">_xlfn.IFS(
 AND($AK344&lt;&gt;"", M344&lt;&gt;0, M344&lt;=EDATE(TODAY(),2)),"도래",
 AND($AK344&lt;&gt;"", M344&lt;&gt;0, M344&lt;=EDATE(TODAY(),3)),"예정",
 AND($AK344&lt;&gt;"", M344&lt;&gt;0, M344&lt;=EDATE(TODAY(),6)),"관심",
 TRUE,""
)</f>
        <v/>
      </c>
      <c r="AM344" s="198">
        <f t="shared" si="12"/>
        <v>21</v>
      </c>
    </row>
    <row r="345" spans="1:39" ht="18" customHeight="1">
      <c r="A345" s="81"/>
      <c r="B345" s="205" t="str">
        <f>_xlfn.LET(_xlpm.var,◆관리정보!B345,IF(_xlpm.var&lt;&gt;0,_xlpm.var,""))</f>
        <v>더힐하우스104동</v>
      </c>
      <c r="C345" s="82">
        <f>_xlfn.LET(_xlpm.var,◆관리정보!C345,IF(_xlpm.var&lt;&gt;0,_xlpm.var,""))</f>
        <v>502</v>
      </c>
      <c r="D345" s="83" t="s">
        <v>1429</v>
      </c>
      <c r="E345" s="84" t="str">
        <f t="shared" si="11"/>
        <v>더힐하우스104동502</v>
      </c>
      <c r="F345" s="85">
        <v>46109</v>
      </c>
      <c r="G345" s="229"/>
      <c r="H345" s="229"/>
      <c r="I345" s="229"/>
      <c r="J345" s="229"/>
      <c r="K345" s="218"/>
      <c r="L345" s="87">
        <v>45105</v>
      </c>
      <c r="M345" s="87">
        <v>45835</v>
      </c>
      <c r="N345" s="82" t="s">
        <v>1430</v>
      </c>
      <c r="O345" s="82" t="s">
        <v>1431</v>
      </c>
      <c r="P345" s="241"/>
      <c r="Q345" s="241"/>
      <c r="R345" s="82"/>
      <c r="S345" s="241">
        <v>90000</v>
      </c>
      <c r="T345" s="82"/>
      <c r="U345" s="241"/>
      <c r="V345" s="82"/>
      <c r="W345" s="88"/>
      <c r="X345" s="82"/>
      <c r="Y345" s="89"/>
      <c r="Z345" s="82"/>
      <c r="AA345" s="220" t="s">
        <v>1432</v>
      </c>
      <c r="AB345" s="241"/>
      <c r="AC345" s="241"/>
      <c r="AD345" s="241"/>
      <c r="AE345" s="82"/>
      <c r="AF345" s="82"/>
      <c r="AG345" s="90"/>
      <c r="AH345" s="90"/>
      <c r="AI345" s="90"/>
      <c r="AJ345" s="90"/>
      <c r="AK345" s="82"/>
      <c r="AL345" s="82" t="str" cm="1">
        <f t="array" aca="1" ref="AL345" ca="1">_xlfn.IFS(
 AND($AK345&lt;&gt;"", M345&lt;&gt;0, M345&lt;=EDATE(TODAY(),2)),"도래",
 AND($AK345&lt;&gt;"", M345&lt;&gt;0, M345&lt;=EDATE(TODAY(),3)),"예정",
 AND($AK345&lt;&gt;"", M345&lt;&gt;0, M345&lt;=EDATE(TODAY(),6)),"관심",
 TRUE,""
)</f>
        <v/>
      </c>
      <c r="AM345" s="198">
        <f t="shared" si="12"/>
        <v>28</v>
      </c>
    </row>
    <row r="346" spans="1:39" ht="18" customHeight="1">
      <c r="A346" s="81"/>
      <c r="B346" s="205" t="str">
        <f>_xlfn.LET(_xlpm.var,◆관리정보!B346,IF(_xlpm.var&lt;&gt;0,_xlpm.var,""))</f>
        <v>더힐하우스104동</v>
      </c>
      <c r="C346" s="82">
        <f>_xlfn.LET(_xlpm.var,◆관리정보!C346,IF(_xlpm.var&lt;&gt;0,_xlpm.var,""))</f>
        <v>503</v>
      </c>
      <c r="D346" s="83" t="s">
        <v>1433</v>
      </c>
      <c r="E346" s="84" t="str">
        <f t="shared" si="11"/>
        <v>더힐하우스104동503</v>
      </c>
      <c r="F346" s="85">
        <v>46124</v>
      </c>
      <c r="G346" s="229"/>
      <c r="H346" s="229"/>
      <c r="I346" s="229"/>
      <c r="J346" s="229"/>
      <c r="K346" s="318"/>
      <c r="L346" s="87">
        <v>45119</v>
      </c>
      <c r="M346" s="87">
        <v>45849</v>
      </c>
      <c r="N346" s="82" t="s">
        <v>1434</v>
      </c>
      <c r="O346" s="82" t="s">
        <v>1435</v>
      </c>
      <c r="P346" s="241"/>
      <c r="Q346" s="241"/>
      <c r="R346" s="82"/>
      <c r="S346" s="241">
        <v>90000</v>
      </c>
      <c r="T346" s="82"/>
      <c r="U346" s="241"/>
      <c r="V346" s="82"/>
      <c r="W346" s="88"/>
      <c r="X346" s="82"/>
      <c r="Y346" s="89">
        <v>30000</v>
      </c>
      <c r="Z346" s="82"/>
      <c r="AA346" s="220" t="s">
        <v>1436</v>
      </c>
      <c r="AB346" s="241"/>
      <c r="AC346" s="241"/>
      <c r="AD346" s="241"/>
      <c r="AE346" s="82"/>
      <c r="AF346" s="82"/>
      <c r="AG346" s="90"/>
      <c r="AH346" s="90"/>
      <c r="AI346" s="90" t="s">
        <v>1437</v>
      </c>
      <c r="AJ346" s="90"/>
      <c r="AK346" s="82"/>
      <c r="AL346" s="82" t="str" cm="1">
        <f t="array" aca="1" ref="AL346" ca="1">_xlfn.IFS(
 AND($AK346&lt;&gt;"", M346&lt;&gt;0, M346&lt;=EDATE(TODAY(),2)),"도래",
 AND($AK346&lt;&gt;"", M346&lt;&gt;0, M346&lt;=EDATE(TODAY(),3)),"예정",
 AND($AK346&lt;&gt;"", M346&lt;&gt;0, M346&lt;=EDATE(TODAY(),6)),"관심",
 TRUE,""
)</f>
        <v/>
      </c>
      <c r="AM346" s="198">
        <f t="shared" si="12"/>
        <v>12</v>
      </c>
    </row>
    <row r="347" spans="1:39" ht="18" customHeight="1">
      <c r="A347" s="81"/>
      <c r="B347" s="205" t="str">
        <f>_xlfn.LET(_xlpm.var,◆관리정보!B347,IF(_xlpm.var&lt;&gt;0,_xlpm.var,""))</f>
        <v>신림프리미어</v>
      </c>
      <c r="C347" s="82">
        <f>_xlfn.LET(_xlpm.var,◆관리정보!C347,IF(_xlpm.var&lt;&gt;0,_xlpm.var,""))</f>
        <v>101</v>
      </c>
      <c r="D347" s="83" t="s">
        <v>1438</v>
      </c>
      <c r="E347" s="84" t="str">
        <f t="shared" si="11"/>
        <v>신림프리미어101</v>
      </c>
      <c r="F347" s="85">
        <v>46117</v>
      </c>
      <c r="G347" s="229"/>
      <c r="H347" s="229"/>
      <c r="I347" s="229"/>
      <c r="J347" s="229"/>
      <c r="K347" s="218"/>
      <c r="L347" s="87">
        <v>45721</v>
      </c>
      <c r="M347" s="87">
        <v>46450</v>
      </c>
      <c r="N347" s="82" t="s">
        <v>1439</v>
      </c>
      <c r="O347" s="82" t="s">
        <v>1440</v>
      </c>
      <c r="P347" s="241">
        <v>20000000</v>
      </c>
      <c r="Q347" s="241">
        <v>650000</v>
      </c>
      <c r="R347" s="82"/>
      <c r="S347" s="241">
        <v>50000</v>
      </c>
      <c r="T347" s="82" t="s">
        <v>40</v>
      </c>
      <c r="U347" s="241"/>
      <c r="V347" s="82"/>
      <c r="W347" s="88"/>
      <c r="X347" s="82"/>
      <c r="Y347" s="89"/>
      <c r="Z347" s="82"/>
      <c r="AA347" s="220"/>
      <c r="AB347" s="241"/>
      <c r="AC347" s="241"/>
      <c r="AD347" s="241"/>
      <c r="AE347" s="82" t="s">
        <v>1441</v>
      </c>
      <c r="AF347" s="82" t="s">
        <v>1442</v>
      </c>
      <c r="AG347" s="90"/>
      <c r="AH347" s="90"/>
      <c r="AI347" s="90" t="s">
        <v>1443</v>
      </c>
      <c r="AJ347" s="90"/>
      <c r="AK347" s="82" t="s">
        <v>47</v>
      </c>
      <c r="AL347" s="82" t="str" cm="1">
        <f t="array" aca="1" ref="AL347" ca="1">_xlfn.IFS(
 AND($AK347&lt;&gt;"", M347&lt;&gt;0, M347&lt;=EDATE(TODAY(),2)),"도래",
 AND($AK347&lt;&gt;"", M347&lt;&gt;0, M347&lt;=EDATE(TODAY(),3)),"예정",
 AND($AK347&lt;&gt;"", M347&lt;&gt;0, M347&lt;=EDATE(TODAY(),6)),"관심",
 TRUE,""
)</f>
        <v/>
      </c>
      <c r="AM347" s="198">
        <f t="shared" si="12"/>
        <v>5</v>
      </c>
    </row>
    <row r="348" spans="1:39" ht="18" customHeight="1">
      <c r="A348" s="81"/>
      <c r="B348" s="205" t="str">
        <f>_xlfn.LET(_xlpm.var,◆관리정보!B348,IF(_xlpm.var&lt;&gt;0,_xlpm.var,""))</f>
        <v>신림프리미어</v>
      </c>
      <c r="C348" s="82">
        <f>_xlfn.LET(_xlpm.var,◆관리정보!C348,IF(_xlpm.var&lt;&gt;0,_xlpm.var,""))</f>
        <v>102</v>
      </c>
      <c r="D348" s="83" t="s">
        <v>1444</v>
      </c>
      <c r="E348" s="84" t="str">
        <f t="shared" si="11"/>
        <v>신림프리미어102</v>
      </c>
      <c r="F348" s="85">
        <v>46115</v>
      </c>
      <c r="G348" s="229"/>
      <c r="H348" s="229"/>
      <c r="I348" s="229"/>
      <c r="J348" s="229"/>
      <c r="K348" s="218"/>
      <c r="L348" s="87">
        <v>45629</v>
      </c>
      <c r="M348" s="87">
        <v>46358</v>
      </c>
      <c r="N348" s="82" t="s">
        <v>1445</v>
      </c>
      <c r="O348" s="82" t="s">
        <v>1446</v>
      </c>
      <c r="P348" s="241">
        <v>20000000</v>
      </c>
      <c r="Q348" s="241">
        <v>950000</v>
      </c>
      <c r="R348" s="82"/>
      <c r="S348" s="241">
        <v>100000</v>
      </c>
      <c r="T348" s="82" t="s">
        <v>40</v>
      </c>
      <c r="U348" s="241"/>
      <c r="V348" s="82"/>
      <c r="W348" s="88"/>
      <c r="X348" s="82"/>
      <c r="Y348" s="89"/>
      <c r="Z348" s="82"/>
      <c r="AA348" s="220"/>
      <c r="AB348" s="241"/>
      <c r="AC348" s="241"/>
      <c r="AD348" s="241"/>
      <c r="AE348" s="82" t="s">
        <v>1447</v>
      </c>
      <c r="AF348" s="82" t="s">
        <v>1448</v>
      </c>
      <c r="AG348" s="90"/>
      <c r="AH348" s="90"/>
      <c r="AI348" s="90" t="s">
        <v>1449</v>
      </c>
      <c r="AJ348" s="90"/>
      <c r="AK348" s="82" t="s">
        <v>47</v>
      </c>
      <c r="AL348" s="82" t="str" cm="1">
        <f t="array" aca="1" ref="AL348" ca="1">_xlfn.IFS(
 AND($AK348&lt;&gt;"", M348&lt;&gt;0, M348&lt;=EDATE(TODAY(),2)),"도래",
 AND($AK348&lt;&gt;"", M348&lt;&gt;0, M348&lt;=EDATE(TODAY(),3)),"예정",
 AND($AK348&lt;&gt;"", M348&lt;&gt;0, M348&lt;=EDATE(TODAY(),6)),"관심",
 TRUE,""
)</f>
        <v/>
      </c>
      <c r="AM348" s="198">
        <f t="shared" si="12"/>
        <v>3</v>
      </c>
    </row>
    <row r="349" spans="1:39" ht="18" customHeight="1">
      <c r="A349" s="81"/>
      <c r="B349" s="205" t="str">
        <f>_xlfn.LET(_xlpm.var,◆관리정보!B349,IF(_xlpm.var&lt;&gt;0,_xlpm.var,""))</f>
        <v>신림프리미어</v>
      </c>
      <c r="C349" s="82">
        <f>_xlfn.LET(_xlpm.var,◆관리정보!C349,IF(_xlpm.var&lt;&gt;0,_xlpm.var,""))</f>
        <v>201</v>
      </c>
      <c r="D349" s="83" t="s">
        <v>1450</v>
      </c>
      <c r="E349" s="84" t="str">
        <f t="shared" si="11"/>
        <v>신림프리미어201</v>
      </c>
      <c r="F349" s="85">
        <v>46123</v>
      </c>
      <c r="G349" s="229"/>
      <c r="H349" s="229"/>
      <c r="I349" s="229"/>
      <c r="J349" s="229"/>
      <c r="K349" s="318"/>
      <c r="L349" s="87">
        <v>45727</v>
      </c>
      <c r="M349" s="87">
        <v>46456</v>
      </c>
      <c r="N349" s="82" t="s">
        <v>1451</v>
      </c>
      <c r="O349" s="82" t="s">
        <v>1452</v>
      </c>
      <c r="P349" s="241">
        <v>50000000</v>
      </c>
      <c r="Q349" s="241">
        <v>550000</v>
      </c>
      <c r="R349" s="82"/>
      <c r="S349" s="241">
        <v>90000</v>
      </c>
      <c r="T349" s="82" t="s">
        <v>40</v>
      </c>
      <c r="U349" s="241"/>
      <c r="V349" s="82"/>
      <c r="W349" s="88"/>
      <c r="X349" s="82"/>
      <c r="Y349" s="89"/>
      <c r="Z349" s="82"/>
      <c r="AA349" s="220"/>
      <c r="AB349" s="241">
        <v>130000</v>
      </c>
      <c r="AC349" s="241"/>
      <c r="AD349" s="241"/>
      <c r="AE349" s="82" t="s">
        <v>461</v>
      </c>
      <c r="AF349" s="82" t="s">
        <v>1453</v>
      </c>
      <c r="AG349" s="90"/>
      <c r="AH349" s="90"/>
      <c r="AI349" s="90"/>
      <c r="AJ349" s="90"/>
      <c r="AK349" s="82"/>
      <c r="AL349" s="82" t="str" cm="1">
        <f t="array" aca="1" ref="AL349" ca="1">_xlfn.IFS(
 AND($AK349&lt;&gt;"", M349&lt;&gt;0, M349&lt;=EDATE(TODAY(),2)),"도래",
 AND($AK349&lt;&gt;"", M349&lt;&gt;0, M349&lt;=EDATE(TODAY(),3)),"예정",
 AND($AK349&lt;&gt;"", M349&lt;&gt;0, M349&lt;=EDATE(TODAY(),6)),"관심",
 TRUE,""
)</f>
        <v/>
      </c>
      <c r="AM349" s="198">
        <f t="shared" si="12"/>
        <v>11</v>
      </c>
    </row>
    <row r="350" spans="1:39" ht="18" customHeight="1">
      <c r="A350" s="81"/>
      <c r="B350" s="205" t="str">
        <f>_xlfn.LET(_xlpm.var,◆관리정보!B350,IF(_xlpm.var&lt;&gt;0,_xlpm.var,""))</f>
        <v>신림프리미어</v>
      </c>
      <c r="C350" s="82">
        <f>_xlfn.LET(_xlpm.var,◆관리정보!C350,IF(_xlpm.var&lt;&gt;0,_xlpm.var,""))</f>
        <v>202</v>
      </c>
      <c r="D350" s="83" t="s">
        <v>1003</v>
      </c>
      <c r="E350" s="84" t="str">
        <f t="shared" si="11"/>
        <v>신림프리미어202</v>
      </c>
      <c r="F350" s="85">
        <v>46122</v>
      </c>
      <c r="G350" s="229"/>
      <c r="H350" s="229"/>
      <c r="I350" s="229"/>
      <c r="J350" s="229"/>
      <c r="K350" s="318"/>
      <c r="L350" s="87">
        <v>45483</v>
      </c>
      <c r="M350" s="359">
        <v>46212</v>
      </c>
      <c r="N350" s="82" t="s">
        <v>1454</v>
      </c>
      <c r="O350" s="82" t="s">
        <v>1455</v>
      </c>
      <c r="P350" s="241">
        <v>5000000</v>
      </c>
      <c r="Q350" s="241">
        <v>600000</v>
      </c>
      <c r="R350" s="82"/>
      <c r="S350" s="241">
        <v>70000</v>
      </c>
      <c r="T350" s="82" t="s">
        <v>40</v>
      </c>
      <c r="U350" s="241"/>
      <c r="V350" s="82"/>
      <c r="W350" s="88"/>
      <c r="X350" s="82"/>
      <c r="Y350" s="89"/>
      <c r="Z350" s="82"/>
      <c r="AA350" s="220"/>
      <c r="AB350" s="241">
        <v>70000</v>
      </c>
      <c r="AC350" s="241"/>
      <c r="AD350" s="241"/>
      <c r="AE350" s="82"/>
      <c r="AF350" s="82"/>
      <c r="AG350" s="90"/>
      <c r="AH350" s="90"/>
      <c r="AI350" s="90" t="s">
        <v>1456</v>
      </c>
      <c r="AJ350" s="90"/>
      <c r="AK350" s="82"/>
      <c r="AL350" s="82" t="str" cm="1">
        <f t="array" aca="1" ref="AL350" ca="1">_xlfn.IFS(
 AND($AK350&lt;&gt;"", M350&lt;&gt;0, M350&lt;=EDATE(TODAY(),2)),"도래",
 AND($AK350&lt;&gt;"", M350&lt;&gt;0, M350&lt;=EDATE(TODAY(),3)),"예정",
 AND($AK350&lt;&gt;"", M350&lt;&gt;0, M350&lt;=EDATE(TODAY(),6)),"관심",
 TRUE,""
)</f>
        <v/>
      </c>
      <c r="AM350" s="198">
        <f t="shared" si="12"/>
        <v>10</v>
      </c>
    </row>
    <row r="351" spans="1:39" ht="18" customHeight="1">
      <c r="A351" s="81"/>
      <c r="B351" s="205" t="str">
        <f>_xlfn.LET(_xlpm.var,◆관리정보!B351,IF(_xlpm.var&lt;&gt;0,_xlpm.var,""))</f>
        <v>신림프리미어</v>
      </c>
      <c r="C351" s="82">
        <f>_xlfn.LET(_xlpm.var,◆관리정보!C351,IF(_xlpm.var&lt;&gt;0,_xlpm.var,""))</f>
        <v>203</v>
      </c>
      <c r="D351" s="83" t="s">
        <v>1457</v>
      </c>
      <c r="E351" s="84" t="str">
        <f t="shared" si="11"/>
        <v>신림프리미어203</v>
      </c>
      <c r="F351" s="85">
        <v>46128</v>
      </c>
      <c r="G351" s="387"/>
      <c r="H351" s="229"/>
      <c r="I351" s="229"/>
      <c r="J351" s="229"/>
      <c r="K351" s="218"/>
      <c r="L351" s="87">
        <v>45032</v>
      </c>
      <c r="M351" s="87">
        <v>45762</v>
      </c>
      <c r="N351" s="82" t="s">
        <v>1458</v>
      </c>
      <c r="O351" s="82" t="s">
        <v>1459</v>
      </c>
      <c r="P351" s="241">
        <v>20000000</v>
      </c>
      <c r="Q351" s="241">
        <v>770000</v>
      </c>
      <c r="R351" s="82"/>
      <c r="S351" s="241">
        <v>70000</v>
      </c>
      <c r="T351" s="82" t="s">
        <v>40</v>
      </c>
      <c r="U351" s="241"/>
      <c r="V351" s="82"/>
      <c r="W351" s="88"/>
      <c r="X351" s="82"/>
      <c r="Y351" s="89"/>
      <c r="Z351" s="82"/>
      <c r="AA351" s="220"/>
      <c r="AB351" s="241">
        <v>110000</v>
      </c>
      <c r="AC351" s="241"/>
      <c r="AD351" s="241"/>
      <c r="AE351" s="82"/>
      <c r="AF351" s="82"/>
      <c r="AG351" s="90"/>
      <c r="AH351" s="90"/>
      <c r="AI351" s="90"/>
      <c r="AJ351" s="90"/>
      <c r="AK351" s="82"/>
      <c r="AL351" s="82" t="str" cm="1">
        <f t="array" aca="1" ref="AL351" ca="1">_xlfn.IFS(
 AND($AK351&lt;&gt;"", M351&lt;&gt;0, M351&lt;=EDATE(TODAY(),2)),"도래",
 AND($AK351&lt;&gt;"", M351&lt;&gt;0, M351&lt;=EDATE(TODAY(),3)),"예정",
 AND($AK351&lt;&gt;"", M351&lt;&gt;0, M351&lt;=EDATE(TODAY(),6)),"관심",
 TRUE,""
)</f>
        <v/>
      </c>
      <c r="AM351" s="198">
        <f t="shared" si="12"/>
        <v>16</v>
      </c>
    </row>
    <row r="352" spans="1:39" ht="18" customHeight="1">
      <c r="A352" s="81"/>
      <c r="B352" s="205" t="str">
        <f>_xlfn.LET(_xlpm.var,◆관리정보!B352,IF(_xlpm.var&lt;&gt;0,_xlpm.var,""))</f>
        <v>신림프리미어</v>
      </c>
      <c r="C352" s="82">
        <f>_xlfn.LET(_xlpm.var,◆관리정보!C352,IF(_xlpm.var&lt;&gt;0,_xlpm.var,""))</f>
        <v>204</v>
      </c>
      <c r="D352" s="83" t="s">
        <v>1460</v>
      </c>
      <c r="E352" s="232" t="str">
        <f t="shared" si="11"/>
        <v>신림프리미어204</v>
      </c>
      <c r="F352" s="85">
        <v>46119</v>
      </c>
      <c r="G352" s="229"/>
      <c r="H352" s="229"/>
      <c r="I352" s="229"/>
      <c r="J352" s="229"/>
      <c r="K352" s="218"/>
      <c r="L352" s="87">
        <v>46060</v>
      </c>
      <c r="M352" s="87">
        <v>46789</v>
      </c>
      <c r="N352" s="82" t="s">
        <v>1461</v>
      </c>
      <c r="O352" s="82" t="s">
        <v>1462</v>
      </c>
      <c r="P352" s="320">
        <v>50000000</v>
      </c>
      <c r="Q352" s="320">
        <v>650000</v>
      </c>
      <c r="R352" s="82"/>
      <c r="S352" s="320">
        <v>90000</v>
      </c>
      <c r="T352" s="82" t="s">
        <v>40</v>
      </c>
      <c r="U352" s="320"/>
      <c r="V352" s="82"/>
      <c r="W352" s="321"/>
      <c r="X352" s="82"/>
      <c r="Y352" s="322"/>
      <c r="Z352" s="82"/>
      <c r="AA352" s="220"/>
      <c r="AB352" s="320">
        <v>130000</v>
      </c>
      <c r="AC352" s="320"/>
      <c r="AD352" s="320"/>
      <c r="AE352" s="82" t="s">
        <v>461</v>
      </c>
      <c r="AF352" s="82" t="s">
        <v>1453</v>
      </c>
      <c r="AG352" s="90"/>
      <c r="AH352" s="90"/>
      <c r="AI352" s="317" t="s">
        <v>1463</v>
      </c>
      <c r="AJ352" s="90"/>
      <c r="AK352" s="82"/>
      <c r="AL352" s="82" t="str" cm="1">
        <f t="array" aca="1" ref="AL352" ca="1">_xlfn.IFS(
 AND($AK352&lt;&gt;"", M352&lt;&gt;0, M352&lt;=EDATE(TODAY(),2)),"도래",
 AND($AK352&lt;&gt;"", M352&lt;&gt;0, M352&lt;=EDATE(TODAY(),3)),"예정",
 AND($AK352&lt;&gt;"", M352&lt;&gt;0, M352&lt;=EDATE(TODAY(),6)),"관심",
 TRUE,""
)</f>
        <v/>
      </c>
      <c r="AM352" s="198">
        <f t="shared" si="12"/>
        <v>7</v>
      </c>
    </row>
    <row r="353" spans="1:39" ht="18" customHeight="1">
      <c r="A353" s="81"/>
      <c r="B353" s="205" t="str">
        <f>_xlfn.LET(_xlpm.var,◆관리정보!B353,IF(_xlpm.var&lt;&gt;0,_xlpm.var,""))</f>
        <v>신림프리미어</v>
      </c>
      <c r="C353" s="82">
        <f>_xlfn.LET(_xlpm.var,◆관리정보!C353,IF(_xlpm.var&lt;&gt;0,_xlpm.var,""))</f>
        <v>205</v>
      </c>
      <c r="D353" s="83" t="s">
        <v>1464</v>
      </c>
      <c r="E353" s="84" t="str">
        <f t="shared" si="11"/>
        <v>신림프리미어205</v>
      </c>
      <c r="F353" s="85">
        <v>46101</v>
      </c>
      <c r="G353" s="229"/>
      <c r="H353" s="229"/>
      <c r="I353" s="229">
        <v>790000</v>
      </c>
      <c r="J353" s="229"/>
      <c r="K353" s="218"/>
      <c r="L353" s="87">
        <v>45708</v>
      </c>
      <c r="M353" s="87">
        <v>46437</v>
      </c>
      <c r="N353" s="82" t="s">
        <v>1465</v>
      </c>
      <c r="O353" s="82" t="s">
        <v>1466</v>
      </c>
      <c r="P353" s="241">
        <v>30000000</v>
      </c>
      <c r="Q353" s="241">
        <v>700000</v>
      </c>
      <c r="R353" s="82"/>
      <c r="S353" s="241">
        <v>90000</v>
      </c>
      <c r="T353" s="82" t="s">
        <v>40</v>
      </c>
      <c r="U353" s="241"/>
      <c r="V353" s="82"/>
      <c r="W353" s="88"/>
      <c r="X353" s="82"/>
      <c r="Y353" s="89"/>
      <c r="Z353" s="82"/>
      <c r="AA353" s="220" t="s">
        <v>1467</v>
      </c>
      <c r="AB353" s="241">
        <v>130000</v>
      </c>
      <c r="AC353" s="241"/>
      <c r="AD353" s="241"/>
      <c r="AE353" s="82"/>
      <c r="AF353" s="82"/>
      <c r="AG353" s="90"/>
      <c r="AH353" s="90"/>
      <c r="AI353" s="90" t="s">
        <v>1468</v>
      </c>
      <c r="AJ353" s="90"/>
      <c r="AK353" s="82"/>
      <c r="AL353" s="82" t="str" cm="1">
        <f t="array" aca="1" ref="AL353" ca="1">_xlfn.IFS(
 AND($AK353&lt;&gt;"", M353&lt;&gt;0, M353&lt;=EDATE(TODAY(),2)),"도래",
 AND($AK353&lt;&gt;"", M353&lt;&gt;0, M353&lt;=EDATE(TODAY(),3)),"예정",
 AND($AK353&lt;&gt;"", M353&lt;&gt;0, M353&lt;=EDATE(TODAY(),6)),"관심",
 TRUE,""
)</f>
        <v/>
      </c>
      <c r="AM353" s="198">
        <f t="shared" si="12"/>
        <v>20</v>
      </c>
    </row>
    <row r="354" spans="1:39" ht="18" customHeight="1">
      <c r="A354" s="81"/>
      <c r="B354" s="205" t="str">
        <f>_xlfn.LET(_xlpm.var,◆관리정보!B354,IF(_xlpm.var&lt;&gt;0,_xlpm.var,""))</f>
        <v>신림프리미어</v>
      </c>
      <c r="C354" s="82">
        <f>_xlfn.LET(_xlpm.var,◆관리정보!C354,IF(_xlpm.var&lt;&gt;0,_xlpm.var,""))</f>
        <v>301</v>
      </c>
      <c r="D354" s="336" t="s">
        <v>1469</v>
      </c>
      <c r="E354" s="84" t="str">
        <f t="shared" si="11"/>
        <v>신림프리미어301</v>
      </c>
      <c r="F354" s="85">
        <v>46129</v>
      </c>
      <c r="G354" s="229"/>
      <c r="H354" s="229"/>
      <c r="I354" s="229"/>
      <c r="J354" s="229"/>
      <c r="K354" s="218"/>
      <c r="L354" s="87">
        <v>46004</v>
      </c>
      <c r="M354" s="87">
        <v>46368</v>
      </c>
      <c r="N354" s="82" t="s">
        <v>1470</v>
      </c>
      <c r="O354" s="82" t="s">
        <v>1471</v>
      </c>
      <c r="P354" s="241">
        <v>40000000</v>
      </c>
      <c r="Q354" s="241">
        <v>600000</v>
      </c>
      <c r="R354" s="82"/>
      <c r="S354" s="241">
        <v>90000</v>
      </c>
      <c r="T354" s="82" t="s">
        <v>40</v>
      </c>
      <c r="U354" s="241"/>
      <c r="V354" s="82"/>
      <c r="W354" s="88"/>
      <c r="X354" s="82"/>
      <c r="Y354" s="89"/>
      <c r="Z354" s="82"/>
      <c r="AA354" s="220"/>
      <c r="AB354" s="241">
        <v>130000</v>
      </c>
      <c r="AC354" s="241">
        <v>250000</v>
      </c>
      <c r="AD354" s="241"/>
      <c r="AE354" s="82" t="s">
        <v>461</v>
      </c>
      <c r="AF354" s="82" t="s">
        <v>1453</v>
      </c>
      <c r="AG354" s="90"/>
      <c r="AH354" s="90"/>
      <c r="AI354" s="90" t="s">
        <v>1472</v>
      </c>
      <c r="AJ354" s="90"/>
      <c r="AK354" s="82"/>
      <c r="AL354" s="82" t="str" cm="1">
        <f t="array" aca="1" ref="AL354" ca="1">_xlfn.IFS(
 AND($AK354&lt;&gt;"", M354&lt;&gt;0, M354&lt;=EDATE(TODAY(),2)),"도래",
 AND($AK354&lt;&gt;"", M354&lt;&gt;0, M354&lt;=EDATE(TODAY(),3)),"예정",
 AND($AK354&lt;&gt;"", M354&lt;&gt;0, M354&lt;=EDATE(TODAY(),6)),"관심",
 TRUE,""
)</f>
        <v/>
      </c>
      <c r="AM354" s="198">
        <f t="shared" si="12"/>
        <v>13</v>
      </c>
    </row>
    <row r="355" spans="1:39" ht="18" customHeight="1">
      <c r="A355" s="81"/>
      <c r="B355" s="205" t="str">
        <f>_xlfn.LET(_xlpm.var,◆관리정보!B355,IF(_xlpm.var&lt;&gt;0,_xlpm.var,""))</f>
        <v>신림프리미어</v>
      </c>
      <c r="C355" s="82">
        <f>_xlfn.LET(_xlpm.var,◆관리정보!C355,IF(_xlpm.var&lt;&gt;0,_xlpm.var,""))</f>
        <v>302</v>
      </c>
      <c r="D355" s="83" t="s">
        <v>1473</v>
      </c>
      <c r="E355" s="84" t="str">
        <f t="shared" si="11"/>
        <v>신림프리미어302</v>
      </c>
      <c r="F355" s="85">
        <v>46106</v>
      </c>
      <c r="G355" s="229"/>
      <c r="H355" s="229"/>
      <c r="I355" s="229">
        <v>640000</v>
      </c>
      <c r="J355" s="229"/>
      <c r="K355" s="218"/>
      <c r="L355" s="87">
        <v>46047</v>
      </c>
      <c r="M355" s="87">
        <v>46776</v>
      </c>
      <c r="N355" s="82" t="s">
        <v>1474</v>
      </c>
      <c r="O355" s="82" t="s">
        <v>1475</v>
      </c>
      <c r="P355" s="241">
        <v>10000000</v>
      </c>
      <c r="Q355" s="241">
        <v>550000</v>
      </c>
      <c r="R355" s="82"/>
      <c r="S355" s="241">
        <v>90000</v>
      </c>
      <c r="T355" s="82" t="s">
        <v>40</v>
      </c>
      <c r="U355" s="241"/>
      <c r="V355" s="82"/>
      <c r="W355" s="88"/>
      <c r="X355" s="82"/>
      <c r="Y355" s="89"/>
      <c r="Z355" s="82"/>
      <c r="AA355" s="220"/>
      <c r="AB355" s="241">
        <v>110000</v>
      </c>
      <c r="AC355" s="241">
        <v>250000</v>
      </c>
      <c r="AD355" s="241"/>
      <c r="AE355" s="82" t="s">
        <v>461</v>
      </c>
      <c r="AF355" s="82"/>
      <c r="AG355" s="90"/>
      <c r="AH355" s="90"/>
      <c r="AI355" s="90"/>
      <c r="AJ355" s="90"/>
      <c r="AK355" s="82"/>
      <c r="AL355" s="82" t="str" cm="1">
        <f t="array" aca="1" ref="AL355" ca="1">_xlfn.IFS(
 AND($AK355&lt;&gt;"", M355&lt;&gt;0, M355&lt;=EDATE(TODAY(),2)),"도래",
 AND($AK355&lt;&gt;"", M355&lt;&gt;0, M355&lt;=EDATE(TODAY(),3)),"예정",
 AND($AK355&lt;&gt;"", M355&lt;&gt;0, M355&lt;=EDATE(TODAY(),6)),"관심",
 TRUE,""
)</f>
        <v/>
      </c>
      <c r="AM355" s="198">
        <f t="shared" si="12"/>
        <v>25</v>
      </c>
    </row>
    <row r="356" spans="1:39" ht="18" customHeight="1">
      <c r="A356" s="81"/>
      <c r="B356" s="205" t="str">
        <f>_xlfn.LET(_xlpm.var,◆관리정보!B356,IF(_xlpm.var&lt;&gt;0,_xlpm.var,""))</f>
        <v>신림프리미어</v>
      </c>
      <c r="C356" s="82">
        <f>_xlfn.LET(_xlpm.var,◆관리정보!C356,IF(_xlpm.var&lt;&gt;0,_xlpm.var,""))</f>
        <v>303</v>
      </c>
      <c r="D356" s="83" t="s">
        <v>1476</v>
      </c>
      <c r="E356" s="84" t="str">
        <f t="shared" si="11"/>
        <v>신림프리미어303</v>
      </c>
      <c r="F356" s="85">
        <v>46109</v>
      </c>
      <c r="G356" s="229"/>
      <c r="H356" s="229"/>
      <c r="I356" s="229"/>
      <c r="J356" s="229"/>
      <c r="K356" s="218"/>
      <c r="L356" s="87">
        <v>45744</v>
      </c>
      <c r="M356" s="87">
        <v>46473</v>
      </c>
      <c r="N356" s="82" t="s">
        <v>1477</v>
      </c>
      <c r="O356" s="82" t="s">
        <v>1478</v>
      </c>
      <c r="P356" s="241">
        <v>100000000</v>
      </c>
      <c r="Q356" s="241">
        <v>500000</v>
      </c>
      <c r="R356" s="82"/>
      <c r="S356" s="305">
        <v>150000</v>
      </c>
      <c r="T356" s="82" t="s">
        <v>40</v>
      </c>
      <c r="U356" s="241"/>
      <c r="V356" s="82"/>
      <c r="W356" s="88"/>
      <c r="X356" s="82"/>
      <c r="Y356" s="89"/>
      <c r="Z356" s="82"/>
      <c r="AA356" s="220">
        <v>6741</v>
      </c>
      <c r="AB356" s="241">
        <v>130000</v>
      </c>
      <c r="AC356" s="241"/>
      <c r="AD356" s="241"/>
      <c r="AE356" s="82"/>
      <c r="AF356" s="82"/>
      <c r="AG356" s="90"/>
      <c r="AH356" s="90"/>
      <c r="AI356" s="90" t="s">
        <v>1479</v>
      </c>
      <c r="AJ356" s="90"/>
      <c r="AK356" s="82"/>
      <c r="AL356" s="82" t="str" cm="1">
        <f t="array" aca="1" ref="AL356" ca="1">_xlfn.IFS(
 AND($AK356&lt;&gt;"", M356&lt;&gt;0, M356&lt;=EDATE(TODAY(),2)),"도래",
 AND($AK356&lt;&gt;"", M356&lt;&gt;0, M356&lt;=EDATE(TODAY(),3)),"예정",
 AND($AK356&lt;&gt;"", M356&lt;&gt;0, M356&lt;=EDATE(TODAY(),6)),"관심",
 TRUE,""
)</f>
        <v/>
      </c>
      <c r="AM356" s="198">
        <f t="shared" si="12"/>
        <v>28</v>
      </c>
    </row>
    <row r="357" spans="1:39" ht="18" customHeight="1">
      <c r="A357" s="81"/>
      <c r="B357" s="205" t="str">
        <f>_xlfn.LET(_xlpm.var,◆관리정보!B357,IF(_xlpm.var&lt;&gt;0,_xlpm.var,""))</f>
        <v>신림프리미어</v>
      </c>
      <c r="C357" s="82">
        <f>_xlfn.LET(_xlpm.var,◆관리정보!C357,IF(_xlpm.var&lt;&gt;0,_xlpm.var,""))</f>
        <v>304</v>
      </c>
      <c r="D357" s="83" t="s">
        <v>906</v>
      </c>
      <c r="E357" s="84" t="str">
        <f t="shared" si="11"/>
        <v>신림프리미어304</v>
      </c>
      <c r="F357" s="85">
        <v>46102</v>
      </c>
      <c r="G357" s="229"/>
      <c r="H357" s="229"/>
      <c r="I357" s="229">
        <v>790000</v>
      </c>
      <c r="J357" s="229"/>
      <c r="K357" s="218"/>
      <c r="L357" s="87">
        <v>46074</v>
      </c>
      <c r="M357" s="87">
        <v>46803</v>
      </c>
      <c r="N357" s="82" t="s">
        <v>1480</v>
      </c>
      <c r="O357" s="82" t="s">
        <v>1481</v>
      </c>
      <c r="P357" s="241">
        <v>50000000</v>
      </c>
      <c r="Q357" s="241">
        <v>700000</v>
      </c>
      <c r="R357" s="82" t="s">
        <v>40</v>
      </c>
      <c r="S357" s="241">
        <v>90000</v>
      </c>
      <c r="T357" s="82" t="s">
        <v>40</v>
      </c>
      <c r="U357" s="241"/>
      <c r="V357" s="82"/>
      <c r="W357" s="88"/>
      <c r="X357" s="82"/>
      <c r="Y357" s="89"/>
      <c r="Z357" s="82"/>
      <c r="AA357" s="220"/>
      <c r="AB357" s="241">
        <v>130000</v>
      </c>
      <c r="AC357" s="241">
        <v>250000</v>
      </c>
      <c r="AD357" s="241"/>
      <c r="AE357" s="82" t="s">
        <v>461</v>
      </c>
      <c r="AF357" s="82" t="s">
        <v>1453</v>
      </c>
      <c r="AG357" s="90"/>
      <c r="AH357" s="90"/>
      <c r="AI357" s="90"/>
      <c r="AJ357" s="90"/>
      <c r="AK357" s="82"/>
      <c r="AL357" s="82" t="str" cm="1">
        <f t="array" aca="1" ref="AL357" ca="1">_xlfn.IFS(
 AND($AK357&lt;&gt;"", M357&lt;&gt;0, M357&lt;=EDATE(TODAY(),2)),"도래",
 AND($AK357&lt;&gt;"", M357&lt;&gt;0, M357&lt;=EDATE(TODAY(),3)),"예정",
 AND($AK357&lt;&gt;"", M357&lt;&gt;0, M357&lt;=EDATE(TODAY(),6)),"관심",
 TRUE,""
)</f>
        <v/>
      </c>
      <c r="AM357" s="198">
        <f t="shared" si="12"/>
        <v>21</v>
      </c>
    </row>
    <row r="358" spans="1:39" ht="18" customHeight="1">
      <c r="A358" s="81"/>
      <c r="B358" s="205" t="str">
        <f>_xlfn.LET(_xlpm.var,◆관리정보!B358,IF(_xlpm.var&lt;&gt;0,_xlpm.var,""))</f>
        <v>신림프리미어</v>
      </c>
      <c r="C358" s="82">
        <f>_xlfn.LET(_xlpm.var,◆관리정보!C358,IF(_xlpm.var&lt;&gt;0,_xlpm.var,""))</f>
        <v>305</v>
      </c>
      <c r="D358" s="83" t="s">
        <v>1482</v>
      </c>
      <c r="E358" s="84" t="str">
        <f t="shared" si="11"/>
        <v>신림프리미어305</v>
      </c>
      <c r="F358" s="85">
        <v>46102</v>
      </c>
      <c r="G358" s="229"/>
      <c r="H358" s="229"/>
      <c r="I358" s="229">
        <v>640000</v>
      </c>
      <c r="J358" s="229"/>
      <c r="K358" s="218"/>
      <c r="L358" s="87">
        <v>46074</v>
      </c>
      <c r="M358" s="87">
        <v>46803</v>
      </c>
      <c r="N358" s="82" t="s">
        <v>1483</v>
      </c>
      <c r="O358" s="82" t="s">
        <v>1484</v>
      </c>
      <c r="P358" s="241">
        <v>60000000</v>
      </c>
      <c r="Q358" s="241">
        <v>550000</v>
      </c>
      <c r="R358" s="82" t="s">
        <v>40</v>
      </c>
      <c r="S358" s="241">
        <v>90000</v>
      </c>
      <c r="T358" s="82" t="s">
        <v>40</v>
      </c>
      <c r="U358" s="241"/>
      <c r="V358" s="82"/>
      <c r="W358" s="88"/>
      <c r="X358" s="82"/>
      <c r="Y358" s="89"/>
      <c r="Z358" s="82"/>
      <c r="AA358" s="220"/>
      <c r="AB358" s="241">
        <v>130000</v>
      </c>
      <c r="AC358" s="261">
        <v>250000</v>
      </c>
      <c r="AD358" s="241"/>
      <c r="AE358" s="82" t="s">
        <v>461</v>
      </c>
      <c r="AF358" s="82" t="s">
        <v>1453</v>
      </c>
      <c r="AG358" s="90"/>
      <c r="AH358" s="90"/>
      <c r="AI358" s="90" t="s">
        <v>1485</v>
      </c>
      <c r="AJ358" s="90"/>
      <c r="AK358" s="82"/>
      <c r="AL358" s="82" t="str" cm="1">
        <f t="array" aca="1" ref="AL358" ca="1">_xlfn.IFS(
 AND($AK358&lt;&gt;"", M358&lt;&gt;0, M358&lt;=EDATE(TODAY(),2)),"도래",
 AND($AK358&lt;&gt;"", M358&lt;&gt;0, M358&lt;=EDATE(TODAY(),3)),"예정",
 AND($AK358&lt;&gt;"", M358&lt;&gt;0, M358&lt;=EDATE(TODAY(),6)),"관심",
 TRUE,""
)</f>
        <v/>
      </c>
      <c r="AM358" s="198">
        <f t="shared" si="12"/>
        <v>21</v>
      </c>
    </row>
    <row r="359" spans="1:39" ht="18" customHeight="1">
      <c r="A359" s="81"/>
      <c r="B359" s="205" t="str">
        <f>_xlfn.LET(_xlpm.var,◆관리정보!B359,IF(_xlpm.var&lt;&gt;0,_xlpm.var,""))</f>
        <v>신림프리미어</v>
      </c>
      <c r="C359" s="82">
        <f>_xlfn.LET(_xlpm.var,◆관리정보!C359,IF(_xlpm.var&lt;&gt;0,_xlpm.var,""))</f>
        <v>401</v>
      </c>
      <c r="D359" s="83" t="s">
        <v>1486</v>
      </c>
      <c r="E359" s="84" t="str">
        <f t="shared" si="11"/>
        <v>신림프리미어401</v>
      </c>
      <c r="F359" s="85">
        <v>46106</v>
      </c>
      <c r="G359" s="229"/>
      <c r="H359" s="229"/>
      <c r="I359" s="229">
        <v>720000</v>
      </c>
      <c r="J359" s="229"/>
      <c r="K359" s="218"/>
      <c r="L359" s="87">
        <v>45347</v>
      </c>
      <c r="M359" s="87">
        <v>46077</v>
      </c>
      <c r="N359" s="82" t="s">
        <v>1487</v>
      </c>
      <c r="O359" s="82" t="s">
        <v>1488</v>
      </c>
      <c r="P359" s="241">
        <v>30000000</v>
      </c>
      <c r="Q359" s="241">
        <v>650000</v>
      </c>
      <c r="R359" s="82"/>
      <c r="S359" s="241">
        <v>70000</v>
      </c>
      <c r="T359" s="82" t="s">
        <v>40</v>
      </c>
      <c r="U359" s="241"/>
      <c r="V359" s="82"/>
      <c r="W359" s="88"/>
      <c r="X359" s="82"/>
      <c r="Y359" s="89"/>
      <c r="Z359" s="82"/>
      <c r="AA359" s="220"/>
      <c r="AB359" s="241">
        <v>110000</v>
      </c>
      <c r="AC359" s="241"/>
      <c r="AD359" s="241"/>
      <c r="AE359" s="82"/>
      <c r="AF359" s="82"/>
      <c r="AG359" s="90"/>
      <c r="AH359" s="90"/>
      <c r="AI359" s="90" t="s">
        <v>1489</v>
      </c>
      <c r="AJ359" s="90"/>
      <c r="AK359" s="82"/>
      <c r="AL359" s="82" t="str" cm="1">
        <f t="array" aca="1" ref="AL359" ca="1">_xlfn.IFS(
 AND($AK359&lt;&gt;"", M359&lt;&gt;0, M359&lt;=EDATE(TODAY(),2)),"도래",
 AND($AK359&lt;&gt;"", M359&lt;&gt;0, M359&lt;=EDATE(TODAY(),3)),"예정",
 AND($AK359&lt;&gt;"", M359&lt;&gt;0, M359&lt;=EDATE(TODAY(),6)),"관심",
 TRUE,""
)</f>
        <v/>
      </c>
      <c r="AM359" s="198">
        <f t="shared" si="12"/>
        <v>25</v>
      </c>
    </row>
    <row r="360" spans="1:39" ht="18" customHeight="1">
      <c r="A360" s="81"/>
      <c r="B360" s="205" t="str">
        <f>_xlfn.LET(_xlpm.var,◆관리정보!B360,IF(_xlpm.var&lt;&gt;0,_xlpm.var,""))</f>
        <v>신림프리미어</v>
      </c>
      <c r="C360" s="82">
        <f>_xlfn.LET(_xlpm.var,◆관리정보!C360,IF(_xlpm.var&lt;&gt;0,_xlpm.var,""))</f>
        <v>402</v>
      </c>
      <c r="D360" s="83" t="s">
        <v>1490</v>
      </c>
      <c r="E360" s="84" t="str">
        <f t="shared" si="11"/>
        <v>신림프리미어402</v>
      </c>
      <c r="F360" s="85">
        <v>46127</v>
      </c>
      <c r="G360" s="229"/>
      <c r="H360" s="229"/>
      <c r="I360" s="229"/>
      <c r="J360" s="229"/>
      <c r="K360" s="218"/>
      <c r="L360" s="87">
        <v>45337</v>
      </c>
      <c r="M360" s="87">
        <v>46067</v>
      </c>
      <c r="N360" s="82" t="s">
        <v>1491</v>
      </c>
      <c r="O360" s="82" t="s">
        <v>1492</v>
      </c>
      <c r="P360" s="241">
        <v>10000000</v>
      </c>
      <c r="Q360" s="241">
        <v>500000</v>
      </c>
      <c r="R360" s="82"/>
      <c r="S360" s="241">
        <v>70000</v>
      </c>
      <c r="T360" s="82" t="s">
        <v>40</v>
      </c>
      <c r="U360" s="241"/>
      <c r="V360" s="82"/>
      <c r="W360" s="88"/>
      <c r="X360" s="82"/>
      <c r="Y360" s="89"/>
      <c r="Z360" s="82"/>
      <c r="AA360" s="220"/>
      <c r="AB360" s="241">
        <v>110000</v>
      </c>
      <c r="AC360" s="241"/>
      <c r="AD360" s="241"/>
      <c r="AE360" s="82"/>
      <c r="AF360" s="82"/>
      <c r="AG360" s="90"/>
      <c r="AH360" s="90"/>
      <c r="AI360" s="90"/>
      <c r="AJ360" s="90"/>
      <c r="AK360" s="82"/>
      <c r="AL360" s="82" t="str" cm="1">
        <f t="array" aca="1" ref="AL360" ca="1">_xlfn.IFS(
 AND($AK360&lt;&gt;"", M360&lt;&gt;0, M360&lt;=EDATE(TODAY(),2)),"도래",
 AND($AK360&lt;&gt;"", M360&lt;&gt;0, M360&lt;=EDATE(TODAY(),3)),"예정",
 AND($AK360&lt;&gt;"", M360&lt;&gt;0, M360&lt;=EDATE(TODAY(),6)),"관심",
 TRUE,""
)</f>
        <v/>
      </c>
      <c r="AM360" s="198">
        <f t="shared" si="12"/>
        <v>15</v>
      </c>
    </row>
    <row r="361" spans="1:39" ht="18" customHeight="1">
      <c r="A361" s="81"/>
      <c r="B361" s="205" t="str">
        <f>_xlfn.LET(_xlpm.var,◆관리정보!B361,IF(_xlpm.var&lt;&gt;0,_xlpm.var,""))</f>
        <v>신림프리미어</v>
      </c>
      <c r="C361" s="82">
        <f>_xlfn.LET(_xlpm.var,◆관리정보!C361,IF(_xlpm.var&lt;&gt;0,_xlpm.var,""))</f>
        <v>403</v>
      </c>
      <c r="D361" s="83" t="s">
        <v>1493</v>
      </c>
      <c r="E361" s="84" t="str">
        <f t="shared" si="11"/>
        <v>신림프리미어403</v>
      </c>
      <c r="F361" s="85">
        <v>46124</v>
      </c>
      <c r="G361" s="229"/>
      <c r="H361" s="229"/>
      <c r="I361" s="229"/>
      <c r="J361" s="229"/>
      <c r="K361" s="318"/>
      <c r="L361" s="87">
        <v>46034</v>
      </c>
      <c r="M361" s="87">
        <v>46763</v>
      </c>
      <c r="N361" s="82" t="s">
        <v>1494</v>
      </c>
      <c r="O361" s="82" t="s">
        <v>1495</v>
      </c>
      <c r="P361" s="241">
        <v>30000000</v>
      </c>
      <c r="Q361" s="241">
        <v>750000</v>
      </c>
      <c r="R361" s="82"/>
      <c r="S361" s="241">
        <v>90000</v>
      </c>
      <c r="T361" s="82" t="s">
        <v>40</v>
      </c>
      <c r="U361" s="241"/>
      <c r="V361" s="82"/>
      <c r="W361" s="88"/>
      <c r="X361" s="82"/>
      <c r="Y361" s="89"/>
      <c r="Z361" s="82"/>
      <c r="AA361" s="220"/>
      <c r="AB361" s="241">
        <v>100000</v>
      </c>
      <c r="AC361" s="241">
        <v>250000</v>
      </c>
      <c r="AD361" s="241"/>
      <c r="AE361" s="82" t="s">
        <v>461</v>
      </c>
      <c r="AF361" s="82"/>
      <c r="AG361" s="90"/>
      <c r="AH361" s="90"/>
      <c r="AI361" s="90"/>
      <c r="AJ361" s="90"/>
      <c r="AK361" s="82"/>
      <c r="AL361" s="82" t="str" cm="1">
        <f t="array" aca="1" ref="AL361" ca="1">_xlfn.IFS(
 AND($AK361&lt;&gt;"", M361&lt;&gt;0, M361&lt;=EDATE(TODAY(),2)),"도래",
 AND($AK361&lt;&gt;"", M361&lt;&gt;0, M361&lt;=EDATE(TODAY(),3)),"예정",
 AND($AK361&lt;&gt;"", M361&lt;&gt;0, M361&lt;=EDATE(TODAY(),6)),"관심",
 TRUE,""
)</f>
        <v/>
      </c>
      <c r="AM361" s="198">
        <f t="shared" si="12"/>
        <v>12</v>
      </c>
    </row>
    <row r="362" spans="1:39" ht="18" customHeight="1">
      <c r="A362" s="81"/>
      <c r="B362" s="205" t="str">
        <f>_xlfn.LET(_xlpm.var,◆관리정보!B362,IF(_xlpm.var&lt;&gt;0,_xlpm.var,""))</f>
        <v>신림프리미어</v>
      </c>
      <c r="C362" s="82">
        <f>_xlfn.LET(_xlpm.var,◆관리정보!C362,IF(_xlpm.var&lt;&gt;0,_xlpm.var,""))</f>
        <v>404</v>
      </c>
      <c r="D362" s="83" t="s">
        <v>1496</v>
      </c>
      <c r="E362" s="84" t="str">
        <f t="shared" si="11"/>
        <v>신림프리미어404</v>
      </c>
      <c r="F362" s="85">
        <v>46130</v>
      </c>
      <c r="G362" s="229"/>
      <c r="H362" s="229"/>
      <c r="I362" s="229"/>
      <c r="J362" s="229"/>
      <c r="K362" s="218"/>
      <c r="L362" s="87">
        <v>44822</v>
      </c>
      <c r="M362" s="87">
        <v>45186</v>
      </c>
      <c r="N362" s="82" t="s">
        <v>1497</v>
      </c>
      <c r="O362" s="82" t="s">
        <v>1498</v>
      </c>
      <c r="P362" s="241"/>
      <c r="Q362" s="241">
        <v>600000</v>
      </c>
      <c r="R362" s="82"/>
      <c r="S362" s="241"/>
      <c r="T362" s="82" t="s">
        <v>1499</v>
      </c>
      <c r="U362" s="241"/>
      <c r="V362" s="82"/>
      <c r="W362" s="88"/>
      <c r="X362" s="82"/>
      <c r="Y362" s="89"/>
      <c r="Z362" s="82"/>
      <c r="AA362" s="220" t="s">
        <v>1500</v>
      </c>
      <c r="AB362" s="241">
        <v>100000</v>
      </c>
      <c r="AC362" s="241"/>
      <c r="AD362" s="241"/>
      <c r="AE362" s="82"/>
      <c r="AF362" s="82"/>
      <c r="AG362" s="90"/>
      <c r="AH362" s="90"/>
      <c r="AI362" s="90" t="s">
        <v>1501</v>
      </c>
      <c r="AJ362" s="90"/>
      <c r="AK362" s="82"/>
      <c r="AL362" s="82" t="str" cm="1">
        <f t="array" aca="1" ref="AL362" ca="1">_xlfn.IFS(
 AND($AK362&lt;&gt;"", M362&lt;&gt;0, M362&lt;=EDATE(TODAY(),2)),"도래",
 AND($AK362&lt;&gt;"", M362&lt;&gt;0, M362&lt;=EDATE(TODAY(),3)),"예정",
 AND($AK362&lt;&gt;"", M362&lt;&gt;0, M362&lt;=EDATE(TODAY(),6)),"관심",
 TRUE,""
)</f>
        <v/>
      </c>
      <c r="AM362" s="198">
        <f t="shared" si="12"/>
        <v>18</v>
      </c>
    </row>
    <row r="363" spans="1:39" ht="18" customHeight="1">
      <c r="A363" s="81"/>
      <c r="B363" s="205" t="str">
        <f>_xlfn.LET(_xlpm.var,◆관리정보!B363,IF(_xlpm.var&lt;&gt;0,_xlpm.var,""))</f>
        <v>신림프리미어</v>
      </c>
      <c r="C363" s="82">
        <f>_xlfn.LET(_xlpm.var,◆관리정보!C363,IF(_xlpm.var&lt;&gt;0,_xlpm.var,""))</f>
        <v>405</v>
      </c>
      <c r="D363" s="83" t="s">
        <v>1502</v>
      </c>
      <c r="E363" s="84" t="str">
        <f t="shared" si="11"/>
        <v>신림프리미어405</v>
      </c>
      <c r="F363" s="85">
        <v>46099</v>
      </c>
      <c r="G363" s="229"/>
      <c r="H363" s="229"/>
      <c r="I363" s="229">
        <v>680000</v>
      </c>
      <c r="J363" s="229"/>
      <c r="K363" s="218"/>
      <c r="L363" s="87">
        <v>45522</v>
      </c>
      <c r="M363" s="87">
        <v>46251</v>
      </c>
      <c r="N363" s="82" t="s">
        <v>1503</v>
      </c>
      <c r="O363" s="82" t="s">
        <v>1504</v>
      </c>
      <c r="P363" s="241">
        <v>50000000</v>
      </c>
      <c r="Q363" s="241">
        <v>590000</v>
      </c>
      <c r="R363" s="82"/>
      <c r="S363" s="241">
        <v>90000</v>
      </c>
      <c r="T363" s="82" t="s">
        <v>40</v>
      </c>
      <c r="U363" s="241"/>
      <c r="V363" s="82"/>
      <c r="W363" s="88"/>
      <c r="X363" s="82"/>
      <c r="Y363" s="89"/>
      <c r="Z363" s="82"/>
      <c r="AA363" s="220"/>
      <c r="AB363" s="241">
        <v>110000</v>
      </c>
      <c r="AC363" s="241"/>
      <c r="AD363" s="241"/>
      <c r="AE363" s="82"/>
      <c r="AF363" s="82"/>
      <c r="AG363" s="90"/>
      <c r="AH363" s="90"/>
      <c r="AI363" s="90"/>
      <c r="AJ363" s="90"/>
      <c r="AK363" s="82"/>
      <c r="AL363" s="82" t="str" cm="1">
        <f t="array" aca="1" ref="AL363" ca="1">_xlfn.IFS(
 AND($AK363&lt;&gt;"", M363&lt;&gt;0, M363&lt;=EDATE(TODAY(),2)),"도래",
 AND($AK363&lt;&gt;"", M363&lt;&gt;0, M363&lt;=EDATE(TODAY(),3)),"예정",
 AND($AK363&lt;&gt;"", M363&lt;&gt;0, M363&lt;=EDATE(TODAY(),6)),"관심",
 TRUE,""
)</f>
        <v/>
      </c>
      <c r="AM363" s="198">
        <f t="shared" si="12"/>
        <v>18</v>
      </c>
    </row>
    <row r="364" spans="1:39" ht="18" customHeight="1">
      <c r="A364" s="81"/>
      <c r="B364" s="205" t="str">
        <f>_xlfn.LET(_xlpm.var,◆관리정보!B364,IF(_xlpm.var&lt;&gt;0,_xlpm.var,""))</f>
        <v>신림프리미어</v>
      </c>
      <c r="C364" s="82">
        <f>_xlfn.LET(_xlpm.var,◆관리정보!C364,IF(_xlpm.var&lt;&gt;0,_xlpm.var,""))</f>
        <v>501</v>
      </c>
      <c r="D364" s="83" t="s">
        <v>1505</v>
      </c>
      <c r="E364" s="84" t="str">
        <f t="shared" si="11"/>
        <v>신림프리미어501</v>
      </c>
      <c r="F364" s="85">
        <v>46111</v>
      </c>
      <c r="G364" s="229"/>
      <c r="H364" s="229"/>
      <c r="I364" s="229"/>
      <c r="J364" s="229"/>
      <c r="K364" s="218"/>
      <c r="L364" s="87">
        <v>44956</v>
      </c>
      <c r="M364" s="87">
        <v>45686</v>
      </c>
      <c r="N364" s="82" t="s">
        <v>1506</v>
      </c>
      <c r="O364" s="82" t="s">
        <v>1507</v>
      </c>
      <c r="P364" s="241">
        <v>20000000</v>
      </c>
      <c r="Q364" s="241">
        <v>700000</v>
      </c>
      <c r="R364" s="82"/>
      <c r="S364" s="241">
        <v>70000</v>
      </c>
      <c r="T364" s="82" t="s">
        <v>40</v>
      </c>
      <c r="U364" s="241"/>
      <c r="V364" s="82"/>
      <c r="W364" s="88"/>
      <c r="X364" s="82"/>
      <c r="Y364" s="89"/>
      <c r="Z364" s="82"/>
      <c r="AA364" s="220"/>
      <c r="AB364" s="241">
        <v>100000</v>
      </c>
      <c r="AC364" s="241"/>
      <c r="AD364" s="241"/>
      <c r="AE364" s="82"/>
      <c r="AF364" s="82"/>
      <c r="AG364" s="90"/>
      <c r="AH364" s="90"/>
      <c r="AI364" s="90" t="s">
        <v>1508</v>
      </c>
      <c r="AJ364" s="90"/>
      <c r="AK364" s="82"/>
      <c r="AL364" s="82" t="str" cm="1">
        <f t="array" aca="1" ref="AL364" ca="1">_xlfn.IFS(
 AND($AK364&lt;&gt;"", M364&lt;&gt;0, M364&lt;=EDATE(TODAY(),2)),"도래",
 AND($AK364&lt;&gt;"", M364&lt;&gt;0, M364&lt;=EDATE(TODAY(),3)),"예정",
 AND($AK364&lt;&gt;"", M364&lt;&gt;0, M364&lt;=EDATE(TODAY(),6)),"관심",
 TRUE,""
)</f>
        <v/>
      </c>
      <c r="AM364" s="198">
        <f t="shared" si="12"/>
        <v>30</v>
      </c>
    </row>
    <row r="365" spans="1:39" ht="18" customHeight="1">
      <c r="A365" s="81"/>
      <c r="B365" s="205" t="str">
        <f>_xlfn.LET(_xlpm.var,◆관리정보!B365,IF(_xlpm.var&lt;&gt;0,_xlpm.var,""))</f>
        <v>신림프리미어</v>
      </c>
      <c r="C365" s="82">
        <f>_xlfn.LET(_xlpm.var,◆관리정보!C365,IF(_xlpm.var&lt;&gt;0,_xlpm.var,""))</f>
        <v>502</v>
      </c>
      <c r="D365" s="83" t="s">
        <v>1509</v>
      </c>
      <c r="E365" s="84" t="str">
        <f t="shared" si="11"/>
        <v>신림프리미어502</v>
      </c>
      <c r="F365" s="85">
        <v>46103</v>
      </c>
      <c r="G365" s="229"/>
      <c r="H365" s="229"/>
      <c r="I365" s="229">
        <v>470000</v>
      </c>
      <c r="J365" s="229"/>
      <c r="K365" s="218"/>
      <c r="L365" s="87">
        <v>43973</v>
      </c>
      <c r="M365" s="87">
        <v>44702</v>
      </c>
      <c r="N365" s="82" t="s">
        <v>1510</v>
      </c>
      <c r="O365" s="82" t="s">
        <v>1511</v>
      </c>
      <c r="P365" s="241">
        <v>30000000</v>
      </c>
      <c r="Q365" s="241">
        <v>400000</v>
      </c>
      <c r="R365" s="82"/>
      <c r="S365" s="241">
        <v>70000</v>
      </c>
      <c r="T365" s="82" t="s">
        <v>40</v>
      </c>
      <c r="U365" s="241"/>
      <c r="V365" s="82"/>
      <c r="W365" s="88"/>
      <c r="X365" s="82"/>
      <c r="Y365" s="89"/>
      <c r="Z365" s="82"/>
      <c r="AA365" s="220"/>
      <c r="AB365" s="241">
        <v>70000</v>
      </c>
      <c r="AC365" s="241"/>
      <c r="AD365" s="241"/>
      <c r="AE365" s="82"/>
      <c r="AF365" s="82"/>
      <c r="AG365" s="90"/>
      <c r="AH365" s="90"/>
      <c r="AI365" s="90"/>
      <c r="AJ365" s="90"/>
      <c r="AK365" s="82"/>
      <c r="AL365" s="82" t="str" cm="1">
        <f t="array" aca="1" ref="AL365" ca="1">_xlfn.IFS(
 AND($AK365&lt;&gt;"", M365&lt;&gt;0, M365&lt;=EDATE(TODAY(),2)),"도래",
 AND($AK365&lt;&gt;"", M365&lt;&gt;0, M365&lt;=EDATE(TODAY(),3)),"예정",
 AND($AK365&lt;&gt;"", M365&lt;&gt;0, M365&lt;=EDATE(TODAY(),6)),"관심",
 TRUE,""
)</f>
        <v/>
      </c>
      <c r="AM365" s="198">
        <f t="shared" si="12"/>
        <v>22</v>
      </c>
    </row>
    <row r="366" spans="1:39" ht="18" customHeight="1">
      <c r="A366" s="81"/>
      <c r="B366" s="205" t="str">
        <f>_xlfn.LET(_xlpm.var,◆관리정보!B366,IF(_xlpm.var&lt;&gt;0,_xlpm.var,""))</f>
        <v>신림프리미어</v>
      </c>
      <c r="C366" s="82">
        <f>_xlfn.LET(_xlpm.var,◆관리정보!C366,IF(_xlpm.var&lt;&gt;0,_xlpm.var,""))</f>
        <v>503</v>
      </c>
      <c r="D366" s="83" t="s">
        <v>1512</v>
      </c>
      <c r="E366" s="84" t="str">
        <f t="shared" si="11"/>
        <v>신림프리미어503</v>
      </c>
      <c r="F366" s="85">
        <v>46118</v>
      </c>
      <c r="G366" s="229"/>
      <c r="H366" s="229"/>
      <c r="I366" s="229"/>
      <c r="J366" s="229"/>
      <c r="K366" s="218"/>
      <c r="L366" s="87">
        <v>45694</v>
      </c>
      <c r="M366" s="87">
        <v>46423</v>
      </c>
      <c r="N366" s="82" t="s">
        <v>1513</v>
      </c>
      <c r="O366" s="82" t="s">
        <v>1514</v>
      </c>
      <c r="P366" s="241">
        <v>80000000</v>
      </c>
      <c r="Q366" s="241">
        <v>550000</v>
      </c>
      <c r="R366" s="82"/>
      <c r="S366" s="305">
        <v>160000</v>
      </c>
      <c r="T366" s="82" t="s">
        <v>40</v>
      </c>
      <c r="U366" s="241"/>
      <c r="V366" s="82"/>
      <c r="W366" s="88"/>
      <c r="X366" s="82"/>
      <c r="Y366" s="89"/>
      <c r="Z366" s="82"/>
      <c r="AA366" s="220">
        <v>8833</v>
      </c>
      <c r="AB366" s="241">
        <v>130000</v>
      </c>
      <c r="AC366" s="241"/>
      <c r="AD366" s="241"/>
      <c r="AE366" s="82"/>
      <c r="AF366" s="82"/>
      <c r="AG366" s="90"/>
      <c r="AH366" s="90"/>
      <c r="AI366" s="90"/>
      <c r="AJ366" s="90"/>
      <c r="AK366" s="82"/>
      <c r="AL366" s="82" t="str" cm="1">
        <f t="array" aca="1" ref="AL366" ca="1">_xlfn.IFS(
 AND($AK366&lt;&gt;"", M366&lt;&gt;0, M366&lt;=EDATE(TODAY(),2)),"도래",
 AND($AK366&lt;&gt;"", M366&lt;&gt;0, M366&lt;=EDATE(TODAY(),3)),"예정",
 AND($AK366&lt;&gt;"", M366&lt;&gt;0, M366&lt;=EDATE(TODAY(),6)),"관심",
 TRUE,""
)</f>
        <v/>
      </c>
      <c r="AM366" s="198">
        <f t="shared" si="12"/>
        <v>6</v>
      </c>
    </row>
    <row r="367" spans="1:39" ht="18" customHeight="1">
      <c r="A367" s="81"/>
      <c r="B367" s="205" t="str">
        <f>_xlfn.LET(_xlpm.var,◆관리정보!B367,IF(_xlpm.var&lt;&gt;0,_xlpm.var,""))</f>
        <v>신림프리미어</v>
      </c>
      <c r="C367" s="82">
        <f>_xlfn.LET(_xlpm.var,◆관리정보!C367,IF(_xlpm.var&lt;&gt;0,_xlpm.var,""))</f>
        <v>504</v>
      </c>
      <c r="D367" s="83" t="s">
        <v>1515</v>
      </c>
      <c r="E367" s="84" t="str">
        <f t="shared" si="11"/>
        <v>신림프리미어504</v>
      </c>
      <c r="F367" s="85">
        <v>46130</v>
      </c>
      <c r="G367" s="229"/>
      <c r="H367" s="229"/>
      <c r="I367" s="229"/>
      <c r="J367" s="229"/>
      <c r="K367" s="218"/>
      <c r="L367" s="87">
        <v>45187</v>
      </c>
      <c r="M367" s="87">
        <v>45917</v>
      </c>
      <c r="N367" s="82" t="s">
        <v>1516</v>
      </c>
      <c r="O367" s="82" t="s">
        <v>1517</v>
      </c>
      <c r="P367" s="241">
        <v>50000000</v>
      </c>
      <c r="Q367" s="241">
        <v>690000</v>
      </c>
      <c r="R367" s="82"/>
      <c r="S367" s="241">
        <v>70000</v>
      </c>
      <c r="T367" s="82" t="s">
        <v>40</v>
      </c>
      <c r="U367" s="241"/>
      <c r="V367" s="82"/>
      <c r="W367" s="88"/>
      <c r="X367" s="82"/>
      <c r="Y367" s="89"/>
      <c r="Z367" s="82"/>
      <c r="AA367" s="220"/>
      <c r="AB367" s="241">
        <v>110000</v>
      </c>
      <c r="AC367" s="241"/>
      <c r="AD367" s="241"/>
      <c r="AE367" s="82"/>
      <c r="AF367" s="82"/>
      <c r="AG367" s="90"/>
      <c r="AH367" s="90"/>
      <c r="AI367" s="90"/>
      <c r="AJ367" s="90"/>
      <c r="AK367" s="82"/>
      <c r="AL367" s="82" t="str" cm="1">
        <f t="array" aca="1" ref="AL367" ca="1">_xlfn.IFS(
 AND($AK367&lt;&gt;"", M367&lt;&gt;0, M367&lt;=EDATE(TODAY(),2)),"도래",
 AND($AK367&lt;&gt;"", M367&lt;&gt;0, M367&lt;=EDATE(TODAY(),3)),"예정",
 AND($AK367&lt;&gt;"", M367&lt;&gt;0, M367&lt;=EDATE(TODAY(),6)),"관심",
 TRUE,""
)</f>
        <v/>
      </c>
      <c r="AM367" s="198">
        <f t="shared" si="12"/>
        <v>18</v>
      </c>
    </row>
    <row r="368" spans="1:39" ht="18" customHeight="1">
      <c r="A368" s="81"/>
      <c r="B368" s="205" t="str">
        <f>_xlfn.LET(_xlpm.var,◆관리정보!B368,IF(_xlpm.var&lt;&gt;0,_xlpm.var,""))</f>
        <v>신림프리미어</v>
      </c>
      <c r="C368" s="82">
        <f>_xlfn.LET(_xlpm.var,◆관리정보!C368,IF(_xlpm.var&lt;&gt;0,_xlpm.var,""))</f>
        <v>505</v>
      </c>
      <c r="D368" s="83" t="s">
        <v>1518</v>
      </c>
      <c r="E368" s="84" t="str">
        <f t="shared" si="11"/>
        <v>신림프리미어505</v>
      </c>
      <c r="F368" s="85">
        <v>46129</v>
      </c>
      <c r="G368" s="229"/>
      <c r="H368" s="229"/>
      <c r="I368" s="229"/>
      <c r="J368" s="229"/>
      <c r="K368" s="218"/>
      <c r="L368" s="87">
        <v>44698</v>
      </c>
      <c r="M368" s="87">
        <v>45428</v>
      </c>
      <c r="N368" s="82" t="s">
        <v>1519</v>
      </c>
      <c r="O368" s="82" t="s">
        <v>1520</v>
      </c>
      <c r="P368" s="241">
        <v>30000000</v>
      </c>
      <c r="Q368" s="241">
        <v>660000</v>
      </c>
      <c r="R368" s="82"/>
      <c r="S368" s="305">
        <v>160000</v>
      </c>
      <c r="T368" s="82" t="s">
        <v>40</v>
      </c>
      <c r="U368" s="241"/>
      <c r="V368" s="82"/>
      <c r="W368" s="88"/>
      <c r="X368" s="82"/>
      <c r="Y368" s="89">
        <v>30000</v>
      </c>
      <c r="Z368" s="82"/>
      <c r="AA368" s="220" t="s">
        <v>1521</v>
      </c>
      <c r="AB368" s="241">
        <v>100000</v>
      </c>
      <c r="AC368" s="241"/>
      <c r="AD368" s="241"/>
      <c r="AE368" s="82"/>
      <c r="AF368" s="82"/>
      <c r="AG368" s="90"/>
      <c r="AH368" s="90"/>
      <c r="AI368" s="90" t="s">
        <v>1522</v>
      </c>
      <c r="AJ368" s="90"/>
      <c r="AK368" s="82"/>
      <c r="AL368" s="82" t="str" cm="1">
        <f t="array" aca="1" ref="AL368" ca="1">_xlfn.IFS(
 AND($AK368&lt;&gt;"", M368&lt;&gt;0, M368&lt;=EDATE(TODAY(),2)),"도래",
 AND($AK368&lt;&gt;"", M368&lt;&gt;0, M368&lt;=EDATE(TODAY(),3)),"예정",
 AND($AK368&lt;&gt;"", M368&lt;&gt;0, M368&lt;=EDATE(TODAY(),6)),"관심",
 TRUE,""
)</f>
        <v/>
      </c>
      <c r="AM368" s="198">
        <f t="shared" si="12"/>
        <v>17</v>
      </c>
    </row>
    <row r="369" spans="1:39" ht="18" customHeight="1">
      <c r="A369" s="81"/>
      <c r="B369" s="205" t="str">
        <f>_xlfn.LET(_xlpm.var,◆관리정보!B369,IF(_xlpm.var&lt;&gt;0,_xlpm.var,""))</f>
        <v>신림프리미어</v>
      </c>
      <c r="C369" s="82">
        <f>_xlfn.LET(_xlpm.var,◆관리정보!C369,IF(_xlpm.var&lt;&gt;0,_xlpm.var,""))</f>
        <v>601</v>
      </c>
      <c r="D369" s="83" t="s">
        <v>1523</v>
      </c>
      <c r="E369" s="84" t="str">
        <f t="shared" si="11"/>
        <v>신림프리미어601</v>
      </c>
      <c r="F369" s="85">
        <v>46124</v>
      </c>
      <c r="G369" s="229"/>
      <c r="H369" s="229"/>
      <c r="I369" s="229"/>
      <c r="J369" s="229"/>
      <c r="K369" s="318"/>
      <c r="L369" s="87">
        <v>45119</v>
      </c>
      <c r="M369" s="87">
        <v>45849</v>
      </c>
      <c r="N369" s="82" t="s">
        <v>1524</v>
      </c>
      <c r="O369" s="82" t="s">
        <v>1525</v>
      </c>
      <c r="P369" s="241">
        <v>30000000</v>
      </c>
      <c r="Q369" s="241">
        <v>630000</v>
      </c>
      <c r="R369" s="82"/>
      <c r="S369" s="241">
        <v>70000</v>
      </c>
      <c r="T369" s="82" t="s">
        <v>40</v>
      </c>
      <c r="U369" s="241"/>
      <c r="V369" s="82"/>
      <c r="W369" s="88"/>
      <c r="X369" s="82"/>
      <c r="Y369" s="89"/>
      <c r="Z369" s="82"/>
      <c r="AA369" s="220"/>
      <c r="AB369" s="241">
        <v>110000</v>
      </c>
      <c r="AC369" s="241"/>
      <c r="AD369" s="241"/>
      <c r="AE369" s="82"/>
      <c r="AF369" s="82"/>
      <c r="AG369" s="90"/>
      <c r="AH369" s="90"/>
      <c r="AI369" s="90"/>
      <c r="AJ369" s="90"/>
      <c r="AK369" s="82"/>
      <c r="AL369" s="82" t="str" cm="1">
        <f t="array" aca="1" ref="AL369" ca="1">_xlfn.IFS(
 AND($AK369&lt;&gt;"", M369&lt;&gt;0, M369&lt;=EDATE(TODAY(),2)),"도래",
 AND($AK369&lt;&gt;"", M369&lt;&gt;0, M369&lt;=EDATE(TODAY(),3)),"예정",
 AND($AK369&lt;&gt;"", M369&lt;&gt;0, M369&lt;=EDATE(TODAY(),6)),"관심",
 TRUE,""
)</f>
        <v/>
      </c>
      <c r="AM369" s="198">
        <f t="shared" si="12"/>
        <v>12</v>
      </c>
    </row>
    <row r="370" spans="1:39" ht="18" customHeight="1">
      <c r="A370" s="81"/>
      <c r="B370" s="205" t="str">
        <f>_xlfn.LET(_xlpm.var,◆관리정보!B370,IF(_xlpm.var&lt;&gt;0,_xlpm.var,""))</f>
        <v>신림프리미어</v>
      </c>
      <c r="C370" s="82">
        <f>_xlfn.LET(_xlpm.var,◆관리정보!C370,IF(_xlpm.var&lt;&gt;0,_xlpm.var,""))</f>
        <v>602</v>
      </c>
      <c r="D370" s="83" t="s">
        <v>1526</v>
      </c>
      <c r="E370" s="84" t="str">
        <f t="shared" si="11"/>
        <v>신림프리미어602</v>
      </c>
      <c r="F370" s="85">
        <v>46129</v>
      </c>
      <c r="G370" s="229"/>
      <c r="H370" s="229"/>
      <c r="I370" s="229"/>
      <c r="J370" s="229"/>
      <c r="K370" s="218"/>
      <c r="L370" s="87">
        <v>45643</v>
      </c>
      <c r="M370" s="87">
        <v>46372</v>
      </c>
      <c r="N370" s="82" t="s">
        <v>1527</v>
      </c>
      <c r="O370" s="82" t="s">
        <v>1528</v>
      </c>
      <c r="P370" s="241">
        <v>10000000</v>
      </c>
      <c r="Q370" s="241">
        <v>550000</v>
      </c>
      <c r="R370" s="82"/>
      <c r="S370" s="241">
        <v>90000</v>
      </c>
      <c r="T370" s="82" t="s">
        <v>40</v>
      </c>
      <c r="U370" s="241"/>
      <c r="V370" s="82"/>
      <c r="W370" s="88"/>
      <c r="X370" s="82"/>
      <c r="Y370" s="89"/>
      <c r="Z370" s="82"/>
      <c r="AA370" s="220"/>
      <c r="AB370" s="241">
        <v>100000</v>
      </c>
      <c r="AC370" s="241"/>
      <c r="AD370" s="241"/>
      <c r="AE370" s="82"/>
      <c r="AF370" s="82"/>
      <c r="AG370" s="90"/>
      <c r="AH370" s="90"/>
      <c r="AI370" s="90"/>
      <c r="AJ370" s="90"/>
      <c r="AK370" s="82"/>
      <c r="AL370" s="82" t="str" cm="1">
        <f t="array" aca="1" ref="AL370" ca="1">_xlfn.IFS(
 AND($AK370&lt;&gt;"", M370&lt;&gt;0, M370&lt;=EDATE(TODAY(),2)),"도래",
 AND($AK370&lt;&gt;"", M370&lt;&gt;0, M370&lt;=EDATE(TODAY(),3)),"예정",
 AND($AK370&lt;&gt;"", M370&lt;&gt;0, M370&lt;=EDATE(TODAY(),6)),"관심",
 TRUE,""
)</f>
        <v/>
      </c>
      <c r="AM370" s="198">
        <f t="shared" si="12"/>
        <v>17</v>
      </c>
    </row>
    <row r="371" spans="1:39" ht="18" customHeight="1">
      <c r="A371" s="81"/>
      <c r="B371" s="205" t="str">
        <f>_xlfn.LET(_xlpm.var,◆관리정보!B371,IF(_xlpm.var&lt;&gt;0,_xlpm.var,""))</f>
        <v>신림프리미어</v>
      </c>
      <c r="C371" s="82">
        <f>_xlfn.LET(_xlpm.var,◆관리정보!C371,IF(_xlpm.var&lt;&gt;0,_xlpm.var,""))</f>
        <v>603</v>
      </c>
      <c r="D371" s="83" t="s">
        <v>1529</v>
      </c>
      <c r="E371" s="84" t="str">
        <f t="shared" si="11"/>
        <v>신림프리미어603</v>
      </c>
      <c r="F371" s="85">
        <v>46107</v>
      </c>
      <c r="G371" s="229"/>
      <c r="H371" s="229"/>
      <c r="I371" s="229"/>
      <c r="J371" s="229"/>
      <c r="K371" s="218"/>
      <c r="L371" s="87">
        <v>44738</v>
      </c>
      <c r="M371" s="87">
        <v>45468</v>
      </c>
      <c r="N371" s="82" t="s">
        <v>1530</v>
      </c>
      <c r="O371" s="82" t="s">
        <v>1531</v>
      </c>
      <c r="P371" s="241">
        <v>200000000</v>
      </c>
      <c r="Q371" s="241"/>
      <c r="R371" s="82"/>
      <c r="S371" s="241">
        <v>70000</v>
      </c>
      <c r="T371" s="82" t="s">
        <v>40</v>
      </c>
      <c r="U371" s="241"/>
      <c r="V371" s="82"/>
      <c r="W371" s="88"/>
      <c r="X371" s="82"/>
      <c r="Y371" s="89"/>
      <c r="Z371" s="82"/>
      <c r="AA371" s="220"/>
      <c r="AB371" s="241">
        <v>100000</v>
      </c>
      <c r="AC371" s="241"/>
      <c r="AD371" s="241"/>
      <c r="AE371" s="82"/>
      <c r="AF371" s="82"/>
      <c r="AG371" s="90"/>
      <c r="AH371" s="90"/>
      <c r="AI371" s="90"/>
      <c r="AJ371" s="90"/>
      <c r="AK371" s="82"/>
      <c r="AL371" s="82" t="str" cm="1">
        <f t="array" aca="1" ref="AL371" ca="1">_xlfn.IFS(
 AND($AK371&lt;&gt;"", M371&lt;&gt;0, M371&lt;=EDATE(TODAY(),2)),"도래",
 AND($AK371&lt;&gt;"", M371&lt;&gt;0, M371&lt;=EDATE(TODAY(),3)),"예정",
 AND($AK371&lt;&gt;"", M371&lt;&gt;0, M371&lt;=EDATE(TODAY(),6)),"관심",
 TRUE,""
)</f>
        <v/>
      </c>
      <c r="AM371" s="198">
        <f t="shared" si="12"/>
        <v>26</v>
      </c>
    </row>
    <row r="372" spans="1:39" ht="18" customHeight="1">
      <c r="A372" s="81"/>
      <c r="B372" s="205" t="str">
        <f>_xlfn.LET(_xlpm.var,◆관리정보!B372,IF(_xlpm.var&lt;&gt;0,_xlpm.var,""))</f>
        <v>신림프리미어</v>
      </c>
      <c r="C372" s="82">
        <f>_xlfn.LET(_xlpm.var,◆관리정보!C372,IF(_xlpm.var&lt;&gt;0,_xlpm.var,""))</f>
        <v>604</v>
      </c>
      <c r="D372" s="83" t="s">
        <v>1532</v>
      </c>
      <c r="E372" s="84" t="str">
        <f t="shared" si="11"/>
        <v>신림프리미어604</v>
      </c>
      <c r="F372" s="85">
        <v>46108</v>
      </c>
      <c r="G372" s="229"/>
      <c r="H372" s="229"/>
      <c r="I372" s="229"/>
      <c r="J372" s="229"/>
      <c r="K372" s="218"/>
      <c r="L372" s="87">
        <v>44739</v>
      </c>
      <c r="M372" s="87">
        <v>45469</v>
      </c>
      <c r="N372" s="82" t="s">
        <v>1533</v>
      </c>
      <c r="O372" s="82" t="s">
        <v>1534</v>
      </c>
      <c r="P372" s="241">
        <v>120000000</v>
      </c>
      <c r="Q372" s="241">
        <v>380000</v>
      </c>
      <c r="R372" s="82"/>
      <c r="S372" s="241">
        <v>70000</v>
      </c>
      <c r="T372" s="82" t="s">
        <v>40</v>
      </c>
      <c r="U372" s="241"/>
      <c r="V372" s="82"/>
      <c r="W372" s="88"/>
      <c r="X372" s="82"/>
      <c r="Y372" s="89"/>
      <c r="Z372" s="82"/>
      <c r="AA372" s="220"/>
      <c r="AB372" s="241">
        <v>100000</v>
      </c>
      <c r="AC372" s="241"/>
      <c r="AD372" s="241"/>
      <c r="AE372" s="82"/>
      <c r="AF372" s="82"/>
      <c r="AG372" s="90"/>
      <c r="AH372" s="90"/>
      <c r="AI372" s="90" t="s">
        <v>1535</v>
      </c>
      <c r="AJ372" s="90"/>
      <c r="AK372" s="82"/>
      <c r="AL372" s="82" t="str" cm="1">
        <f t="array" aca="1" ref="AL372" ca="1">_xlfn.IFS(
 AND($AK372&lt;&gt;"", M372&lt;&gt;0, M372&lt;=EDATE(TODAY(),2)),"도래",
 AND($AK372&lt;&gt;"", M372&lt;&gt;0, M372&lt;=EDATE(TODAY(),3)),"예정",
 AND($AK372&lt;&gt;"", M372&lt;&gt;0, M372&lt;=EDATE(TODAY(),6)),"관심",
 TRUE,""
)</f>
        <v/>
      </c>
      <c r="AM372" s="198">
        <f t="shared" si="12"/>
        <v>27</v>
      </c>
    </row>
    <row r="373" spans="1:39" ht="18" customHeight="1">
      <c r="A373" s="81"/>
      <c r="B373" s="205" t="str">
        <f>_xlfn.LET(_xlpm.var,◆관리정보!B373,IF(_xlpm.var&lt;&gt;0,_xlpm.var,""))</f>
        <v>신림프리미어</v>
      </c>
      <c r="C373" s="82">
        <f>_xlfn.LET(_xlpm.var,◆관리정보!C373,IF(_xlpm.var&lt;&gt;0,_xlpm.var,""))</f>
        <v>605</v>
      </c>
      <c r="D373" s="83" t="s">
        <v>1536</v>
      </c>
      <c r="E373" s="84" t="str">
        <f t="shared" si="11"/>
        <v>신림프리미어605</v>
      </c>
      <c r="F373" s="85">
        <v>46122</v>
      </c>
      <c r="G373" s="229"/>
      <c r="H373" s="229"/>
      <c r="I373" s="229"/>
      <c r="J373" s="229"/>
      <c r="K373" s="318"/>
      <c r="L373" s="87">
        <v>44814</v>
      </c>
      <c r="M373" s="87">
        <v>45544</v>
      </c>
      <c r="N373" s="82" t="s">
        <v>1537</v>
      </c>
      <c r="O373" s="82" t="s">
        <v>1538</v>
      </c>
      <c r="P373" s="241">
        <v>50000000</v>
      </c>
      <c r="Q373" s="241">
        <v>610000</v>
      </c>
      <c r="R373" s="82"/>
      <c r="S373" s="241">
        <v>70000</v>
      </c>
      <c r="T373" s="82" t="s">
        <v>40</v>
      </c>
      <c r="U373" s="241"/>
      <c r="V373" s="82"/>
      <c r="W373" s="88"/>
      <c r="X373" s="82"/>
      <c r="Y373" s="89"/>
      <c r="Z373" s="82"/>
      <c r="AA373" s="220"/>
      <c r="AB373" s="241">
        <v>100000</v>
      </c>
      <c r="AC373" s="241"/>
      <c r="AD373" s="241"/>
      <c r="AE373" s="82"/>
      <c r="AF373" s="82"/>
      <c r="AG373" s="90"/>
      <c r="AH373" s="90"/>
      <c r="AI373" s="90" t="s">
        <v>1539</v>
      </c>
      <c r="AJ373" s="90"/>
      <c r="AK373" s="82"/>
      <c r="AL373" s="82" t="str" cm="1">
        <f t="array" aca="1" ref="AL373" ca="1">_xlfn.IFS(
 AND($AK373&lt;&gt;"", M373&lt;&gt;0, M373&lt;=EDATE(TODAY(),2)),"도래",
 AND($AK373&lt;&gt;"", M373&lt;&gt;0, M373&lt;=EDATE(TODAY(),3)),"예정",
 AND($AK373&lt;&gt;"", M373&lt;&gt;0, M373&lt;=EDATE(TODAY(),6)),"관심",
 TRUE,""
)</f>
        <v/>
      </c>
      <c r="AM373" s="198">
        <f t="shared" si="12"/>
        <v>10</v>
      </c>
    </row>
    <row r="374" spans="1:39" ht="18" customHeight="1">
      <c r="A374" s="81"/>
      <c r="B374" s="205" t="str">
        <f>_xlfn.LET(_xlpm.var,◆관리정보!B374,IF(_xlpm.var&lt;&gt;0,_xlpm.var,""))</f>
        <v>신림프리미어</v>
      </c>
      <c r="C374" s="82">
        <f>_xlfn.LET(_xlpm.var,◆관리정보!C374,IF(_xlpm.var&lt;&gt;0,_xlpm.var,""))</f>
        <v>701</v>
      </c>
      <c r="D374" s="83" t="s">
        <v>1540</v>
      </c>
      <c r="E374" s="84" t="str">
        <f t="shared" si="11"/>
        <v>신림프리미어701</v>
      </c>
      <c r="F374" s="85">
        <v>46099</v>
      </c>
      <c r="G374" s="229"/>
      <c r="H374" s="229"/>
      <c r="I374" s="229">
        <v>620000</v>
      </c>
      <c r="J374" s="229"/>
      <c r="K374" s="218"/>
      <c r="L374" s="87">
        <v>45248</v>
      </c>
      <c r="M374" s="87">
        <v>45978</v>
      </c>
      <c r="N374" s="82" t="s">
        <v>1541</v>
      </c>
      <c r="O374" s="82" t="s">
        <v>1542</v>
      </c>
      <c r="P374" s="241">
        <v>50000000</v>
      </c>
      <c r="Q374" s="241">
        <v>550000</v>
      </c>
      <c r="R374" s="82"/>
      <c r="S374" s="241">
        <v>70000</v>
      </c>
      <c r="T374" s="82" t="s">
        <v>40</v>
      </c>
      <c r="U374" s="241"/>
      <c r="V374" s="82"/>
      <c r="W374" s="88"/>
      <c r="X374" s="82"/>
      <c r="Y374" s="89"/>
      <c r="Z374" s="82"/>
      <c r="AA374" s="220"/>
      <c r="AB374" s="241">
        <v>110000</v>
      </c>
      <c r="AC374" s="241"/>
      <c r="AD374" s="241"/>
      <c r="AE374" s="82"/>
      <c r="AF374" s="82"/>
      <c r="AG374" s="90"/>
      <c r="AH374" s="90"/>
      <c r="AI374" s="90"/>
      <c r="AJ374" s="90"/>
      <c r="AK374" s="82"/>
      <c r="AL374" s="82" t="str" cm="1">
        <f t="array" aca="1" ref="AL374" ca="1">_xlfn.IFS(
 AND($AK374&lt;&gt;"", M374&lt;&gt;0, M374&lt;=EDATE(TODAY(),2)),"도래",
 AND($AK374&lt;&gt;"", M374&lt;&gt;0, M374&lt;=EDATE(TODAY(),3)),"예정",
 AND($AK374&lt;&gt;"", M374&lt;&gt;0, M374&lt;=EDATE(TODAY(),6)),"관심",
 TRUE,""
)</f>
        <v/>
      </c>
      <c r="AM374" s="198">
        <f t="shared" si="12"/>
        <v>18</v>
      </c>
    </row>
    <row r="375" spans="1:39" ht="18" customHeight="1">
      <c r="A375" s="81"/>
      <c r="B375" s="205" t="str">
        <f>_xlfn.LET(_xlpm.var,◆관리정보!B375,IF(_xlpm.var&lt;&gt;0,_xlpm.var,""))</f>
        <v>신림프리미어</v>
      </c>
      <c r="C375" s="82">
        <f>_xlfn.LET(_xlpm.var,◆관리정보!C375,IF(_xlpm.var&lt;&gt;0,_xlpm.var,""))</f>
        <v>702</v>
      </c>
      <c r="D375" s="83" t="s">
        <v>1490</v>
      </c>
      <c r="E375" s="84" t="str">
        <f t="shared" si="11"/>
        <v>신림프리미어702</v>
      </c>
      <c r="F375" s="85">
        <v>46113</v>
      </c>
      <c r="G375" s="229"/>
      <c r="H375" s="229"/>
      <c r="I375" s="229"/>
      <c r="J375" s="229"/>
      <c r="K375" s="218"/>
      <c r="L375" s="87">
        <v>45778</v>
      </c>
      <c r="M375" s="87">
        <v>46507</v>
      </c>
      <c r="N375" s="82" t="s">
        <v>1491</v>
      </c>
      <c r="O375" s="82" t="s">
        <v>1492</v>
      </c>
      <c r="P375" s="241">
        <v>10000000</v>
      </c>
      <c r="Q375" s="241">
        <v>490000</v>
      </c>
      <c r="R375" s="82"/>
      <c r="S375" s="305">
        <v>140000</v>
      </c>
      <c r="T375" s="82" t="s">
        <v>40</v>
      </c>
      <c r="U375" s="241"/>
      <c r="V375" s="82"/>
      <c r="W375" s="88"/>
      <c r="X375" s="82"/>
      <c r="Y375" s="89"/>
      <c r="Z375" s="82"/>
      <c r="AA375" s="220" t="s">
        <v>1543</v>
      </c>
      <c r="AB375" s="241">
        <v>80000</v>
      </c>
      <c r="AC375" s="241"/>
      <c r="AD375" s="241"/>
      <c r="AE375" s="82"/>
      <c r="AF375" s="82"/>
      <c r="AG375" s="90"/>
      <c r="AH375" s="90"/>
      <c r="AI375" s="90" t="s">
        <v>1544</v>
      </c>
      <c r="AJ375" s="90"/>
      <c r="AK375" s="82"/>
      <c r="AL375" s="82" t="str" cm="1">
        <f t="array" aca="1" ref="AL375" ca="1">_xlfn.IFS(
 AND($AK375&lt;&gt;"", M375&lt;&gt;0, M375&lt;=EDATE(TODAY(),2)),"도래",
 AND($AK375&lt;&gt;"", M375&lt;&gt;0, M375&lt;=EDATE(TODAY(),3)),"예정",
 AND($AK375&lt;&gt;"", M375&lt;&gt;0, M375&lt;=EDATE(TODAY(),6)),"관심",
 TRUE,""
)</f>
        <v/>
      </c>
      <c r="AM375" s="198">
        <f t="shared" si="12"/>
        <v>1</v>
      </c>
    </row>
    <row r="376" spans="1:39" ht="18" customHeight="1">
      <c r="A376" s="81"/>
      <c r="B376" s="262" t="str">
        <f>_xlfn.LET(_xlpm.var,◆관리정보!B376,IF(_xlpm.var&lt;&gt;0,_xlpm.var,""))</f>
        <v>신림프리미어</v>
      </c>
      <c r="C376" s="263">
        <f>_xlfn.LET(_xlpm.var,◆관리정보!C376,IF(_xlpm.var&lt;&gt;0,_xlpm.var,""))</f>
        <v>703</v>
      </c>
      <c r="D376" s="91" t="s">
        <v>1545</v>
      </c>
      <c r="E376" s="84" t="str">
        <f t="shared" si="11"/>
        <v>신림프리미어703</v>
      </c>
      <c r="F376" s="85">
        <v>46112</v>
      </c>
      <c r="G376" s="229"/>
      <c r="H376" s="229"/>
      <c r="I376" s="229"/>
      <c r="J376" s="229"/>
      <c r="K376" s="218"/>
      <c r="L376" s="87">
        <v>45504</v>
      </c>
      <c r="M376" s="87">
        <v>46233</v>
      </c>
      <c r="N376" s="82" t="s">
        <v>1546</v>
      </c>
      <c r="O376" s="82" t="s">
        <v>1547</v>
      </c>
      <c r="P376" s="241">
        <v>20000000</v>
      </c>
      <c r="Q376" s="241">
        <v>790000</v>
      </c>
      <c r="R376" s="82"/>
      <c r="S376" s="320">
        <v>90000</v>
      </c>
      <c r="T376" s="82" t="s">
        <v>40</v>
      </c>
      <c r="U376" s="241"/>
      <c r="V376" s="82"/>
      <c r="W376" s="88"/>
      <c r="X376" s="82"/>
      <c r="Y376" s="89"/>
      <c r="Z376" s="82"/>
      <c r="AA376" s="220"/>
      <c r="AB376" s="241">
        <v>110000</v>
      </c>
      <c r="AC376" s="241"/>
      <c r="AD376" s="241"/>
      <c r="AE376" s="82"/>
      <c r="AF376" s="82"/>
      <c r="AG376" s="90"/>
      <c r="AH376" s="90"/>
      <c r="AI376" s="90" t="s">
        <v>1548</v>
      </c>
      <c r="AJ376" s="90"/>
      <c r="AK376" s="82"/>
      <c r="AL376" s="82" t="str" cm="1">
        <f t="array" aca="1" ref="AL376" ca="1">_xlfn.IFS(
 AND($AK376&lt;&gt;"", M376&lt;&gt;0, M376&lt;=EDATE(TODAY(),2)),"도래",
 AND($AK376&lt;&gt;"", M376&lt;&gt;0, M376&lt;=EDATE(TODAY(),3)),"예정",
 AND($AK376&lt;&gt;"", M376&lt;&gt;0, M376&lt;=EDATE(TODAY(),6)),"관심",
 TRUE,""
)</f>
        <v/>
      </c>
      <c r="AM376" s="198">
        <f t="shared" si="12"/>
        <v>31</v>
      </c>
    </row>
    <row r="377" spans="1:39" ht="18" customHeight="1">
      <c r="A377" s="81"/>
      <c r="B377" s="205" t="str">
        <f>_xlfn.LET(_xlpm.var,◆관리정보!B377,IF(_xlpm.var&lt;&gt;0,_xlpm.var,""))</f>
        <v>신림프리미어</v>
      </c>
      <c r="C377" s="82">
        <f>_xlfn.LET(_xlpm.var,◆관리정보!C377,IF(_xlpm.var&lt;&gt;0,_xlpm.var,""))</f>
        <v>704</v>
      </c>
      <c r="D377" s="83" t="s">
        <v>1549</v>
      </c>
      <c r="E377" s="84" t="str">
        <f t="shared" si="11"/>
        <v>신림프리미어704</v>
      </c>
      <c r="F377" s="85">
        <v>46116</v>
      </c>
      <c r="G377" s="229"/>
      <c r="H377" s="229"/>
      <c r="I377" s="229"/>
      <c r="J377" s="229"/>
      <c r="K377" s="218"/>
      <c r="L377" s="87">
        <v>45416</v>
      </c>
      <c r="M377" s="87">
        <v>46145</v>
      </c>
      <c r="N377" s="82" t="s">
        <v>1550</v>
      </c>
      <c r="O377" s="82" t="s">
        <v>1551</v>
      </c>
      <c r="P377" s="241">
        <v>150000000</v>
      </c>
      <c r="Q377" s="241">
        <v>270000</v>
      </c>
      <c r="R377" s="82"/>
      <c r="S377" s="241">
        <v>70000</v>
      </c>
      <c r="T377" s="82" t="s">
        <v>40</v>
      </c>
      <c r="U377" s="241"/>
      <c r="V377" s="82"/>
      <c r="W377" s="88"/>
      <c r="X377" s="82"/>
      <c r="Y377" s="89"/>
      <c r="Z377" s="82"/>
      <c r="AA377" s="220"/>
      <c r="AB377" s="241">
        <v>110000</v>
      </c>
      <c r="AC377" s="241"/>
      <c r="AD377" s="241"/>
      <c r="AE377" s="82"/>
      <c r="AF377" s="82"/>
      <c r="AG377" s="90"/>
      <c r="AH377" s="90"/>
      <c r="AI377" s="90"/>
      <c r="AJ377" s="90"/>
      <c r="AK377" s="82"/>
      <c r="AL377" s="82" t="str" cm="1">
        <f t="array" aca="1" ref="AL377" ca="1">_xlfn.IFS(
 AND($AK377&lt;&gt;"", M377&lt;&gt;0, M377&lt;=EDATE(TODAY(),2)),"도래",
 AND($AK377&lt;&gt;"", M377&lt;&gt;0, M377&lt;=EDATE(TODAY(),3)),"예정",
 AND($AK377&lt;&gt;"", M377&lt;&gt;0, M377&lt;=EDATE(TODAY(),6)),"관심",
 TRUE,""
)</f>
        <v/>
      </c>
      <c r="AM377" s="198">
        <f t="shared" si="12"/>
        <v>4</v>
      </c>
    </row>
    <row r="378" spans="1:39" ht="18" customHeight="1">
      <c r="A378" s="81"/>
      <c r="B378" s="205" t="str">
        <f>_xlfn.LET(_xlpm.var,◆관리정보!B378,IF(_xlpm.var&lt;&gt;0,_xlpm.var,""))</f>
        <v>신림프리미어</v>
      </c>
      <c r="C378" s="82">
        <f>_xlfn.LET(_xlpm.var,◆관리정보!C378,IF(_xlpm.var&lt;&gt;0,_xlpm.var,""))</f>
        <v>705</v>
      </c>
      <c r="D378" s="83" t="s">
        <v>1552</v>
      </c>
      <c r="E378" s="84" t="str">
        <f t="shared" si="11"/>
        <v>신림프리미어705</v>
      </c>
      <c r="F378" s="85">
        <v>46104</v>
      </c>
      <c r="G378" s="229"/>
      <c r="H378" s="229"/>
      <c r="I378" s="229">
        <v>760000</v>
      </c>
      <c r="J378" s="229"/>
      <c r="K378" s="218"/>
      <c r="L378" s="87">
        <v>44735</v>
      </c>
      <c r="M378" s="87">
        <v>45465</v>
      </c>
      <c r="N378" s="82" t="s">
        <v>1553</v>
      </c>
      <c r="O378" s="82" t="s">
        <v>1554</v>
      </c>
      <c r="P378" s="241">
        <v>20000000</v>
      </c>
      <c r="Q378" s="241">
        <v>690000</v>
      </c>
      <c r="R378" s="82"/>
      <c r="S378" s="241">
        <v>70000</v>
      </c>
      <c r="T378" s="82" t="s">
        <v>40</v>
      </c>
      <c r="U378" s="241"/>
      <c r="V378" s="82"/>
      <c r="W378" s="88"/>
      <c r="X378" s="82"/>
      <c r="Y378" s="89"/>
      <c r="Z378" s="82"/>
      <c r="AA378" s="220"/>
      <c r="AB378" s="241">
        <v>100000</v>
      </c>
      <c r="AC378" s="241"/>
      <c r="AD378" s="241"/>
      <c r="AE378" s="82"/>
      <c r="AF378" s="82"/>
      <c r="AG378" s="90"/>
      <c r="AH378" s="90"/>
      <c r="AI378" s="90"/>
      <c r="AJ378" s="90"/>
      <c r="AK378" s="82"/>
      <c r="AL378" s="82" t="str" cm="1">
        <f t="array" aca="1" ref="AL378" ca="1">_xlfn.IFS(
 AND($AK378&lt;&gt;"", M378&lt;&gt;0, M378&lt;=EDATE(TODAY(),2)),"도래",
 AND($AK378&lt;&gt;"", M378&lt;&gt;0, M378&lt;=EDATE(TODAY(),3)),"예정",
 AND($AK378&lt;&gt;"", M378&lt;&gt;0, M378&lt;=EDATE(TODAY(),6)),"관심",
 TRUE,""
)</f>
        <v/>
      </c>
      <c r="AM378" s="198">
        <f t="shared" si="12"/>
        <v>23</v>
      </c>
    </row>
    <row r="379" spans="1:39" ht="18" customHeight="1">
      <c r="A379" s="81"/>
      <c r="B379" s="205" t="str">
        <f>_xlfn.LET(_xlpm.var,◆관리정보!B379,IF(_xlpm.var&lt;&gt;0,_xlpm.var,""))</f>
        <v>신림프리미어</v>
      </c>
      <c r="C379" s="82">
        <f>_xlfn.LET(_xlpm.var,◆관리정보!C379,IF(_xlpm.var&lt;&gt;0,_xlpm.var,""))</f>
        <v>801</v>
      </c>
      <c r="D379" s="83" t="s">
        <v>1555</v>
      </c>
      <c r="E379" s="84" t="str">
        <f t="shared" si="11"/>
        <v>신림프리미어801</v>
      </c>
      <c r="F379" s="85">
        <v>46120</v>
      </c>
      <c r="G379" s="229"/>
      <c r="H379" s="229"/>
      <c r="I379" s="229"/>
      <c r="J379" s="229"/>
      <c r="K379" s="218"/>
      <c r="L379" s="87">
        <v>45969</v>
      </c>
      <c r="M379" s="87">
        <v>46698</v>
      </c>
      <c r="N379" s="82" t="s">
        <v>1556</v>
      </c>
      <c r="O379" s="82" t="s">
        <v>1557</v>
      </c>
      <c r="P379" s="241">
        <v>50000000</v>
      </c>
      <c r="Q379" s="241">
        <v>900000</v>
      </c>
      <c r="R379" s="82"/>
      <c r="S379" s="306">
        <v>120000</v>
      </c>
      <c r="T379" s="82" t="s">
        <v>40</v>
      </c>
      <c r="U379" s="241"/>
      <c r="V379" s="82"/>
      <c r="W379" s="88"/>
      <c r="X379" s="82"/>
      <c r="Y379" s="89"/>
      <c r="Z379" s="82"/>
      <c r="AA379" s="220"/>
      <c r="AB379" s="241">
        <v>150000</v>
      </c>
      <c r="AC379" s="241">
        <v>250000</v>
      </c>
      <c r="AD379" s="241"/>
      <c r="AE379" s="82"/>
      <c r="AF379" s="82"/>
      <c r="AG379" s="90"/>
      <c r="AH379" s="90"/>
      <c r="AI379" s="90" t="s">
        <v>1558</v>
      </c>
      <c r="AJ379" s="90"/>
      <c r="AK379" s="82"/>
      <c r="AL379" s="82" t="str" cm="1">
        <f t="array" aca="1" ref="AL379" ca="1">_xlfn.IFS(
 AND($AK379&lt;&gt;"", M379&lt;&gt;0, M379&lt;=EDATE(TODAY(),2)),"도래",
 AND($AK379&lt;&gt;"", M379&lt;&gt;0, M379&lt;=EDATE(TODAY(),3)),"예정",
 AND($AK379&lt;&gt;"", M379&lt;&gt;0, M379&lt;=EDATE(TODAY(),6)),"관심",
 TRUE,""
)</f>
        <v/>
      </c>
      <c r="AM379" s="198">
        <f t="shared" si="12"/>
        <v>8</v>
      </c>
    </row>
    <row r="380" spans="1:39" ht="18" customHeight="1">
      <c r="A380" s="81"/>
      <c r="B380" s="205" t="str">
        <f>_xlfn.LET(_xlpm.var,◆관리정보!B380,IF(_xlpm.var&lt;&gt;0,_xlpm.var,""))</f>
        <v>신림프리미어</v>
      </c>
      <c r="C380" s="82">
        <f>_xlfn.LET(_xlpm.var,◆관리정보!C380,IF(_xlpm.var&lt;&gt;0,_xlpm.var,""))</f>
        <v>802</v>
      </c>
      <c r="D380" s="83" t="s">
        <v>1559</v>
      </c>
      <c r="E380" s="84" t="str">
        <f t="shared" si="11"/>
        <v>신림프리미어802</v>
      </c>
      <c r="F380" s="85">
        <v>46106</v>
      </c>
      <c r="G380" s="229"/>
      <c r="H380" s="229"/>
      <c r="I380" s="229">
        <v>590000</v>
      </c>
      <c r="J380" s="229"/>
      <c r="K380" s="218"/>
      <c r="L380" s="87">
        <v>44280</v>
      </c>
      <c r="M380" s="87">
        <v>44986</v>
      </c>
      <c r="N380" s="82" t="s">
        <v>1560</v>
      </c>
      <c r="O380" s="82" t="s">
        <v>1561</v>
      </c>
      <c r="P380" s="241">
        <v>100000000</v>
      </c>
      <c r="Q380" s="241">
        <v>450000</v>
      </c>
      <c r="R380" s="82"/>
      <c r="S380" s="305">
        <v>140000</v>
      </c>
      <c r="T380" s="82" t="s">
        <v>40</v>
      </c>
      <c r="U380" s="241"/>
      <c r="V380" s="82"/>
      <c r="W380" s="88"/>
      <c r="X380" s="82"/>
      <c r="Y380" s="89"/>
      <c r="Z380" s="82"/>
      <c r="AA380" s="220" t="s">
        <v>1562</v>
      </c>
      <c r="AB380" s="241">
        <v>100000</v>
      </c>
      <c r="AC380" s="241"/>
      <c r="AD380" s="241"/>
      <c r="AE380" s="82"/>
      <c r="AF380" s="82"/>
      <c r="AG380" s="90"/>
      <c r="AH380" s="90"/>
      <c r="AI380" s="90" t="s">
        <v>1563</v>
      </c>
      <c r="AJ380" s="90"/>
      <c r="AK380" s="82"/>
      <c r="AL380" s="82" t="str" cm="1">
        <f t="array" aca="1" ref="AL380" ca="1">_xlfn.IFS(
 AND($AK380&lt;&gt;"", M380&lt;&gt;0, M380&lt;=EDATE(TODAY(),2)),"도래",
 AND($AK380&lt;&gt;"", M380&lt;&gt;0, M380&lt;=EDATE(TODAY(),3)),"예정",
 AND($AK380&lt;&gt;"", M380&lt;&gt;0, M380&lt;=EDATE(TODAY(),6)),"관심",
 TRUE,""
)</f>
        <v/>
      </c>
      <c r="AM380" s="198">
        <f t="shared" si="12"/>
        <v>25</v>
      </c>
    </row>
    <row r="381" spans="1:39" ht="18" customHeight="1">
      <c r="A381" s="81"/>
      <c r="B381" s="205" t="str">
        <f>_xlfn.LET(_xlpm.var,◆관리정보!B381,IF(_xlpm.var&lt;&gt;0,_xlpm.var,""))</f>
        <v>신림프리미어</v>
      </c>
      <c r="C381" s="82">
        <f>_xlfn.LET(_xlpm.var,◆관리정보!C381,IF(_xlpm.var&lt;&gt;0,_xlpm.var,""))</f>
        <v>803</v>
      </c>
      <c r="D381" s="83" t="s">
        <v>1564</v>
      </c>
      <c r="E381" s="84" t="str">
        <f t="shared" si="11"/>
        <v>신림프리미어803</v>
      </c>
      <c r="F381" s="85">
        <v>46129</v>
      </c>
      <c r="G381" s="229"/>
      <c r="H381" s="229"/>
      <c r="I381" s="229"/>
      <c r="J381" s="229"/>
      <c r="K381" s="218"/>
      <c r="L381" s="87">
        <v>45825</v>
      </c>
      <c r="M381" s="87">
        <v>46554</v>
      </c>
      <c r="N381" s="82" t="s">
        <v>1565</v>
      </c>
      <c r="O381" s="82" t="s">
        <v>1566</v>
      </c>
      <c r="P381" s="241">
        <v>30000000</v>
      </c>
      <c r="Q381" s="241">
        <v>810000</v>
      </c>
      <c r="R381" s="82"/>
      <c r="S381" s="305">
        <v>160000</v>
      </c>
      <c r="T381" s="82" t="s">
        <v>40</v>
      </c>
      <c r="U381" s="241"/>
      <c r="V381" s="82"/>
      <c r="W381" s="88"/>
      <c r="X381" s="82"/>
      <c r="Y381" s="89"/>
      <c r="Z381" s="82"/>
      <c r="AA381" s="220">
        <v>4288</v>
      </c>
      <c r="AB381" s="241">
        <v>130000</v>
      </c>
      <c r="AC381" s="241"/>
      <c r="AD381" s="241"/>
      <c r="AE381" s="82"/>
      <c r="AF381" s="82"/>
      <c r="AG381" s="90"/>
      <c r="AH381" s="90"/>
      <c r="AI381" s="90" t="s">
        <v>1567</v>
      </c>
      <c r="AJ381" s="90"/>
      <c r="AK381" s="82"/>
      <c r="AL381" s="82" t="str" cm="1">
        <f t="array" aca="1" ref="AL381" ca="1">_xlfn.IFS(
 AND($AK381&lt;&gt;"", M381&lt;&gt;0, M381&lt;=EDATE(TODAY(),2)),"도래",
 AND($AK381&lt;&gt;"", M381&lt;&gt;0, M381&lt;=EDATE(TODAY(),3)),"예정",
 AND($AK381&lt;&gt;"", M381&lt;&gt;0, M381&lt;=EDATE(TODAY(),6)),"관심",
 TRUE,""
)</f>
        <v/>
      </c>
      <c r="AM381" s="198">
        <f t="shared" si="12"/>
        <v>17</v>
      </c>
    </row>
    <row r="382" spans="1:39" ht="18" customHeight="1">
      <c r="A382" s="81"/>
      <c r="B382" s="205" t="str">
        <f>_xlfn.LET(_xlpm.var,◆관리정보!B382,IF(_xlpm.var&lt;&gt;0,_xlpm.var,""))</f>
        <v>신림프리미어</v>
      </c>
      <c r="C382" s="82">
        <f>_xlfn.LET(_xlpm.var,◆관리정보!C382,IF(_xlpm.var&lt;&gt;0,_xlpm.var,""))</f>
        <v>804</v>
      </c>
      <c r="D382" s="83" t="s">
        <v>1568</v>
      </c>
      <c r="E382" s="84" t="str">
        <f t="shared" si="11"/>
        <v>신림프리미어804</v>
      </c>
      <c r="F382" s="85">
        <v>46127</v>
      </c>
      <c r="G382" s="229"/>
      <c r="H382" s="229"/>
      <c r="I382" s="229"/>
      <c r="J382" s="229"/>
      <c r="K382" s="218"/>
      <c r="L382" s="87">
        <v>45884</v>
      </c>
      <c r="M382" s="87">
        <v>46613</v>
      </c>
      <c r="N382" s="82" t="s">
        <v>1569</v>
      </c>
      <c r="O382" s="82" t="s">
        <v>1570</v>
      </c>
      <c r="P382" s="241">
        <v>50000000</v>
      </c>
      <c r="Q382" s="241">
        <v>600000</v>
      </c>
      <c r="R382" s="82"/>
      <c r="S382" s="241">
        <v>90000</v>
      </c>
      <c r="T382" s="82" t="s">
        <v>40</v>
      </c>
      <c r="U382" s="241"/>
      <c r="V382" s="82"/>
      <c r="W382" s="88"/>
      <c r="X382" s="82"/>
      <c r="Y382" s="89"/>
      <c r="Z382" s="82"/>
      <c r="AA382" s="220"/>
      <c r="AB382" s="241">
        <v>130000</v>
      </c>
      <c r="AC382" s="241"/>
      <c r="AD382" s="241"/>
      <c r="AE382" s="82"/>
      <c r="AF382" s="82"/>
      <c r="AG382" s="90"/>
      <c r="AH382" s="90"/>
      <c r="AI382" s="90" t="s">
        <v>1571</v>
      </c>
      <c r="AJ382" s="90"/>
      <c r="AK382" s="82"/>
      <c r="AL382" s="82" t="str" cm="1">
        <f t="array" aca="1" ref="AL382" ca="1">_xlfn.IFS(
 AND($AK382&lt;&gt;"", M382&lt;&gt;0, M382&lt;=EDATE(TODAY(),2)),"도래",
 AND($AK382&lt;&gt;"", M382&lt;&gt;0, M382&lt;=EDATE(TODAY(),3)),"예정",
 AND($AK382&lt;&gt;"", M382&lt;&gt;0, M382&lt;=EDATE(TODAY(),6)),"관심",
 TRUE,""
)</f>
        <v/>
      </c>
      <c r="AM382" s="198">
        <f t="shared" si="12"/>
        <v>15</v>
      </c>
    </row>
    <row r="383" spans="1:39" ht="18" customHeight="1">
      <c r="A383" s="81"/>
      <c r="B383" s="205" t="str">
        <f>_xlfn.LET(_xlpm.var,◆관리정보!B383,IF(_xlpm.var&lt;&gt;0,_xlpm.var,""))</f>
        <v>신림프리미어</v>
      </c>
      <c r="C383" s="82">
        <f>_xlfn.LET(_xlpm.var,◆관리정보!C383,IF(_xlpm.var&lt;&gt;0,_xlpm.var,""))</f>
        <v>901</v>
      </c>
      <c r="D383" s="83" t="s">
        <v>1572</v>
      </c>
      <c r="E383" s="84" t="str">
        <f t="shared" si="11"/>
        <v>신림프리미어901</v>
      </c>
      <c r="F383" s="85">
        <v>46119</v>
      </c>
      <c r="G383" s="229"/>
      <c r="H383" s="229"/>
      <c r="I383" s="229"/>
      <c r="J383" s="229"/>
      <c r="K383" s="218"/>
      <c r="L383" s="87">
        <v>45845</v>
      </c>
      <c r="M383" s="87">
        <v>46574</v>
      </c>
      <c r="N383" s="82" t="s">
        <v>1573</v>
      </c>
      <c r="O383" s="82" t="s">
        <v>1574</v>
      </c>
      <c r="P383" s="241">
        <v>40000000</v>
      </c>
      <c r="Q383" s="241">
        <v>1000000</v>
      </c>
      <c r="R383" s="82"/>
      <c r="S383" s="241">
        <v>90000</v>
      </c>
      <c r="T383" s="82" t="s">
        <v>40</v>
      </c>
      <c r="U383" s="241"/>
      <c r="V383" s="82"/>
      <c r="W383" s="88"/>
      <c r="X383" s="82"/>
      <c r="Y383" s="89"/>
      <c r="Z383" s="82"/>
      <c r="AA383" s="311"/>
      <c r="AB383" s="241"/>
      <c r="AC383" s="241">
        <v>150000</v>
      </c>
      <c r="AD383" s="241"/>
      <c r="AE383" s="82" t="s">
        <v>1575</v>
      </c>
      <c r="AF383" s="82" t="s">
        <v>1576</v>
      </c>
      <c r="AG383" s="90"/>
      <c r="AH383" s="90"/>
      <c r="AI383" s="90" t="s">
        <v>1577</v>
      </c>
      <c r="AJ383" s="90"/>
      <c r="AK383" s="82"/>
      <c r="AL383" s="82" t="str" cm="1">
        <f t="array" aca="1" ref="AL383" ca="1">_xlfn.IFS(
 AND($AK383&lt;&gt;"", M383&lt;&gt;0, M383&lt;=EDATE(TODAY(),2)),"도래",
 AND($AK383&lt;&gt;"", M383&lt;&gt;0, M383&lt;=EDATE(TODAY(),3)),"예정",
 AND($AK383&lt;&gt;"", M383&lt;&gt;0, M383&lt;=EDATE(TODAY(),6)),"관심",
 TRUE,""
)</f>
        <v/>
      </c>
      <c r="AM383" s="198">
        <f t="shared" si="12"/>
        <v>7</v>
      </c>
    </row>
    <row r="384" spans="1:39" ht="18" customHeight="1">
      <c r="A384" s="81"/>
      <c r="B384" s="205" t="str">
        <f>_xlfn.LET(_xlpm.var,◆관리정보!B384,IF(_xlpm.var&lt;&gt;0,_xlpm.var,""))</f>
        <v>신림프리미어</v>
      </c>
      <c r="C384" s="82">
        <f>_xlfn.LET(_xlpm.var,◆관리정보!C384,IF(_xlpm.var&lt;&gt;0,_xlpm.var,""))</f>
        <v>902</v>
      </c>
      <c r="D384" s="83" t="s">
        <v>1578</v>
      </c>
      <c r="E384" s="84" t="str">
        <f t="shared" si="11"/>
        <v>신림프리미어902</v>
      </c>
      <c r="F384" s="85">
        <v>46097</v>
      </c>
      <c r="G384" s="229"/>
      <c r="H384" s="229"/>
      <c r="I384" s="229">
        <v>890000</v>
      </c>
      <c r="J384" s="229"/>
      <c r="K384" s="218"/>
      <c r="L384" s="87">
        <v>44455</v>
      </c>
      <c r="M384" s="87">
        <v>44819</v>
      </c>
      <c r="N384" s="82" t="s">
        <v>1579</v>
      </c>
      <c r="O384" s="82" t="s">
        <v>1580</v>
      </c>
      <c r="P384" s="241">
        <v>30000000</v>
      </c>
      <c r="Q384" s="241">
        <v>790000</v>
      </c>
      <c r="R384" s="82"/>
      <c r="S384" s="241">
        <v>100000</v>
      </c>
      <c r="T384" s="82" t="s">
        <v>40</v>
      </c>
      <c r="U384" s="241"/>
      <c r="V384" s="82"/>
      <c r="W384" s="88"/>
      <c r="X384" s="82"/>
      <c r="Y384" s="89"/>
      <c r="Z384" s="82"/>
      <c r="AA384" s="311"/>
      <c r="AB384" s="241">
        <v>100000</v>
      </c>
      <c r="AC384" s="241"/>
      <c r="AD384" s="241"/>
      <c r="AE384" s="82"/>
      <c r="AF384" s="82"/>
      <c r="AG384" s="90"/>
      <c r="AH384" s="90"/>
      <c r="AI384" s="90" t="s">
        <v>1581</v>
      </c>
      <c r="AJ384" s="90"/>
      <c r="AK384" s="82"/>
      <c r="AL384" s="82" t="str" cm="1">
        <f t="array" aca="1" ref="AL384" ca="1">_xlfn.IFS(
 AND($AK384&lt;&gt;"", M384&lt;&gt;0, M384&lt;=EDATE(TODAY(),2)),"도래",
 AND($AK384&lt;&gt;"", M384&lt;&gt;0, M384&lt;=EDATE(TODAY(),3)),"예정",
 AND($AK384&lt;&gt;"", M384&lt;&gt;0, M384&lt;=EDATE(TODAY(),6)),"관심",
 TRUE,""
)</f>
        <v/>
      </c>
      <c r="AM384" s="198">
        <f t="shared" si="12"/>
        <v>16</v>
      </c>
    </row>
    <row r="385" spans="1:39" ht="18" customHeight="1">
      <c r="A385" s="81"/>
      <c r="B385" s="205" t="str">
        <f>_xlfn.LET(_xlpm.var,◆관리정보!B385,IF(_xlpm.var&lt;&gt;0,_xlpm.var,""))</f>
        <v>신림프리미어</v>
      </c>
      <c r="C385" s="82">
        <f>_xlfn.LET(_xlpm.var,◆관리정보!C385,IF(_xlpm.var&lt;&gt;0,_xlpm.var,""))</f>
        <v>903</v>
      </c>
      <c r="D385" s="83" t="s">
        <v>1582</v>
      </c>
      <c r="E385" s="84" t="str">
        <f t="shared" si="11"/>
        <v>신림프리미어903</v>
      </c>
      <c r="F385" s="85">
        <v>46116</v>
      </c>
      <c r="G385" s="229"/>
      <c r="H385" s="229"/>
      <c r="I385" s="229"/>
      <c r="J385" s="229"/>
      <c r="K385" s="218"/>
      <c r="L385" s="87">
        <v>45569</v>
      </c>
      <c r="M385" s="87">
        <v>46298</v>
      </c>
      <c r="N385" s="82" t="s">
        <v>1583</v>
      </c>
      <c r="O385" s="82" t="s">
        <v>1584</v>
      </c>
      <c r="P385" s="241">
        <v>50000000</v>
      </c>
      <c r="Q385" s="241">
        <v>670000</v>
      </c>
      <c r="R385" s="82"/>
      <c r="S385" s="305">
        <v>180000</v>
      </c>
      <c r="T385" s="82" t="s">
        <v>40</v>
      </c>
      <c r="U385" s="241"/>
      <c r="V385" s="82"/>
      <c r="W385" s="88"/>
      <c r="X385" s="82"/>
      <c r="Y385" s="89"/>
      <c r="Z385" s="82"/>
      <c r="AA385" s="220" t="s">
        <v>1585</v>
      </c>
      <c r="AB385" s="241">
        <v>110000</v>
      </c>
      <c r="AC385" s="241"/>
      <c r="AD385" s="241"/>
      <c r="AE385" s="82"/>
      <c r="AF385" s="82"/>
      <c r="AG385" s="90"/>
      <c r="AH385" s="90"/>
      <c r="AI385" s="90" t="s">
        <v>1586</v>
      </c>
      <c r="AJ385" s="90"/>
      <c r="AK385" s="82"/>
      <c r="AL385" s="82" t="str" cm="1">
        <f t="array" aca="1" ref="AL385" ca="1">_xlfn.IFS(
 AND($AK385&lt;&gt;"", M385&lt;&gt;0, M385&lt;=EDATE(TODAY(),2)),"도래",
 AND($AK385&lt;&gt;"", M385&lt;&gt;0, M385&lt;=EDATE(TODAY(),3)),"예정",
 AND($AK385&lt;&gt;"", M385&lt;&gt;0, M385&lt;=EDATE(TODAY(),6)),"관심",
 TRUE,""
)</f>
        <v/>
      </c>
      <c r="AM385" s="198">
        <f t="shared" si="12"/>
        <v>4</v>
      </c>
    </row>
    <row r="386" spans="1:39" ht="18" customHeight="1">
      <c r="A386" s="81"/>
      <c r="B386" s="205" t="str">
        <f>_xlfn.LET(_xlpm.var,◆관리정보!B386,IF(_xlpm.var&lt;&gt;0,_xlpm.var,""))</f>
        <v>신림프리미어</v>
      </c>
      <c r="C386" s="82">
        <f>_xlfn.LET(_xlpm.var,◆관리정보!C386,IF(_xlpm.var&lt;&gt;0,_xlpm.var,""))</f>
        <v>904</v>
      </c>
      <c r="D386" s="83" t="s">
        <v>1587</v>
      </c>
      <c r="E386" s="84" t="str">
        <f t="shared" si="11"/>
        <v>신림프리미어904</v>
      </c>
      <c r="F386" s="85">
        <v>46093</v>
      </c>
      <c r="G386" s="229"/>
      <c r="H386" s="229"/>
      <c r="I386" s="229">
        <v>370000</v>
      </c>
      <c r="J386" s="229"/>
      <c r="K386" s="318"/>
      <c r="L386" s="87">
        <v>44724</v>
      </c>
      <c r="M386" s="87">
        <v>45454</v>
      </c>
      <c r="N386" s="82" t="s">
        <v>1588</v>
      </c>
      <c r="O386" s="82" t="s">
        <v>1589</v>
      </c>
      <c r="P386" s="241">
        <v>120000000</v>
      </c>
      <c r="Q386" s="241">
        <v>300000</v>
      </c>
      <c r="R386" s="82"/>
      <c r="S386" s="241">
        <v>70000</v>
      </c>
      <c r="T386" s="82" t="s">
        <v>40</v>
      </c>
      <c r="U386" s="241"/>
      <c r="V386" s="82"/>
      <c r="W386" s="88"/>
      <c r="X386" s="82"/>
      <c r="Y386" s="89"/>
      <c r="Z386" s="82"/>
      <c r="AA386" s="220"/>
      <c r="AB386" s="241">
        <v>100000</v>
      </c>
      <c r="AC386" s="241"/>
      <c r="AD386" s="241"/>
      <c r="AE386" s="82"/>
      <c r="AF386" s="82"/>
      <c r="AG386" s="90"/>
      <c r="AH386" s="90"/>
      <c r="AI386" s="90"/>
      <c r="AJ386" s="90"/>
      <c r="AK386" s="82"/>
      <c r="AL386" s="82" t="str" cm="1">
        <f t="array" aca="1" ref="AL386" ca="1">_xlfn.IFS(
 AND($AK386&lt;&gt;"", M386&lt;&gt;0, M386&lt;=EDATE(TODAY(),2)),"도래",
 AND($AK386&lt;&gt;"", M386&lt;&gt;0, M386&lt;=EDATE(TODAY(),3)),"예정",
 AND($AK386&lt;&gt;"", M386&lt;&gt;0, M386&lt;=EDATE(TODAY(),6)),"관심",
 TRUE,""
)</f>
        <v/>
      </c>
      <c r="AM386" s="198">
        <f t="shared" si="12"/>
        <v>12</v>
      </c>
    </row>
    <row r="387" spans="1:39" ht="18" customHeight="1">
      <c r="A387" s="81"/>
      <c r="B387" s="205" t="str">
        <f>_xlfn.LET(_xlpm.var,◆관리정보!B387,IF(_xlpm.var&lt;&gt;0,_xlpm.var,""))</f>
        <v>신림프리미어</v>
      </c>
      <c r="C387" s="82">
        <f>_xlfn.LET(_xlpm.var,◆관리정보!C387,IF(_xlpm.var&lt;&gt;0,_xlpm.var,""))</f>
        <v>1001</v>
      </c>
      <c r="D387" s="83" t="s">
        <v>1590</v>
      </c>
      <c r="E387" s="84" t="str">
        <f t="shared" si="11"/>
        <v>신림프리미어1001</v>
      </c>
      <c r="F387" s="85">
        <v>46117</v>
      </c>
      <c r="G387" s="229"/>
      <c r="H387" s="229"/>
      <c r="I387" s="229"/>
      <c r="J387" s="229"/>
      <c r="K387" s="218"/>
      <c r="L387" s="87">
        <v>44839</v>
      </c>
      <c r="M387" s="87">
        <v>46299</v>
      </c>
      <c r="N387" s="82" t="s">
        <v>1591</v>
      </c>
      <c r="O387" s="82" t="s">
        <v>1592</v>
      </c>
      <c r="P387" s="241">
        <v>120000000</v>
      </c>
      <c r="Q387" s="241">
        <v>750000</v>
      </c>
      <c r="R387" s="82"/>
      <c r="S387" s="305">
        <v>140000</v>
      </c>
      <c r="T387" s="82" t="s">
        <v>40</v>
      </c>
      <c r="U387" s="241"/>
      <c r="V387" s="82"/>
      <c r="W387" s="88"/>
      <c r="X387" s="82"/>
      <c r="Y387" s="89"/>
      <c r="Z387" s="82"/>
      <c r="AA387" s="220" t="s">
        <v>1593</v>
      </c>
      <c r="AB387" s="241">
        <v>120000</v>
      </c>
      <c r="AC387" s="241"/>
      <c r="AD387" s="241"/>
      <c r="AE387" s="82"/>
      <c r="AF387" s="82"/>
      <c r="AG387" s="90"/>
      <c r="AH387" s="90"/>
      <c r="AI387" s="90" t="s">
        <v>1594</v>
      </c>
      <c r="AJ387" s="90"/>
      <c r="AK387" s="82"/>
      <c r="AL387" s="82" t="str" cm="1">
        <f t="array" aca="1" ref="AL387" ca="1">_xlfn.IFS(
 AND($AK387&lt;&gt;"", M387&lt;&gt;0, M387&lt;=EDATE(TODAY(),2)),"도래",
 AND($AK387&lt;&gt;"", M387&lt;&gt;0, M387&lt;=EDATE(TODAY(),3)),"예정",
 AND($AK387&lt;&gt;"", M387&lt;&gt;0, M387&lt;=EDATE(TODAY(),6)),"관심",
 TRUE,""
)</f>
        <v/>
      </c>
      <c r="AM387" s="198">
        <f t="shared" si="12"/>
        <v>5</v>
      </c>
    </row>
    <row r="388" spans="1:39" ht="18" customHeight="1">
      <c r="A388" s="81"/>
      <c r="B388" s="205" t="str">
        <f>_xlfn.LET(_xlpm.var,◆관리정보!B388,IF(_xlpm.var&lt;&gt;0,_xlpm.var,""))</f>
        <v>신림프리미어</v>
      </c>
      <c r="C388" s="82">
        <f>_xlfn.LET(_xlpm.var,◆관리정보!C388,IF(_xlpm.var&lt;&gt;0,_xlpm.var,""))</f>
        <v>1002</v>
      </c>
      <c r="D388" s="83" t="s">
        <v>1595</v>
      </c>
      <c r="E388" s="84" t="str">
        <f t="shared" ref="E388:E451" si="13">_xlfn.CONCAT(B388,C388)</f>
        <v>신림프리미어1002</v>
      </c>
      <c r="F388" s="85">
        <v>46125</v>
      </c>
      <c r="G388" s="229"/>
      <c r="H388" s="229"/>
      <c r="I388" s="229"/>
      <c r="J388" s="229"/>
      <c r="K388" s="218"/>
      <c r="L388" s="87">
        <v>45486</v>
      </c>
      <c r="M388" s="87">
        <v>46215</v>
      </c>
      <c r="N388" s="82" t="s">
        <v>1596</v>
      </c>
      <c r="O388" s="82" t="s">
        <v>1597</v>
      </c>
      <c r="P388" s="241">
        <v>30000000</v>
      </c>
      <c r="Q388" s="241">
        <v>790000</v>
      </c>
      <c r="R388" s="82"/>
      <c r="S388" s="305">
        <v>230000</v>
      </c>
      <c r="T388" s="82" t="s">
        <v>40</v>
      </c>
      <c r="U388" s="241"/>
      <c r="V388" s="82"/>
      <c r="W388" s="88"/>
      <c r="X388" s="82"/>
      <c r="Y388" s="89"/>
      <c r="Z388" s="82" t="s">
        <v>1598</v>
      </c>
      <c r="AA388" s="220" t="s">
        <v>1599</v>
      </c>
      <c r="AB388" s="241">
        <v>110000</v>
      </c>
      <c r="AC388" s="241"/>
      <c r="AD388" s="241"/>
      <c r="AE388" s="82"/>
      <c r="AF388" s="82"/>
      <c r="AG388" s="90"/>
      <c r="AH388" s="90"/>
      <c r="AI388" s="90" t="s">
        <v>1600</v>
      </c>
      <c r="AJ388" s="90"/>
      <c r="AK388" s="82"/>
      <c r="AL388" s="82" t="str" cm="1">
        <f t="array" aca="1" ref="AL388" ca="1">_xlfn.IFS(
 AND($AK388&lt;&gt;"", M388&lt;&gt;0, M388&lt;=EDATE(TODAY(),2)),"도래",
 AND($AK388&lt;&gt;"", M388&lt;&gt;0, M388&lt;=EDATE(TODAY(),3)),"예정",
 AND($AK388&lt;&gt;"", M388&lt;&gt;0, M388&lt;=EDATE(TODAY(),6)),"관심",
 TRUE,""
)</f>
        <v/>
      </c>
      <c r="AM388" s="198">
        <f t="shared" si="12"/>
        <v>13</v>
      </c>
    </row>
    <row r="389" spans="1:39" ht="18" customHeight="1">
      <c r="A389" s="81"/>
      <c r="B389" s="205" t="str">
        <f>_xlfn.LET(_xlpm.var,◆관리정보!B389,IF(_xlpm.var&lt;&gt;0,_xlpm.var,""))</f>
        <v>신림프리미어</v>
      </c>
      <c r="C389" s="82">
        <f>_xlfn.LET(_xlpm.var,◆관리정보!C389,IF(_xlpm.var&lt;&gt;0,_xlpm.var,""))</f>
        <v>1003</v>
      </c>
      <c r="D389" s="83" t="s">
        <v>1601</v>
      </c>
      <c r="E389" s="84" t="str">
        <f t="shared" si="13"/>
        <v>신림프리미어1003</v>
      </c>
      <c r="F389" s="85">
        <v>46129</v>
      </c>
      <c r="G389" s="229"/>
      <c r="H389" s="229"/>
      <c r="I389" s="229"/>
      <c r="J389" s="229"/>
      <c r="K389" s="218"/>
      <c r="L389" s="87">
        <v>46008</v>
      </c>
      <c r="M389" s="87">
        <v>46737</v>
      </c>
      <c r="N389" s="82" t="s">
        <v>1602</v>
      </c>
      <c r="O389" s="82" t="s">
        <v>1603</v>
      </c>
      <c r="P389" s="241">
        <v>30000000</v>
      </c>
      <c r="Q389" s="241">
        <v>850000</v>
      </c>
      <c r="R389" s="82"/>
      <c r="S389" s="241">
        <v>90000</v>
      </c>
      <c r="T389" s="82"/>
      <c r="U389" s="241"/>
      <c r="V389" s="82"/>
      <c r="W389" s="88"/>
      <c r="X389" s="82"/>
      <c r="Y389" s="89"/>
      <c r="Z389" s="82"/>
      <c r="AA389" s="220"/>
      <c r="AB389" s="241">
        <v>180000</v>
      </c>
      <c r="AC389" s="241">
        <v>250000</v>
      </c>
      <c r="AD389" s="241"/>
      <c r="AE389" s="82" t="s">
        <v>1604</v>
      </c>
      <c r="AF389" s="82" t="s">
        <v>1605</v>
      </c>
      <c r="AG389" s="90"/>
      <c r="AH389" s="90"/>
      <c r="AI389" s="90" t="s">
        <v>1606</v>
      </c>
      <c r="AJ389" s="90"/>
      <c r="AK389" s="82"/>
      <c r="AL389" s="82" t="str" cm="1">
        <f t="array" aca="1" ref="AL389" ca="1">_xlfn.IFS(
 AND($AK389&lt;&gt;"", M389&lt;&gt;0, M389&lt;=EDATE(TODAY(),2)),"도래",
 AND($AK389&lt;&gt;"", M389&lt;&gt;0, M389&lt;=EDATE(TODAY(),3)),"예정",
 AND($AK389&lt;&gt;"", M389&lt;&gt;0, M389&lt;=EDATE(TODAY(),6)),"관심",
 TRUE,""
)</f>
        <v/>
      </c>
      <c r="AM389" s="198">
        <f t="shared" ref="AM389:AM406" si="14">DAY(L389)</f>
        <v>17</v>
      </c>
    </row>
    <row r="390" spans="1:39" ht="18" customHeight="1">
      <c r="A390" s="81"/>
      <c r="B390" s="205" t="str">
        <f>_xlfn.LET(_xlpm.var,◆관리정보!B390,IF(_xlpm.var&lt;&gt;0,_xlpm.var,""))</f>
        <v>신림프리미어</v>
      </c>
      <c r="C390" s="82">
        <f>_xlfn.LET(_xlpm.var,◆관리정보!C390,IF(_xlpm.var&lt;&gt;0,_xlpm.var,""))</f>
        <v>1004</v>
      </c>
      <c r="D390" s="83" t="s">
        <v>1607</v>
      </c>
      <c r="E390" s="84" t="str">
        <f t="shared" si="13"/>
        <v>신림프리미어1004</v>
      </c>
      <c r="F390" s="85">
        <v>46123</v>
      </c>
      <c r="G390" s="229"/>
      <c r="H390" s="229"/>
      <c r="I390" s="229"/>
      <c r="J390" s="229"/>
      <c r="K390" s="318"/>
      <c r="L390" s="87">
        <v>45668</v>
      </c>
      <c r="M390" s="87">
        <v>46397</v>
      </c>
      <c r="N390" s="82" t="s">
        <v>1608</v>
      </c>
      <c r="O390" s="82" t="s">
        <v>1609</v>
      </c>
      <c r="P390" s="241">
        <v>20000000</v>
      </c>
      <c r="Q390" s="241">
        <v>780000</v>
      </c>
      <c r="R390" s="82"/>
      <c r="S390" s="241">
        <v>90000</v>
      </c>
      <c r="T390" s="82" t="s">
        <v>40</v>
      </c>
      <c r="U390" s="241"/>
      <c r="V390" s="82"/>
      <c r="W390" s="88"/>
      <c r="X390" s="82"/>
      <c r="Y390" s="89"/>
      <c r="Z390" s="82"/>
      <c r="AA390" s="220"/>
      <c r="AB390" s="241">
        <v>120000</v>
      </c>
      <c r="AC390" s="241"/>
      <c r="AD390" s="241"/>
      <c r="AE390" s="82"/>
      <c r="AF390" s="82"/>
      <c r="AG390" s="90"/>
      <c r="AH390" s="90"/>
      <c r="AI390" s="90" t="s">
        <v>1610</v>
      </c>
      <c r="AJ390" s="90"/>
      <c r="AK390" s="82"/>
      <c r="AL390" s="82" t="str" cm="1">
        <f t="array" aca="1" ref="AL390" ca="1">_xlfn.IFS(
 AND($AK390&lt;&gt;"", M390&lt;&gt;0, M390&lt;=EDATE(TODAY(),2)),"도래",
 AND($AK390&lt;&gt;"", M390&lt;&gt;0, M390&lt;=EDATE(TODAY(),3)),"예정",
 AND($AK390&lt;&gt;"", M390&lt;&gt;0, M390&lt;=EDATE(TODAY(),6)),"관심",
 TRUE,""
)</f>
        <v/>
      </c>
      <c r="AM390" s="198">
        <f t="shared" si="14"/>
        <v>11</v>
      </c>
    </row>
    <row r="391" spans="1:39" ht="18" customHeight="1">
      <c r="A391" s="81"/>
      <c r="B391" s="205" t="str">
        <f>_xlfn.LET(_xlpm.var,◆관리정보!B391,IF(_xlpm.var&lt;&gt;0,_xlpm.var,""))</f>
        <v>신림프리미어</v>
      </c>
      <c r="C391" s="82" t="str">
        <f>_xlfn.LET(_xlpm.var,◆관리정보!C391,IF(_xlpm.var&lt;&gt;0,_xlpm.var,""))</f>
        <v>주차만</v>
      </c>
      <c r="D391" s="83" t="s">
        <v>1611</v>
      </c>
      <c r="E391" s="84" t="str">
        <f t="shared" si="13"/>
        <v>신림프리미어주차만</v>
      </c>
      <c r="F391" s="85">
        <v>46118</v>
      </c>
      <c r="G391" s="229"/>
      <c r="H391" s="229"/>
      <c r="I391" s="229"/>
      <c r="J391" s="229"/>
      <c r="K391" s="218"/>
      <c r="L391" s="87">
        <v>45266</v>
      </c>
      <c r="M391" s="87"/>
      <c r="N391" s="82"/>
      <c r="O391" s="82" t="s">
        <v>1612</v>
      </c>
      <c r="P391" s="241"/>
      <c r="Q391" s="241"/>
      <c r="R391" s="82"/>
      <c r="S391" s="241">
        <v>100000</v>
      </c>
      <c r="T391" s="82" t="s">
        <v>40</v>
      </c>
      <c r="U391" s="241"/>
      <c r="V391" s="82"/>
      <c r="W391" s="88"/>
      <c r="X391" s="82"/>
      <c r="Y391" s="89"/>
      <c r="Z391" s="82"/>
      <c r="AA391" s="220">
        <v>6692</v>
      </c>
      <c r="AB391" s="241"/>
      <c r="AC391" s="241"/>
      <c r="AD391" s="241"/>
      <c r="AE391" s="82"/>
      <c r="AF391" s="82"/>
      <c r="AG391" s="90"/>
      <c r="AH391" s="90"/>
      <c r="AI391" s="90"/>
      <c r="AJ391" s="90"/>
      <c r="AK391" s="82"/>
      <c r="AL391" s="82" t="str" cm="1">
        <f t="array" aca="1" ref="AL391" ca="1">_xlfn.IFS(
 AND($AK391&lt;&gt;"", M391&lt;&gt;0, M391&lt;=EDATE(TODAY(),2)),"도래",
 AND($AK391&lt;&gt;"", M391&lt;&gt;0, M391&lt;=EDATE(TODAY(),3)),"예정",
 AND($AK391&lt;&gt;"", M391&lt;&gt;0, M391&lt;=EDATE(TODAY(),6)),"관심",
 TRUE,""
)</f>
        <v/>
      </c>
      <c r="AM391" s="198">
        <f t="shared" si="14"/>
        <v>6</v>
      </c>
    </row>
    <row r="392" spans="1:39" ht="18" customHeight="1">
      <c r="A392" s="81"/>
      <c r="B392" s="205" t="str">
        <f>_xlfn.LET(_xlpm.var,◆관리정보!B392,IF(_xlpm.var&lt;&gt;0,_xlpm.var,""))</f>
        <v>메종빌</v>
      </c>
      <c r="C392" s="264">
        <f>_xlfn.LET(_xlpm.var,◆관리정보!C392,IF(_xlpm.var&lt;&gt;0,_xlpm.var,""))</f>
        <v>101</v>
      </c>
      <c r="D392" s="83" t="s">
        <v>1613</v>
      </c>
      <c r="E392" s="84" t="str">
        <f t="shared" si="13"/>
        <v>메종빌101</v>
      </c>
      <c r="F392" s="85">
        <v>46129</v>
      </c>
      <c r="G392" s="229"/>
      <c r="H392" s="229"/>
      <c r="I392" s="229"/>
      <c r="J392" s="229"/>
      <c r="K392" s="218"/>
      <c r="L392" s="359">
        <v>46039</v>
      </c>
      <c r="M392" s="87">
        <v>46128</v>
      </c>
      <c r="N392" s="265" t="s">
        <v>1614</v>
      </c>
      <c r="O392" s="82" t="s">
        <v>1615</v>
      </c>
      <c r="P392" s="241">
        <v>2550000</v>
      </c>
      <c r="Q392" s="241">
        <v>2550000</v>
      </c>
      <c r="R392" s="82"/>
      <c r="S392" s="241">
        <v>150000</v>
      </c>
      <c r="T392" s="82" t="s">
        <v>40</v>
      </c>
      <c r="U392" s="241">
        <v>30000</v>
      </c>
      <c r="V392" s="82" t="s">
        <v>40</v>
      </c>
      <c r="W392" s="88">
        <v>25000</v>
      </c>
      <c r="X392" s="82" t="s">
        <v>40</v>
      </c>
      <c r="Y392" s="89">
        <v>50000</v>
      </c>
      <c r="Z392" s="82" t="s">
        <v>1103</v>
      </c>
      <c r="AA392" s="220" t="s">
        <v>823</v>
      </c>
      <c r="AB392" s="241">
        <v>250000</v>
      </c>
      <c r="AC392" s="241">
        <v>250000</v>
      </c>
      <c r="AD392" s="241"/>
      <c r="AE392" s="82" t="s">
        <v>85</v>
      </c>
      <c r="AF392" s="82" t="s">
        <v>1616</v>
      </c>
      <c r="AG392" s="90"/>
      <c r="AH392" s="90"/>
      <c r="AI392" s="90"/>
      <c r="AJ392" s="90"/>
      <c r="AK392" s="82"/>
      <c r="AL392" s="82" t="str" cm="1">
        <f t="array" aca="1" ref="AL392" ca="1">_xlfn.IFS(
 AND($AK392&lt;&gt;"", M392&lt;&gt;0, M392&lt;=EDATE(TODAY(),2)),"도래",
 AND($AK392&lt;&gt;"", M392&lt;&gt;0, M392&lt;=EDATE(TODAY(),3)),"예정",
 AND($AK392&lt;&gt;"", M392&lt;&gt;0, M392&lt;=EDATE(TODAY(),6)),"관심",
 TRUE,""
)</f>
        <v/>
      </c>
      <c r="AM392" s="198">
        <f t="shared" si="14"/>
        <v>17</v>
      </c>
    </row>
    <row r="393" spans="1:39" ht="18" customHeight="1">
      <c r="A393" s="81"/>
      <c r="B393" s="205" t="str">
        <f>_xlfn.LET(_xlpm.var,◆관리정보!B393,IF(_xlpm.var&lt;&gt;0,_xlpm.var,""))</f>
        <v>메종빌</v>
      </c>
      <c r="C393" s="264">
        <f>_xlfn.LET(_xlpm.var,◆관리정보!C393,IF(_xlpm.var&lt;&gt;0,_xlpm.var,""))</f>
        <v>201</v>
      </c>
      <c r="D393" s="83" t="s">
        <v>1617</v>
      </c>
      <c r="E393" s="84" t="str">
        <f t="shared" si="13"/>
        <v>메종빌201</v>
      </c>
      <c r="F393" s="85">
        <v>46118</v>
      </c>
      <c r="G393" s="229"/>
      <c r="H393" s="229"/>
      <c r="I393" s="229"/>
      <c r="J393" s="229"/>
      <c r="K393" s="218"/>
      <c r="L393" s="359">
        <v>45997</v>
      </c>
      <c r="M393" s="87">
        <v>46058</v>
      </c>
      <c r="N393" s="82" t="s">
        <v>1618</v>
      </c>
      <c r="O393" s="82" t="s">
        <v>1619</v>
      </c>
      <c r="P393" s="241">
        <v>2300000</v>
      </c>
      <c r="Q393" s="241">
        <v>2300000</v>
      </c>
      <c r="R393" s="82"/>
      <c r="S393" s="241">
        <v>150000</v>
      </c>
      <c r="T393" s="82" t="s">
        <v>40</v>
      </c>
      <c r="U393" s="241">
        <v>30000</v>
      </c>
      <c r="V393" s="82" t="s">
        <v>40</v>
      </c>
      <c r="W393" s="88">
        <v>25000</v>
      </c>
      <c r="X393" s="82" t="s">
        <v>40</v>
      </c>
      <c r="Y393" s="89"/>
      <c r="Z393" s="82"/>
      <c r="AA393" s="220"/>
      <c r="AB393" s="241">
        <v>250000</v>
      </c>
      <c r="AC393" s="241">
        <v>250000</v>
      </c>
      <c r="AD393" s="241"/>
      <c r="AE393" s="82" t="s">
        <v>41</v>
      </c>
      <c r="AF393" s="82" t="s">
        <v>394</v>
      </c>
      <c r="AG393" s="90"/>
      <c r="AH393" s="90"/>
      <c r="AI393" s="90"/>
      <c r="AJ393" s="90"/>
      <c r="AK393" s="82"/>
      <c r="AL393" s="82" t="str" cm="1">
        <f t="array" aca="1" ref="AL393" ca="1">_xlfn.IFS(
 AND($AK393&lt;&gt;"", M393&lt;&gt;0, M393&lt;=EDATE(TODAY(),2)),"도래",
 AND($AK393&lt;&gt;"", M393&lt;&gt;0, M393&lt;=EDATE(TODAY(),3)),"예정",
 AND($AK393&lt;&gt;"", M393&lt;&gt;0, M393&lt;=EDATE(TODAY(),6)),"관심",
 TRUE,""
)</f>
        <v/>
      </c>
      <c r="AM393" s="198">
        <f t="shared" si="14"/>
        <v>6</v>
      </c>
    </row>
    <row r="394" spans="1:39" ht="18" customHeight="1">
      <c r="A394" s="81"/>
      <c r="B394" s="205" t="str">
        <f>_xlfn.LET(_xlpm.var,◆관리정보!B394,IF(_xlpm.var&lt;&gt;0,_xlpm.var,""))</f>
        <v>메종빌</v>
      </c>
      <c r="C394" s="264">
        <f>_xlfn.LET(_xlpm.var,◆관리정보!C394,IF(_xlpm.var&lt;&gt;0,_xlpm.var,""))</f>
        <v>202</v>
      </c>
      <c r="D394" s="83" t="s">
        <v>1620</v>
      </c>
      <c r="E394" s="84" t="str">
        <f t="shared" si="13"/>
        <v>메종빌202</v>
      </c>
      <c r="F394" s="85">
        <v>46090</v>
      </c>
      <c r="G394" s="229"/>
      <c r="H394" s="229"/>
      <c r="I394" s="229"/>
      <c r="J394" s="308">
        <f>2288620-33420-300000</f>
        <v>1955200</v>
      </c>
      <c r="K394" s="318">
        <v>85000</v>
      </c>
      <c r="L394" s="359">
        <v>45817</v>
      </c>
      <c r="M394" s="87">
        <v>45908</v>
      </c>
      <c r="N394" s="82" t="s">
        <v>1621</v>
      </c>
      <c r="O394" s="82" t="s">
        <v>1622</v>
      </c>
      <c r="P394" s="241">
        <v>1900000</v>
      </c>
      <c r="Q394" s="241">
        <v>1900000</v>
      </c>
      <c r="R394" s="82"/>
      <c r="S394" s="241">
        <v>130000</v>
      </c>
      <c r="T394" s="82" t="s">
        <v>40</v>
      </c>
      <c r="U394" s="241">
        <v>30000</v>
      </c>
      <c r="V394" s="82" t="s">
        <v>40</v>
      </c>
      <c r="W394" s="88">
        <v>25000</v>
      </c>
      <c r="X394" s="82" t="s">
        <v>40</v>
      </c>
      <c r="Y394" s="89"/>
      <c r="Z394" s="82"/>
      <c r="AA394" s="220"/>
      <c r="AB394" s="241">
        <v>250000</v>
      </c>
      <c r="AC394" s="241">
        <v>200000</v>
      </c>
      <c r="AD394" s="241"/>
      <c r="AE394" s="82" t="s">
        <v>327</v>
      </c>
      <c r="AF394" s="82" t="s">
        <v>328</v>
      </c>
      <c r="AG394" s="90"/>
      <c r="AH394" s="90"/>
      <c r="AI394" s="90"/>
      <c r="AJ394" s="90"/>
      <c r="AK394" s="82"/>
      <c r="AL394" s="82" t="str" cm="1">
        <f t="array" aca="1" ref="AL394" ca="1">_xlfn.IFS(
 AND($AK394&lt;&gt;"", M394&lt;&gt;0, M394&lt;=EDATE(TODAY(),2)),"도래",
 AND($AK394&lt;&gt;"", M394&lt;&gt;0, M394&lt;=EDATE(TODAY(),3)),"예정",
 AND($AK394&lt;&gt;"", M394&lt;&gt;0, M394&lt;=EDATE(TODAY(),6)),"관심",
 TRUE,""
)</f>
        <v/>
      </c>
      <c r="AM394" s="198">
        <f t="shared" si="14"/>
        <v>9</v>
      </c>
    </row>
    <row r="395" spans="1:39" ht="18" customHeight="1">
      <c r="A395" s="81"/>
      <c r="B395" s="205" t="str">
        <f>_xlfn.LET(_xlpm.var,◆관리정보!B395,IF(_xlpm.var&lt;&gt;0,_xlpm.var,""))</f>
        <v>메종빌</v>
      </c>
      <c r="C395" s="264">
        <f>_xlfn.LET(_xlpm.var,◆관리정보!C395,IF(_xlpm.var&lt;&gt;0,_xlpm.var,""))</f>
        <v>203</v>
      </c>
      <c r="D395" s="83" t="s">
        <v>1623</v>
      </c>
      <c r="E395" s="84" t="str">
        <f t="shared" si="13"/>
        <v>메종빌203</v>
      </c>
      <c r="F395" s="85">
        <v>46130</v>
      </c>
      <c r="G395" s="229"/>
      <c r="H395" s="229"/>
      <c r="I395" s="229"/>
      <c r="J395" s="229"/>
      <c r="K395" s="218"/>
      <c r="L395" s="359">
        <v>46009</v>
      </c>
      <c r="M395" s="87">
        <v>46098</v>
      </c>
      <c r="N395" s="82" t="s">
        <v>1624</v>
      </c>
      <c r="O395" s="82" t="s">
        <v>1625</v>
      </c>
      <c r="P395" s="241">
        <v>2350000</v>
      </c>
      <c r="Q395" s="241">
        <v>2350000</v>
      </c>
      <c r="R395" s="82"/>
      <c r="S395" s="241">
        <v>150000</v>
      </c>
      <c r="T395" s="82" t="s">
        <v>40</v>
      </c>
      <c r="U395" s="241">
        <v>30000</v>
      </c>
      <c r="V395" s="82" t="s">
        <v>40</v>
      </c>
      <c r="W395" s="88">
        <v>25000</v>
      </c>
      <c r="X395" s="82" t="s">
        <v>40</v>
      </c>
      <c r="Y395" s="89"/>
      <c r="Z395" s="82"/>
      <c r="AA395" s="220"/>
      <c r="AB395" s="241">
        <v>250000</v>
      </c>
      <c r="AC395" s="241">
        <v>250000</v>
      </c>
      <c r="AD395" s="241"/>
      <c r="AE395" s="82" t="s">
        <v>108</v>
      </c>
      <c r="AF395" s="82" t="s">
        <v>80</v>
      </c>
      <c r="AG395" s="90"/>
      <c r="AH395" s="90"/>
      <c r="AI395" s="90" t="s">
        <v>1626</v>
      </c>
      <c r="AJ395" s="90"/>
      <c r="AK395" s="82"/>
      <c r="AL395" s="82" t="str" cm="1">
        <f t="array" aca="1" ref="AL395" ca="1">_xlfn.IFS(
 AND($AK395&lt;&gt;"", M395&lt;&gt;0, M395&lt;=EDATE(TODAY(),2)),"도래",
 AND($AK395&lt;&gt;"", M395&lt;&gt;0, M395&lt;=EDATE(TODAY(),3)),"예정",
 AND($AK395&lt;&gt;"", M395&lt;&gt;0, M395&lt;=EDATE(TODAY(),6)),"관심",
 TRUE,""
)</f>
        <v/>
      </c>
      <c r="AM395" s="198">
        <f t="shared" si="14"/>
        <v>18</v>
      </c>
    </row>
    <row r="396" spans="1:39" ht="18" customHeight="1">
      <c r="A396" s="81"/>
      <c r="B396" s="205" t="str">
        <f>_xlfn.LET(_xlpm.var,◆관리정보!B396,IF(_xlpm.var&lt;&gt;0,_xlpm.var,""))</f>
        <v>메종빌</v>
      </c>
      <c r="C396" s="264">
        <f>_xlfn.LET(_xlpm.var,◆관리정보!C396,IF(_xlpm.var&lt;&gt;0,_xlpm.var,""))</f>
        <v>301</v>
      </c>
      <c r="D396" s="83" t="s">
        <v>1627</v>
      </c>
      <c r="E396" s="84" t="str">
        <f t="shared" si="13"/>
        <v>메종빌301</v>
      </c>
      <c r="F396" s="85">
        <v>46108</v>
      </c>
      <c r="G396" s="229"/>
      <c r="H396" s="229"/>
      <c r="I396" s="229"/>
      <c r="J396" s="229"/>
      <c r="K396" s="218"/>
      <c r="L396" s="359">
        <v>45743</v>
      </c>
      <c r="M396" s="87">
        <v>45926</v>
      </c>
      <c r="N396" s="82" t="s">
        <v>1628</v>
      </c>
      <c r="O396" s="82" t="s">
        <v>1629</v>
      </c>
      <c r="P396" s="241">
        <v>2350000</v>
      </c>
      <c r="Q396" s="241">
        <v>2350000</v>
      </c>
      <c r="R396" s="82"/>
      <c r="S396" s="241">
        <v>150000</v>
      </c>
      <c r="T396" s="82" t="s">
        <v>40</v>
      </c>
      <c r="U396" s="241">
        <v>30000</v>
      </c>
      <c r="V396" s="82" t="s">
        <v>40</v>
      </c>
      <c r="W396" s="88">
        <v>25000</v>
      </c>
      <c r="X396" s="82" t="s">
        <v>40</v>
      </c>
      <c r="Y396" s="89"/>
      <c r="Z396" s="82"/>
      <c r="AA396" s="220"/>
      <c r="AB396" s="241">
        <v>250000</v>
      </c>
      <c r="AC396" s="241">
        <v>250000</v>
      </c>
      <c r="AD396" s="241"/>
      <c r="AE396" s="82" t="s">
        <v>69</v>
      </c>
      <c r="AF396" s="82" t="s">
        <v>70</v>
      </c>
      <c r="AG396" s="90"/>
      <c r="AH396" s="90"/>
      <c r="AI396" s="90" t="s">
        <v>1630</v>
      </c>
      <c r="AJ396" s="90"/>
      <c r="AK396" s="82"/>
      <c r="AL396" s="82" t="str" cm="1">
        <f t="array" aca="1" ref="AL396" ca="1">_xlfn.IFS(
 AND($AK396&lt;&gt;"", M396&lt;&gt;0, M396&lt;=EDATE(TODAY(),2)),"도래",
 AND($AK396&lt;&gt;"", M396&lt;&gt;0, M396&lt;=EDATE(TODAY(),3)),"예정",
 AND($AK396&lt;&gt;"", M396&lt;&gt;0, M396&lt;=EDATE(TODAY(),6)),"관심",
 TRUE,""
)</f>
        <v/>
      </c>
      <c r="AM396" s="198">
        <f t="shared" si="14"/>
        <v>27</v>
      </c>
    </row>
    <row r="397" spans="1:39" ht="18" customHeight="1">
      <c r="A397" s="81"/>
      <c r="B397" s="205" t="str">
        <f>_xlfn.LET(_xlpm.var,◆관리정보!B397,IF(_xlpm.var&lt;&gt;0,_xlpm.var,""))</f>
        <v>메종빌</v>
      </c>
      <c r="C397" s="264">
        <f>_xlfn.LET(_xlpm.var,◆관리정보!C397,IF(_xlpm.var&lt;&gt;0,_xlpm.var,""))</f>
        <v>302</v>
      </c>
      <c r="D397" s="83" t="s">
        <v>1631</v>
      </c>
      <c r="E397" s="84" t="str">
        <f t="shared" si="13"/>
        <v>메종빌302</v>
      </c>
      <c r="F397" s="85">
        <v>46118</v>
      </c>
      <c r="G397" s="229"/>
      <c r="H397" s="229"/>
      <c r="I397" s="229"/>
      <c r="J397" s="229"/>
      <c r="K397" s="218"/>
      <c r="L397" s="359">
        <v>45783</v>
      </c>
      <c r="M397" s="87">
        <v>45874</v>
      </c>
      <c r="N397" s="82" t="s">
        <v>1632</v>
      </c>
      <c r="O397" s="82" t="s">
        <v>1633</v>
      </c>
      <c r="P397" s="241">
        <v>1900000</v>
      </c>
      <c r="Q397" s="241">
        <v>1900000</v>
      </c>
      <c r="R397" s="82"/>
      <c r="S397" s="241">
        <v>130000</v>
      </c>
      <c r="T397" s="82" t="s">
        <v>40</v>
      </c>
      <c r="U397" s="241">
        <v>30000</v>
      </c>
      <c r="V397" s="82" t="s">
        <v>40</v>
      </c>
      <c r="W397" s="88">
        <v>25000</v>
      </c>
      <c r="X397" s="82" t="s">
        <v>40</v>
      </c>
      <c r="Y397" s="89"/>
      <c r="Z397" s="82"/>
      <c r="AA397" s="220"/>
      <c r="AB397" s="241">
        <v>250000</v>
      </c>
      <c r="AC397" s="241">
        <v>200000</v>
      </c>
      <c r="AD397" s="241"/>
      <c r="AE397" s="82" t="s">
        <v>1028</v>
      </c>
      <c r="AF397" s="82" t="s">
        <v>559</v>
      </c>
      <c r="AG397" s="90"/>
      <c r="AH397" s="90"/>
      <c r="AI397" s="90" t="s">
        <v>1634</v>
      </c>
      <c r="AJ397" s="90"/>
      <c r="AK397" s="82"/>
      <c r="AL397" s="82" t="str" cm="1">
        <f t="array" aca="1" ref="AL397" ca="1">_xlfn.IFS(
 AND($AK397&lt;&gt;"", M397&lt;&gt;0, M397&lt;=EDATE(TODAY(),2)),"도래",
 AND($AK397&lt;&gt;"", M397&lt;&gt;0, M397&lt;=EDATE(TODAY(),3)),"예정",
 AND($AK397&lt;&gt;"", M397&lt;&gt;0, M397&lt;=EDATE(TODAY(),6)),"관심",
 TRUE,""
)</f>
        <v/>
      </c>
      <c r="AM397" s="198">
        <f t="shared" si="14"/>
        <v>6</v>
      </c>
    </row>
    <row r="398" spans="1:39" ht="18" customHeight="1">
      <c r="A398" s="81"/>
      <c r="B398" s="205" t="str">
        <f>_xlfn.LET(_xlpm.var,◆관리정보!B398,IF(_xlpm.var&lt;&gt;0,_xlpm.var,""))</f>
        <v>메종빌</v>
      </c>
      <c r="C398" s="82">
        <f>_xlfn.LET(_xlpm.var,◆관리정보!C398,IF(_xlpm.var&lt;&gt;0,_xlpm.var,""))</f>
        <v>303</v>
      </c>
      <c r="D398" s="83" t="s">
        <v>1374</v>
      </c>
      <c r="E398" s="84" t="str">
        <f t="shared" si="13"/>
        <v>메종빌303</v>
      </c>
      <c r="F398" s="85">
        <v>46124</v>
      </c>
      <c r="G398" s="229"/>
      <c r="H398" s="229"/>
      <c r="I398" s="229"/>
      <c r="J398" s="229"/>
      <c r="K398" s="318"/>
      <c r="L398" s="359">
        <v>46065</v>
      </c>
      <c r="M398" s="87">
        <v>46153</v>
      </c>
      <c r="N398" s="82" t="s">
        <v>1635</v>
      </c>
      <c r="O398" s="82" t="s">
        <v>1636</v>
      </c>
      <c r="P398" s="241">
        <v>2350000</v>
      </c>
      <c r="Q398" s="241">
        <v>2350000</v>
      </c>
      <c r="R398" s="82"/>
      <c r="S398" s="241">
        <v>150000</v>
      </c>
      <c r="T398" s="82" t="s">
        <v>40</v>
      </c>
      <c r="U398" s="241">
        <v>30000</v>
      </c>
      <c r="V398" s="82" t="s">
        <v>40</v>
      </c>
      <c r="W398" s="88">
        <v>25000</v>
      </c>
      <c r="X398" s="82" t="s">
        <v>40</v>
      </c>
      <c r="Y398" s="89"/>
      <c r="Z398" s="82"/>
      <c r="AA398" s="220"/>
      <c r="AB398" s="241">
        <v>250000</v>
      </c>
      <c r="AC398" s="241">
        <v>250000</v>
      </c>
      <c r="AD398" s="241"/>
      <c r="AE398" s="82" t="s">
        <v>332</v>
      </c>
      <c r="AF398" s="82" t="s">
        <v>333</v>
      </c>
      <c r="AG398" s="90"/>
      <c r="AH398" s="90"/>
      <c r="AI398" s="382" t="s">
        <v>1637</v>
      </c>
      <c r="AJ398" s="90"/>
      <c r="AK398" s="82"/>
      <c r="AL398" s="82" t="str" cm="1">
        <f t="array" aca="1" ref="AL398" ca="1">_xlfn.IFS(
 AND($AK398&lt;&gt;"", M398&lt;&gt;0, M398&lt;=EDATE(TODAY(),2)),"도래",
 AND($AK398&lt;&gt;"", M398&lt;&gt;0, M398&lt;=EDATE(TODAY(),3)),"예정",
 AND($AK398&lt;&gt;"", M398&lt;&gt;0, M398&lt;=EDATE(TODAY(),6)),"관심",
 TRUE,""
)</f>
        <v/>
      </c>
      <c r="AM398" s="198">
        <f t="shared" si="14"/>
        <v>12</v>
      </c>
    </row>
    <row r="399" spans="1:39" ht="18" customHeight="1">
      <c r="A399" s="81"/>
      <c r="B399" s="205" t="str">
        <f>_xlfn.LET(_xlpm.var,◆관리정보!B399,IF(_xlpm.var&lt;&gt;0,_xlpm.var,""))</f>
        <v>메종빌</v>
      </c>
      <c r="C399" s="264">
        <f>_xlfn.LET(_xlpm.var,◆관리정보!C399,IF(_xlpm.var&lt;&gt;0,_xlpm.var,""))</f>
        <v>401</v>
      </c>
      <c r="D399" s="83" t="s">
        <v>1638</v>
      </c>
      <c r="E399" s="84" t="str">
        <f t="shared" si="13"/>
        <v>메종빌401</v>
      </c>
      <c r="F399" s="85">
        <v>46117</v>
      </c>
      <c r="G399" s="229"/>
      <c r="H399" s="229"/>
      <c r="I399" s="229"/>
      <c r="J399" s="229"/>
      <c r="K399" s="218"/>
      <c r="L399" s="359">
        <v>46027</v>
      </c>
      <c r="M399" s="87">
        <v>46116</v>
      </c>
      <c r="N399" s="82" t="s">
        <v>1639</v>
      </c>
      <c r="O399" s="82" t="s">
        <v>1640</v>
      </c>
      <c r="P399" s="241">
        <v>2350000</v>
      </c>
      <c r="Q399" s="241">
        <v>2350000</v>
      </c>
      <c r="R399" s="82"/>
      <c r="S399" s="241">
        <v>150000</v>
      </c>
      <c r="T399" s="82" t="s">
        <v>40</v>
      </c>
      <c r="U399" s="241">
        <v>30000</v>
      </c>
      <c r="V399" s="82" t="s">
        <v>40</v>
      </c>
      <c r="W399" s="88">
        <v>25000</v>
      </c>
      <c r="X399" s="82" t="s">
        <v>40</v>
      </c>
      <c r="Y399" s="89"/>
      <c r="Z399" s="82"/>
      <c r="AA399" s="220" t="s">
        <v>1641</v>
      </c>
      <c r="AB399" s="241">
        <v>250000</v>
      </c>
      <c r="AC399" s="241">
        <v>0</v>
      </c>
      <c r="AD399" s="241"/>
      <c r="AE399" s="82" t="s">
        <v>710</v>
      </c>
      <c r="AF399" s="82"/>
      <c r="AG399" s="90"/>
      <c r="AH399" s="90"/>
      <c r="AI399" s="90"/>
      <c r="AJ399" s="90"/>
      <c r="AK399" s="82"/>
      <c r="AL399" s="82" t="str" cm="1">
        <f t="array" aca="1" ref="AL399" ca="1">_xlfn.IFS(
 AND($AK399&lt;&gt;"", M399&lt;&gt;0, M399&lt;=EDATE(TODAY(),2)),"도래",
 AND($AK399&lt;&gt;"", M399&lt;&gt;0, M399&lt;=EDATE(TODAY(),3)),"예정",
 AND($AK399&lt;&gt;"", M399&lt;&gt;0, M399&lt;=EDATE(TODAY(),6)),"관심",
 TRUE,""
)</f>
        <v/>
      </c>
      <c r="AM399" s="198">
        <f t="shared" si="14"/>
        <v>5</v>
      </c>
    </row>
    <row r="400" spans="1:39" ht="18" customHeight="1">
      <c r="A400" s="81"/>
      <c r="B400" s="205" t="str">
        <f>_xlfn.LET(_xlpm.var,◆관리정보!B400,IF(_xlpm.var&lt;&gt;0,_xlpm.var,""))</f>
        <v>메종빌</v>
      </c>
      <c r="C400" s="82">
        <f>_xlfn.LET(_xlpm.var,◆관리정보!C400,IF(_xlpm.var&lt;&gt;0,_xlpm.var,""))</f>
        <v>402</v>
      </c>
      <c r="D400" s="83" t="s">
        <v>1642</v>
      </c>
      <c r="E400" s="84" t="str">
        <f t="shared" si="13"/>
        <v>메종빌402</v>
      </c>
      <c r="F400" s="85">
        <v>46111</v>
      </c>
      <c r="G400" s="229"/>
      <c r="H400" s="229"/>
      <c r="I400" s="229"/>
      <c r="J400" s="229"/>
      <c r="K400" s="218"/>
      <c r="L400" s="359">
        <v>46021</v>
      </c>
      <c r="M400" s="87">
        <v>46110</v>
      </c>
      <c r="N400" s="82" t="s">
        <v>1643</v>
      </c>
      <c r="O400" s="82" t="s">
        <v>1644</v>
      </c>
      <c r="P400" s="241">
        <v>1950000</v>
      </c>
      <c r="Q400" s="241">
        <v>1950000</v>
      </c>
      <c r="R400" s="82"/>
      <c r="S400" s="241">
        <v>130000</v>
      </c>
      <c r="T400" s="82" t="s">
        <v>40</v>
      </c>
      <c r="U400" s="241">
        <v>30000</v>
      </c>
      <c r="V400" s="82" t="s">
        <v>40</v>
      </c>
      <c r="W400" s="88">
        <v>25000</v>
      </c>
      <c r="X400" s="82" t="s">
        <v>40</v>
      </c>
      <c r="Y400" s="89"/>
      <c r="Z400" s="82"/>
      <c r="AA400" s="220"/>
      <c r="AB400" s="241">
        <v>250000</v>
      </c>
      <c r="AC400" s="241">
        <v>200000</v>
      </c>
      <c r="AD400" s="241"/>
      <c r="AE400" s="82" t="s">
        <v>599</v>
      </c>
      <c r="AF400" s="82" t="s">
        <v>1645</v>
      </c>
      <c r="AG400" s="90"/>
      <c r="AH400" s="90"/>
      <c r="AI400" s="90"/>
      <c r="AJ400" s="90"/>
      <c r="AK400" s="82"/>
      <c r="AL400" s="82" t="str" cm="1">
        <f t="array" aca="1" ref="AL400" ca="1">_xlfn.IFS(
 AND($AK400&lt;&gt;"", M400&lt;&gt;0, M400&lt;=EDATE(TODAY(),2)),"도래",
 AND($AK400&lt;&gt;"", M400&lt;&gt;0, M400&lt;=EDATE(TODAY(),3)),"예정",
 AND($AK400&lt;&gt;"", M400&lt;&gt;0, M400&lt;=EDATE(TODAY(),6)),"관심",
 TRUE,""
)</f>
        <v/>
      </c>
      <c r="AM400" s="198">
        <f t="shared" si="14"/>
        <v>30</v>
      </c>
    </row>
    <row r="401" spans="1:39" ht="18" customHeight="1">
      <c r="A401" s="81"/>
      <c r="B401" s="205" t="str">
        <f>_xlfn.LET(_xlpm.var,◆관리정보!B401,IF(_xlpm.var&lt;&gt;0,_xlpm.var,""))</f>
        <v>메종빌</v>
      </c>
      <c r="C401" s="82">
        <f>_xlfn.LET(_xlpm.var,◆관리정보!C401,IF(_xlpm.var&lt;&gt;0,_xlpm.var,""))</f>
        <v>403</v>
      </c>
      <c r="D401" s="83" t="s">
        <v>1646</v>
      </c>
      <c r="E401" s="84" t="str">
        <f t="shared" si="13"/>
        <v>메종빌403</v>
      </c>
      <c r="F401" s="85">
        <v>46122</v>
      </c>
      <c r="G401" s="229"/>
      <c r="H401" s="229"/>
      <c r="I401" s="229"/>
      <c r="J401" s="229"/>
      <c r="K401" s="318"/>
      <c r="L401" s="87">
        <v>45848</v>
      </c>
      <c r="M401" s="87">
        <v>46031</v>
      </c>
      <c r="N401" s="82" t="s">
        <v>1647</v>
      </c>
      <c r="O401" s="82" t="s">
        <v>1648</v>
      </c>
      <c r="P401" s="241">
        <v>2250000</v>
      </c>
      <c r="Q401" s="241">
        <v>2250000</v>
      </c>
      <c r="R401" s="82"/>
      <c r="S401" s="241">
        <v>130000</v>
      </c>
      <c r="T401" s="82" t="s">
        <v>40</v>
      </c>
      <c r="U401" s="241">
        <v>30000</v>
      </c>
      <c r="V401" s="82" t="s">
        <v>40</v>
      </c>
      <c r="W401" s="88">
        <v>25000</v>
      </c>
      <c r="X401" s="82" t="s">
        <v>40</v>
      </c>
      <c r="Y401" s="89"/>
      <c r="Z401" s="82"/>
      <c r="AA401" s="220"/>
      <c r="AB401" s="241">
        <v>250000</v>
      </c>
      <c r="AC401" s="241">
        <v>300000</v>
      </c>
      <c r="AD401" s="241"/>
      <c r="AE401" s="82" t="s">
        <v>1649</v>
      </c>
      <c r="AF401" s="82" t="s">
        <v>1650</v>
      </c>
      <c r="AG401" s="90"/>
      <c r="AH401" s="90"/>
      <c r="AI401" s="90" t="s">
        <v>1637</v>
      </c>
      <c r="AJ401" s="90"/>
      <c r="AK401" s="82"/>
      <c r="AL401" s="82" t="str" cm="1">
        <f t="array" aca="1" ref="AL401" ca="1">_xlfn.IFS(
 AND($AK401&lt;&gt;"", M401&lt;&gt;0, M401&lt;=EDATE(TODAY(),2)),"도래",
 AND($AK401&lt;&gt;"", M401&lt;&gt;0, M401&lt;=EDATE(TODAY(),3)),"예정",
 AND($AK401&lt;&gt;"", M401&lt;&gt;0, M401&lt;=EDATE(TODAY(),6)),"관심",
 TRUE,""
)</f>
        <v/>
      </c>
      <c r="AM401" s="198">
        <f t="shared" si="14"/>
        <v>10</v>
      </c>
    </row>
    <row r="402" spans="1:39" ht="18" customHeight="1">
      <c r="A402" s="81"/>
      <c r="B402" s="205" t="str">
        <f>_xlfn.LET(_xlpm.var,◆관리정보!B402,IF(_xlpm.var&lt;&gt;0,_xlpm.var,""))</f>
        <v>메종빌</v>
      </c>
      <c r="C402" s="82">
        <f>_xlfn.LET(_xlpm.var,◆관리정보!C402,IF(_xlpm.var&lt;&gt;0,_xlpm.var,""))</f>
        <v>501</v>
      </c>
      <c r="D402" s="83" t="s">
        <v>1651</v>
      </c>
      <c r="E402" s="84" t="str">
        <f t="shared" si="13"/>
        <v>메종빌501</v>
      </c>
      <c r="F402" s="85">
        <v>46098</v>
      </c>
      <c r="G402" s="229"/>
      <c r="H402" s="229"/>
      <c r="I402" s="229"/>
      <c r="J402" s="229">
        <v>2678820</v>
      </c>
      <c r="K402" s="218"/>
      <c r="L402" s="87">
        <v>46008</v>
      </c>
      <c r="M402" s="87">
        <v>46097</v>
      </c>
      <c r="N402" s="82" t="s">
        <v>1652</v>
      </c>
      <c r="O402" s="82" t="s">
        <v>1653</v>
      </c>
      <c r="P402" s="241">
        <v>2350000</v>
      </c>
      <c r="Q402" s="241">
        <v>2350000</v>
      </c>
      <c r="R402" s="82"/>
      <c r="S402" s="241">
        <v>150000</v>
      </c>
      <c r="T402" s="82" t="s">
        <v>40</v>
      </c>
      <c r="U402" s="241">
        <v>30000</v>
      </c>
      <c r="V402" s="82" t="s">
        <v>40</v>
      </c>
      <c r="W402" s="88">
        <v>25000</v>
      </c>
      <c r="X402" s="82" t="s">
        <v>40</v>
      </c>
      <c r="Y402" s="89"/>
      <c r="Z402" s="82"/>
      <c r="AA402" s="220"/>
      <c r="AB402" s="241">
        <v>250000</v>
      </c>
      <c r="AC402" s="241">
        <v>250000</v>
      </c>
      <c r="AD402" s="241"/>
      <c r="AE402" s="82" t="s">
        <v>342</v>
      </c>
      <c r="AF402" s="82" t="s">
        <v>1654</v>
      </c>
      <c r="AG402" s="90"/>
      <c r="AH402" s="90"/>
      <c r="AI402" s="90" t="s">
        <v>1655</v>
      </c>
      <c r="AJ402" s="90"/>
      <c r="AK402" s="82"/>
      <c r="AL402" s="82" t="str" cm="1">
        <f t="array" aca="1" ref="AL402" ca="1">_xlfn.IFS(
 AND($AK402&lt;&gt;"", M402&lt;&gt;0, M402&lt;=EDATE(TODAY(),2)),"도래",
 AND($AK402&lt;&gt;"", M402&lt;&gt;0, M402&lt;=EDATE(TODAY(),3)),"예정",
 AND($AK402&lt;&gt;"", M402&lt;&gt;0, M402&lt;=EDATE(TODAY(),6)),"관심",
 TRUE,""
)</f>
        <v/>
      </c>
      <c r="AM402" s="198">
        <f t="shared" si="14"/>
        <v>17</v>
      </c>
    </row>
    <row r="403" spans="1:39" ht="18" customHeight="1">
      <c r="A403" s="81"/>
      <c r="B403" s="205" t="str">
        <f>_xlfn.LET(_xlpm.var,◆관리정보!B403,IF(_xlpm.var&lt;&gt;0,_xlpm.var,""))</f>
        <v>메종빌</v>
      </c>
      <c r="C403" s="82">
        <f>_xlfn.LET(_xlpm.var,◆관리정보!C403,IF(_xlpm.var&lt;&gt;0,_xlpm.var,""))</f>
        <v>502</v>
      </c>
      <c r="D403" s="83" t="s">
        <v>1656</v>
      </c>
      <c r="E403" s="84" t="str">
        <f t="shared" si="13"/>
        <v>메종빌502</v>
      </c>
      <c r="F403" s="85">
        <v>46119</v>
      </c>
      <c r="G403" s="229"/>
      <c r="H403" s="229"/>
      <c r="I403" s="229"/>
      <c r="J403" s="229"/>
      <c r="K403" s="218"/>
      <c r="L403" s="87">
        <v>45998</v>
      </c>
      <c r="M403" s="87">
        <v>46087</v>
      </c>
      <c r="N403" s="82" t="s">
        <v>1657</v>
      </c>
      <c r="O403" s="82" t="s">
        <v>1658</v>
      </c>
      <c r="P403" s="241">
        <v>1900000</v>
      </c>
      <c r="Q403" s="241">
        <v>1900000</v>
      </c>
      <c r="R403" s="82"/>
      <c r="S403" s="241">
        <v>130000</v>
      </c>
      <c r="T403" s="82" t="s">
        <v>40</v>
      </c>
      <c r="U403" s="241">
        <v>30000</v>
      </c>
      <c r="V403" s="82" t="s">
        <v>40</v>
      </c>
      <c r="W403" s="88">
        <v>25000</v>
      </c>
      <c r="X403" s="82" t="s">
        <v>40</v>
      </c>
      <c r="Y403" s="89"/>
      <c r="Z403" s="82"/>
      <c r="AA403" s="220"/>
      <c r="AB403" s="241">
        <v>250000</v>
      </c>
      <c r="AC403" s="241">
        <v>250000</v>
      </c>
      <c r="AD403" s="241"/>
      <c r="AE403" s="82" t="s">
        <v>69</v>
      </c>
      <c r="AF403" s="82" t="s">
        <v>1659</v>
      </c>
      <c r="AG403" s="90"/>
      <c r="AH403" s="90"/>
      <c r="AI403" s="90" t="s">
        <v>1660</v>
      </c>
      <c r="AJ403" s="90"/>
      <c r="AK403" s="82"/>
      <c r="AL403" s="82" t="str" cm="1">
        <f t="array" aca="1" ref="AL403" ca="1">_xlfn.IFS(
 AND($AK403&lt;&gt;"", M403&lt;&gt;0, M403&lt;=EDATE(TODAY(),2)),"도래",
 AND($AK403&lt;&gt;"", M403&lt;&gt;0, M403&lt;=EDATE(TODAY(),3)),"예정",
 AND($AK403&lt;&gt;"", M403&lt;&gt;0, M403&lt;=EDATE(TODAY(),6)),"관심",
 TRUE,""
)</f>
        <v/>
      </c>
      <c r="AM403" s="198">
        <f t="shared" si="14"/>
        <v>7</v>
      </c>
    </row>
    <row r="404" spans="1:39" ht="18" customHeight="1">
      <c r="A404" s="81"/>
      <c r="B404" s="205" t="str">
        <f>_xlfn.LET(_xlpm.var,◆관리정보!B404,IF(_xlpm.var&lt;&gt;0,_xlpm.var,""))</f>
        <v>메종빌</v>
      </c>
      <c r="C404" s="82">
        <f>_xlfn.LET(_xlpm.var,◆관리정보!C404,IF(_xlpm.var&lt;&gt;0,_xlpm.var,""))</f>
        <v>503</v>
      </c>
      <c r="D404" s="83" t="s">
        <v>170</v>
      </c>
      <c r="E404" s="84" t="str">
        <f t="shared" si="13"/>
        <v>메종빌503</v>
      </c>
      <c r="F404" s="85">
        <v>46097</v>
      </c>
      <c r="G404" s="229"/>
      <c r="H404" s="229"/>
      <c r="I404" s="229"/>
      <c r="J404" s="229">
        <f>2668160-1200000</f>
        <v>1468160</v>
      </c>
      <c r="K404" s="218"/>
      <c r="L404" s="87">
        <v>45732</v>
      </c>
      <c r="M404" s="87">
        <v>45823</v>
      </c>
      <c r="N404" s="82" t="s">
        <v>1661</v>
      </c>
      <c r="O404" s="82" t="s">
        <v>1662</v>
      </c>
      <c r="P404" s="241">
        <v>2350000</v>
      </c>
      <c r="Q404" s="241">
        <v>2300000</v>
      </c>
      <c r="R404" s="82"/>
      <c r="S404" s="241">
        <v>150000</v>
      </c>
      <c r="T404" s="82" t="s">
        <v>40</v>
      </c>
      <c r="U404" s="241">
        <v>30000</v>
      </c>
      <c r="V404" s="82" t="s">
        <v>40</v>
      </c>
      <c r="W404" s="88">
        <v>25000</v>
      </c>
      <c r="X404" s="82" t="s">
        <v>40</v>
      </c>
      <c r="Y404" s="89">
        <v>50000</v>
      </c>
      <c r="Z404" s="82"/>
      <c r="AA404" s="220">
        <v>2418</v>
      </c>
      <c r="AB404" s="241">
        <v>250000</v>
      </c>
      <c r="AC404" s="241">
        <v>200000</v>
      </c>
      <c r="AD404" s="241"/>
      <c r="AE404" s="82" t="s">
        <v>63</v>
      </c>
      <c r="AF404" s="82" t="s">
        <v>64</v>
      </c>
      <c r="AG404" s="90"/>
      <c r="AH404" s="90"/>
      <c r="AI404" s="90" t="s">
        <v>1663</v>
      </c>
      <c r="AJ404" s="90"/>
      <c r="AK404" s="82"/>
      <c r="AL404" s="82" t="str" cm="1">
        <f t="array" aca="1" ref="AL404" ca="1">_xlfn.IFS(
 AND($AK404&lt;&gt;"", M404&lt;&gt;0, M404&lt;=EDATE(TODAY(),2)),"도래",
 AND($AK404&lt;&gt;"", M404&lt;&gt;0, M404&lt;=EDATE(TODAY(),3)),"예정",
 AND($AK404&lt;&gt;"", M404&lt;&gt;0, M404&lt;=EDATE(TODAY(),6)),"관심",
 TRUE,""
)</f>
        <v/>
      </c>
      <c r="AM404" s="198">
        <f t="shared" si="14"/>
        <v>16</v>
      </c>
    </row>
    <row r="405" spans="1:39" ht="18" customHeight="1">
      <c r="A405" s="81"/>
      <c r="B405" s="205" t="str">
        <f>_xlfn.LET(_xlpm.var,◆관리정보!B405,IF(_xlpm.var&lt;&gt;0,_xlpm.var,""))</f>
        <v>메종빌</v>
      </c>
      <c r="C405" s="82">
        <f>_xlfn.LET(_xlpm.var,◆관리정보!C405,IF(_xlpm.var&lt;&gt;0,_xlpm.var,""))</f>
        <v>601</v>
      </c>
      <c r="D405" s="83" t="s">
        <v>1664</v>
      </c>
      <c r="E405" s="84" t="str">
        <f t="shared" si="13"/>
        <v>메종빌601</v>
      </c>
      <c r="F405" s="85">
        <v>46106</v>
      </c>
      <c r="G405" s="229"/>
      <c r="H405" s="229"/>
      <c r="I405" s="229"/>
      <c r="J405" s="229">
        <v>2534910</v>
      </c>
      <c r="K405" s="218"/>
      <c r="L405" s="87">
        <v>45621</v>
      </c>
      <c r="M405" s="87">
        <v>45712</v>
      </c>
      <c r="N405" s="82" t="s">
        <v>1665</v>
      </c>
      <c r="O405" s="82" t="s">
        <v>1666</v>
      </c>
      <c r="P405" s="241">
        <v>2200000</v>
      </c>
      <c r="Q405" s="241">
        <v>2200000</v>
      </c>
      <c r="R405" s="82"/>
      <c r="S405" s="241">
        <v>130000</v>
      </c>
      <c r="T405" s="82" t="s">
        <v>40</v>
      </c>
      <c r="U405" s="241">
        <v>25000</v>
      </c>
      <c r="V405" s="82" t="s">
        <v>40</v>
      </c>
      <c r="W405" s="88">
        <v>25000</v>
      </c>
      <c r="X405" s="82" t="s">
        <v>40</v>
      </c>
      <c r="Y405" s="89"/>
      <c r="Z405" s="82"/>
      <c r="AA405" s="220"/>
      <c r="AB405" s="241">
        <v>230000</v>
      </c>
      <c r="AC405" s="241">
        <v>250000</v>
      </c>
      <c r="AD405" s="241"/>
      <c r="AE405" s="82" t="s">
        <v>63</v>
      </c>
      <c r="AF405" s="82" t="s">
        <v>126</v>
      </c>
      <c r="AG405" s="90"/>
      <c r="AH405" s="90"/>
      <c r="AI405" s="90"/>
      <c r="AJ405" s="90"/>
      <c r="AK405" s="82"/>
      <c r="AL405" s="82" t="str" cm="1">
        <f t="array" aca="1" ref="AL405" ca="1">_xlfn.IFS(
 AND($AK405&lt;&gt;"", M405&lt;&gt;0, M405&lt;=EDATE(TODAY(),2)),"도래",
 AND($AK405&lt;&gt;"", M405&lt;&gt;0, M405&lt;=EDATE(TODAY(),3)),"예정",
 AND($AK405&lt;&gt;"", M405&lt;&gt;0, M405&lt;=EDATE(TODAY(),6)),"관심",
 TRUE,""
)</f>
        <v/>
      </c>
      <c r="AM405" s="198">
        <f t="shared" si="14"/>
        <v>25</v>
      </c>
    </row>
    <row r="406" spans="1:39" ht="18" customHeight="1">
      <c r="A406" s="81"/>
      <c r="B406" s="205" t="str">
        <f>_xlfn.LET(_xlpm.var,◆관리정보!B406,IF(_xlpm.var&lt;&gt;0,_xlpm.var,""))</f>
        <v>메종빌</v>
      </c>
      <c r="C406" s="82">
        <f>_xlfn.LET(_xlpm.var,◆관리정보!C406,IF(_xlpm.var&lt;&gt;0,_xlpm.var,""))</f>
        <v>602</v>
      </c>
      <c r="D406" s="83" t="s">
        <v>1667</v>
      </c>
      <c r="E406" s="84" t="str">
        <f t="shared" si="13"/>
        <v>메종빌602</v>
      </c>
      <c r="F406" s="85">
        <v>46095</v>
      </c>
      <c r="G406" s="229"/>
      <c r="H406" s="229"/>
      <c r="I406" s="229"/>
      <c r="J406" s="229">
        <f>1925210-1900000</f>
        <v>25210</v>
      </c>
      <c r="K406" s="218"/>
      <c r="L406" s="87">
        <v>45822</v>
      </c>
      <c r="M406" s="87">
        <v>45913</v>
      </c>
      <c r="N406" s="82" t="s">
        <v>1668</v>
      </c>
      <c r="O406" s="82" t="s">
        <v>1669</v>
      </c>
      <c r="P406" s="241">
        <v>1700000</v>
      </c>
      <c r="Q406" s="241">
        <v>1700000</v>
      </c>
      <c r="R406" s="82"/>
      <c r="S406" s="241">
        <v>130000</v>
      </c>
      <c r="T406" s="82" t="s">
        <v>40</v>
      </c>
      <c r="U406" s="241">
        <v>30000</v>
      </c>
      <c r="V406" s="82" t="s">
        <v>40</v>
      </c>
      <c r="W406" s="88">
        <v>25000</v>
      </c>
      <c r="X406" s="82" t="s">
        <v>40</v>
      </c>
      <c r="Y406" s="89"/>
      <c r="Z406" s="82"/>
      <c r="AA406" s="220" t="s">
        <v>1670</v>
      </c>
      <c r="AB406" s="241">
        <v>200000</v>
      </c>
      <c r="AC406" s="241">
        <v>200000</v>
      </c>
      <c r="AD406" s="241"/>
      <c r="AE406" s="82" t="s">
        <v>327</v>
      </c>
      <c r="AF406" s="82" t="s">
        <v>1671</v>
      </c>
      <c r="AG406" s="90"/>
      <c r="AH406" s="90"/>
      <c r="AI406" s="90" t="s">
        <v>1672</v>
      </c>
      <c r="AJ406" s="90"/>
      <c r="AK406" s="82"/>
      <c r="AL406" s="82" t="str" cm="1">
        <f t="array" aca="1" ref="AL406" ca="1">_xlfn.IFS(
 AND($AK406&lt;&gt;"", M406&lt;&gt;0, M406&lt;=EDATE(TODAY(),2)),"도래",
 AND($AK406&lt;&gt;"", M406&lt;&gt;0, M406&lt;=EDATE(TODAY(),3)),"예정",
 AND($AK406&lt;&gt;"", M406&lt;&gt;0, M406&lt;=EDATE(TODAY(),6)),"관심",
 TRUE,""
)</f>
        <v/>
      </c>
      <c r="AM406" s="198">
        <f t="shared" si="14"/>
        <v>14</v>
      </c>
    </row>
    <row r="407" spans="1:39" ht="18" customHeight="1">
      <c r="A407" s="81"/>
      <c r="B407" s="378" t="str">
        <f>_xlfn.LET(_xlpm.var,◆관리정보!B407,IF(_xlpm.var&lt;&gt;0,_xlpm.var,""))</f>
        <v>메종빌</v>
      </c>
      <c r="C407" s="379">
        <f>_xlfn.LET(_xlpm.var,◆관리정보!C407,IF(_xlpm.var&lt;&gt;0,_xlpm.var,""))</f>
        <v>603</v>
      </c>
      <c r="D407" s="91" t="s">
        <v>1673</v>
      </c>
      <c r="E407" s="84" t="str">
        <f t="shared" si="13"/>
        <v>메종빌603</v>
      </c>
      <c r="F407" s="85">
        <v>46133</v>
      </c>
      <c r="G407" s="229"/>
      <c r="H407" s="229"/>
      <c r="I407" s="229"/>
      <c r="J407" s="229"/>
      <c r="K407" s="218"/>
      <c r="L407" s="87">
        <v>46102</v>
      </c>
      <c r="M407" s="87">
        <v>46193</v>
      </c>
      <c r="N407" s="82"/>
      <c r="O407" s="82"/>
      <c r="P407" s="241">
        <v>1700000</v>
      </c>
      <c r="Q407" s="241">
        <v>1700000</v>
      </c>
      <c r="R407" s="82"/>
      <c r="S407" s="241">
        <v>130000</v>
      </c>
      <c r="T407" s="82" t="s">
        <v>40</v>
      </c>
      <c r="U407" s="241">
        <v>30000</v>
      </c>
      <c r="V407" s="82" t="s">
        <v>40</v>
      </c>
      <c r="W407" s="88">
        <v>25000</v>
      </c>
      <c r="X407" s="82" t="s">
        <v>40</v>
      </c>
      <c r="Y407" s="89"/>
      <c r="Z407" s="82"/>
      <c r="AA407" s="220"/>
      <c r="AB407" s="241">
        <v>200000</v>
      </c>
      <c r="AC407" s="241"/>
      <c r="AD407" s="241"/>
      <c r="AE407" s="82" t="s">
        <v>63</v>
      </c>
      <c r="AF407" s="82" t="s">
        <v>953</v>
      </c>
      <c r="AG407" s="90"/>
      <c r="AH407" s="90"/>
      <c r="AI407" s="90" t="s">
        <v>1674</v>
      </c>
      <c r="AJ407" s="90"/>
      <c r="AK407" s="82"/>
      <c r="AL407" s="82" t="str" cm="1">
        <f t="array" aca="1" ref="AL407" ca="1">_xlfn.IFS(
 AND($AK407&lt;&gt;"", M407&lt;&gt;0, M407&lt;=EDATE(TODAY(),2)),"도래",
 AND($AK407&lt;&gt;"", M407&lt;&gt;0, M407&lt;=EDATE(TODAY(),3)),"예정",
 AND($AK407&lt;&gt;"", M407&lt;&gt;0, M407&lt;=EDATE(TODAY(),6)),"관심",
 TRUE,""
)</f>
        <v/>
      </c>
      <c r="AM407" s="198">
        <f t="shared" ref="AM407:AM438" si="15">DAY(L407)</f>
        <v>21</v>
      </c>
    </row>
    <row r="408" spans="1:39" ht="18" customHeight="1">
      <c r="A408" s="81"/>
      <c r="B408" s="237" t="str">
        <f>_xlfn.LET(_xlpm.var,◆관리정보!B408,IF(_xlpm.var&lt;&gt;0,_xlpm.var,""))</f>
        <v>문화빌딩</v>
      </c>
      <c r="C408" s="238" t="str">
        <f>_xlfn.LET(_xlpm.var,◆관리정보!C408,IF(_xlpm.var&lt;&gt;0,_xlpm.var,""))</f>
        <v>B01</v>
      </c>
      <c r="D408" s="239" t="s">
        <v>195</v>
      </c>
      <c r="E408" s="84" t="str">
        <f t="shared" si="13"/>
        <v>문화빌딩B01</v>
      </c>
      <c r="F408" s="85"/>
      <c r="G408" s="229"/>
      <c r="H408" s="229"/>
      <c r="I408" s="229"/>
      <c r="J408" s="229"/>
      <c r="K408" s="218"/>
      <c r="L408" s="87"/>
      <c r="M408" s="87"/>
      <c r="N408" s="82"/>
      <c r="O408" s="82"/>
      <c r="P408" s="241"/>
      <c r="Q408" s="241"/>
      <c r="R408" s="82"/>
      <c r="S408" s="241"/>
      <c r="T408" s="82"/>
      <c r="U408" s="241"/>
      <c r="V408" s="82"/>
      <c r="W408" s="88"/>
      <c r="X408" s="82"/>
      <c r="Y408" s="89"/>
      <c r="Z408" s="82"/>
      <c r="AA408" s="220"/>
      <c r="AB408" s="241"/>
      <c r="AC408" s="241"/>
      <c r="AD408" s="241"/>
      <c r="AE408" s="82"/>
      <c r="AF408" s="82"/>
      <c r="AG408" s="90"/>
      <c r="AH408" s="90"/>
      <c r="AI408" s="90"/>
      <c r="AJ408" s="90"/>
      <c r="AK408" s="82" t="s">
        <v>47</v>
      </c>
      <c r="AL408" s="82" t="str" cm="1">
        <f t="array" aca="1" ref="AL408" ca="1">_xlfn.IFS(
 AND($AK408&lt;&gt;"", M408&lt;&gt;0, M408&lt;=EDATE(TODAY(),2)),"도래",
 AND($AK408&lt;&gt;"", M408&lt;&gt;0, M408&lt;=EDATE(TODAY(),3)),"예정",
 AND($AK408&lt;&gt;"", M408&lt;&gt;0, M408&lt;=EDATE(TODAY(),6)),"관심",
 TRUE,""
)</f>
        <v/>
      </c>
      <c r="AM408" s="198">
        <f t="shared" si="15"/>
        <v>0</v>
      </c>
    </row>
    <row r="409" spans="1:39" ht="18" customHeight="1">
      <c r="A409" s="81"/>
      <c r="B409" s="205" t="str">
        <f>_xlfn.LET(_xlpm.var,◆관리정보!B409,IF(_xlpm.var&lt;&gt;0,_xlpm.var,""))</f>
        <v>문화빌딩</v>
      </c>
      <c r="C409" s="82" t="str">
        <f>_xlfn.LET(_xlpm.var,◆관리정보!C409,IF(_xlpm.var&lt;&gt;0,_xlpm.var,""))</f>
        <v>1층</v>
      </c>
      <c r="D409" s="83" t="s">
        <v>1675</v>
      </c>
      <c r="E409" s="84" t="str">
        <f t="shared" si="13"/>
        <v>문화빌딩1층</v>
      </c>
      <c r="F409" s="85">
        <v>46120</v>
      </c>
      <c r="G409" s="229"/>
      <c r="H409" s="229"/>
      <c r="I409" s="229"/>
      <c r="J409" s="229"/>
      <c r="K409" s="218"/>
      <c r="L409" s="87">
        <v>46089</v>
      </c>
      <c r="M409" s="87">
        <v>46819</v>
      </c>
      <c r="N409" s="82" t="s">
        <v>1676</v>
      </c>
      <c r="O409" s="82" t="s">
        <v>1677</v>
      </c>
      <c r="P409" s="241">
        <v>15000000</v>
      </c>
      <c r="Q409" s="241">
        <v>1400000</v>
      </c>
      <c r="R409" s="82" t="s">
        <v>40</v>
      </c>
      <c r="S409" s="241">
        <v>200000</v>
      </c>
      <c r="T409" s="82" t="s">
        <v>40</v>
      </c>
      <c r="U409" s="241"/>
      <c r="V409" s="82"/>
      <c r="W409" s="88"/>
      <c r="X409" s="82"/>
      <c r="Y409" s="89"/>
      <c r="Z409" s="82"/>
      <c r="AA409" s="220"/>
      <c r="AB409" s="241"/>
      <c r="AC409" s="241"/>
      <c r="AD409" s="241"/>
      <c r="AE409" s="82"/>
      <c r="AF409" s="82"/>
      <c r="AG409" s="90"/>
      <c r="AH409" s="90"/>
      <c r="AI409" s="90" t="s">
        <v>1678</v>
      </c>
      <c r="AJ409" s="90"/>
      <c r="AK409" s="82" t="s">
        <v>47</v>
      </c>
      <c r="AL409" s="82" t="str" cm="1">
        <f t="array" aca="1" ref="AL409" ca="1">_xlfn.IFS(
 AND($AK409&lt;&gt;"", M409&lt;&gt;0, M409&lt;=EDATE(TODAY(),2)),"도래",
 AND($AK409&lt;&gt;"", M409&lt;&gt;0, M409&lt;=EDATE(TODAY(),3)),"예정",
 AND($AK409&lt;&gt;"", M409&lt;&gt;0, M409&lt;=EDATE(TODAY(),6)),"관심",
 TRUE,""
)</f>
        <v/>
      </c>
      <c r="AM409" s="198">
        <f t="shared" si="15"/>
        <v>8</v>
      </c>
    </row>
    <row r="410" spans="1:39" ht="18" customHeight="1">
      <c r="A410" s="81"/>
      <c r="B410" s="237" t="str">
        <f>_xlfn.LET(_xlpm.var,◆관리정보!B410,IF(_xlpm.var&lt;&gt;0,_xlpm.var,""))</f>
        <v>문화빌딩</v>
      </c>
      <c r="C410" s="238" t="str">
        <f>_xlfn.LET(_xlpm.var,◆관리정보!C410,IF(_xlpm.var&lt;&gt;0,_xlpm.var,""))</f>
        <v>2층</v>
      </c>
      <c r="D410" s="239" t="s">
        <v>195</v>
      </c>
      <c r="E410" s="84" t="str">
        <f t="shared" si="13"/>
        <v>문화빌딩2층</v>
      </c>
      <c r="F410" s="85"/>
      <c r="G410" s="229"/>
      <c r="H410" s="229"/>
      <c r="I410" s="229"/>
      <c r="J410" s="229"/>
      <c r="K410" s="218"/>
      <c r="L410" s="87"/>
      <c r="M410" s="87"/>
      <c r="N410" s="82"/>
      <c r="O410" s="82"/>
      <c r="P410" s="241"/>
      <c r="Q410" s="241"/>
      <c r="R410" s="82"/>
      <c r="S410" s="241"/>
      <c r="T410" s="82"/>
      <c r="U410" s="241"/>
      <c r="V410" s="82"/>
      <c r="W410" s="88"/>
      <c r="X410" s="82"/>
      <c r="Y410" s="89"/>
      <c r="Z410" s="82"/>
      <c r="AA410" s="220"/>
      <c r="AB410" s="241"/>
      <c r="AC410" s="241"/>
      <c r="AD410" s="241"/>
      <c r="AE410" s="82"/>
      <c r="AF410" s="82"/>
      <c r="AG410" s="90"/>
      <c r="AH410" s="90"/>
      <c r="AI410" s="90" t="s">
        <v>1679</v>
      </c>
      <c r="AJ410" s="90"/>
      <c r="AK410" s="82" t="s">
        <v>47</v>
      </c>
      <c r="AL410" s="82" t="str" cm="1">
        <f t="array" aca="1" ref="AL410" ca="1">_xlfn.IFS(
 AND($AK410&lt;&gt;"", M410&lt;&gt;0, M410&lt;=EDATE(TODAY(),2)),"도래",
 AND($AK410&lt;&gt;"", M410&lt;&gt;0, M410&lt;=EDATE(TODAY(),3)),"예정",
 AND($AK410&lt;&gt;"", M410&lt;&gt;0, M410&lt;=EDATE(TODAY(),6)),"관심",
 TRUE,""
)</f>
        <v/>
      </c>
      <c r="AM410" s="198">
        <f t="shared" si="15"/>
        <v>0</v>
      </c>
    </row>
    <row r="411" spans="1:39" ht="18" customHeight="1">
      <c r="A411" s="81"/>
      <c r="B411" s="205" t="str">
        <f>_xlfn.LET(_xlpm.var,◆관리정보!B411,IF(_xlpm.var&lt;&gt;0,_xlpm.var,""))</f>
        <v>문화빌딩</v>
      </c>
      <c r="C411" s="82" t="str">
        <f>_xlfn.LET(_xlpm.var,◆관리정보!C411,IF(_xlpm.var&lt;&gt;0,_xlpm.var,""))</f>
        <v>3층</v>
      </c>
      <c r="D411" s="83" t="s">
        <v>1680</v>
      </c>
      <c r="E411" s="84" t="str">
        <f t="shared" si="13"/>
        <v>문화빌딩3층</v>
      </c>
      <c r="F411" s="85">
        <v>46099</v>
      </c>
      <c r="G411" s="229"/>
      <c r="H411" s="229"/>
      <c r="I411" s="229">
        <v>6380000</v>
      </c>
      <c r="J411" s="229"/>
      <c r="K411" s="218"/>
      <c r="L411" s="87">
        <v>45522</v>
      </c>
      <c r="M411" s="87">
        <v>46251</v>
      </c>
      <c r="N411" s="82" t="s">
        <v>1681</v>
      </c>
      <c r="O411" s="82" t="s">
        <v>1682</v>
      </c>
      <c r="P411" s="241">
        <v>80000000</v>
      </c>
      <c r="Q411" s="241">
        <v>5400000</v>
      </c>
      <c r="R411" s="82" t="s">
        <v>157</v>
      </c>
      <c r="S411" s="241">
        <v>400000</v>
      </c>
      <c r="T411" s="82" t="s">
        <v>157</v>
      </c>
      <c r="U411" s="241"/>
      <c r="V411" s="82"/>
      <c r="W411" s="88"/>
      <c r="X411" s="82"/>
      <c r="Y411" s="89"/>
      <c r="Z411" s="82"/>
      <c r="AA411" s="220"/>
      <c r="AB411" s="241"/>
      <c r="AC411" s="241"/>
      <c r="AD411" s="241"/>
      <c r="AE411" s="82"/>
      <c r="AF411" s="82"/>
      <c r="AG411" s="90"/>
      <c r="AH411" s="90"/>
      <c r="AI411" s="90" t="s">
        <v>1683</v>
      </c>
      <c r="AJ411" s="90"/>
      <c r="AK411" s="82" t="s">
        <v>47</v>
      </c>
      <c r="AL411" s="82" t="str" cm="1">
        <f t="array" aca="1" ref="AL411" ca="1">_xlfn.IFS(
 AND($AK411&lt;&gt;"", M411&lt;&gt;0, M411&lt;=EDATE(TODAY(),2)),"도래",
 AND($AK411&lt;&gt;"", M411&lt;&gt;0, M411&lt;=EDATE(TODAY(),3)),"예정",
 AND($AK411&lt;&gt;"", M411&lt;&gt;0, M411&lt;=EDATE(TODAY(),6)),"관심",
 TRUE,""
)</f>
        <v>관심</v>
      </c>
      <c r="AM411" s="198">
        <f t="shared" si="15"/>
        <v>18</v>
      </c>
    </row>
    <row r="412" spans="1:39" ht="18" customHeight="1">
      <c r="A412" s="81"/>
      <c r="B412" s="205" t="str">
        <f>_xlfn.LET(_xlpm.var,◆관리정보!B412,IF(_xlpm.var&lt;&gt;0,_xlpm.var,""))</f>
        <v>문화빌딩</v>
      </c>
      <c r="C412" s="82" t="str">
        <f>_xlfn.LET(_xlpm.var,◆관리정보!C412,IF(_xlpm.var&lt;&gt;0,_xlpm.var,""))</f>
        <v>4층</v>
      </c>
      <c r="D412" s="83" t="s">
        <v>1684</v>
      </c>
      <c r="E412" s="84" t="str">
        <f t="shared" si="13"/>
        <v>문화빌딩4층</v>
      </c>
      <c r="F412" s="85">
        <v>46102</v>
      </c>
      <c r="G412" s="229"/>
      <c r="H412" s="229"/>
      <c r="I412" s="229">
        <v>3443000</v>
      </c>
      <c r="J412" s="229"/>
      <c r="K412" s="218"/>
      <c r="L412" s="87">
        <v>45464</v>
      </c>
      <c r="M412" s="359">
        <v>46188</v>
      </c>
      <c r="N412" s="82" t="s">
        <v>1685</v>
      </c>
      <c r="O412" s="82" t="s">
        <v>1686</v>
      </c>
      <c r="P412" s="241">
        <v>40000000</v>
      </c>
      <c r="Q412" s="241">
        <v>2730000</v>
      </c>
      <c r="R412" s="82" t="s">
        <v>157</v>
      </c>
      <c r="S412" s="241">
        <v>400000</v>
      </c>
      <c r="T412" s="82" t="s">
        <v>157</v>
      </c>
      <c r="U412" s="241"/>
      <c r="V412" s="82"/>
      <c r="W412" s="88"/>
      <c r="X412" s="82"/>
      <c r="Y412" s="89"/>
      <c r="Z412" s="82"/>
      <c r="AA412" s="220"/>
      <c r="AB412" s="241"/>
      <c r="AC412" s="241"/>
      <c r="AD412" s="241"/>
      <c r="AE412" s="82"/>
      <c r="AF412" s="82"/>
      <c r="AG412" s="90"/>
      <c r="AH412" s="90"/>
      <c r="AI412" s="90" t="s">
        <v>1687</v>
      </c>
      <c r="AJ412" s="90"/>
      <c r="AK412" s="82" t="s">
        <v>47</v>
      </c>
      <c r="AL412" s="82" t="str" cm="1">
        <f t="array" aca="1" ref="AL412" ca="1">_xlfn.IFS(
 AND($AK412&lt;&gt;"", M412&lt;&gt;0, M412&lt;=EDATE(TODAY(),2)),"도래",
 AND($AK412&lt;&gt;"", M412&lt;&gt;0, M412&lt;=EDATE(TODAY(),3)),"예정",
 AND($AK412&lt;&gt;"", M412&lt;&gt;0, M412&lt;=EDATE(TODAY(),6)),"관심",
 TRUE,""
)</f>
        <v>예정</v>
      </c>
      <c r="AM412" s="198">
        <f t="shared" si="15"/>
        <v>21</v>
      </c>
    </row>
    <row r="413" spans="1:39" ht="18" customHeight="1">
      <c r="A413" s="81"/>
      <c r="B413" s="205" t="str">
        <f>_xlfn.LET(_xlpm.var,◆관리정보!B413,IF(_xlpm.var&lt;&gt;0,_xlpm.var,""))</f>
        <v>문화빌딩</v>
      </c>
      <c r="C413" s="82" t="str">
        <f>_xlfn.LET(_xlpm.var,◆관리정보!C413,IF(_xlpm.var&lt;&gt;0,_xlpm.var,""))</f>
        <v>5층</v>
      </c>
      <c r="D413" s="83" t="s">
        <v>1688</v>
      </c>
      <c r="E413" s="84" t="str">
        <f t="shared" si="13"/>
        <v>문화빌딩5층</v>
      </c>
      <c r="F413" s="85">
        <v>46032</v>
      </c>
      <c r="G413" s="229">
        <f>7323700-1000000-1500000-500000</f>
        <v>4323700</v>
      </c>
      <c r="H413" s="229"/>
      <c r="I413" s="229">
        <v>2365000</v>
      </c>
      <c r="J413" s="229"/>
      <c r="K413" s="218"/>
      <c r="L413" s="87">
        <v>45551</v>
      </c>
      <c r="M413" s="359">
        <v>46304</v>
      </c>
      <c r="N413" s="82" t="s">
        <v>1689</v>
      </c>
      <c r="O413" s="82" t="s">
        <v>1690</v>
      </c>
      <c r="P413" s="241">
        <v>22000000</v>
      </c>
      <c r="Q413" s="241">
        <v>1800000</v>
      </c>
      <c r="R413" s="82" t="s">
        <v>157</v>
      </c>
      <c r="S413" s="241">
        <v>350000</v>
      </c>
      <c r="T413" s="82" t="s">
        <v>157</v>
      </c>
      <c r="U413" s="241"/>
      <c r="V413" s="82"/>
      <c r="W413" s="88"/>
      <c r="X413" s="82"/>
      <c r="Y413" s="89"/>
      <c r="Z413" s="82"/>
      <c r="AA413" s="220"/>
      <c r="AB413" s="241"/>
      <c r="AC413" s="241"/>
      <c r="AD413" s="241"/>
      <c r="AE413" s="82"/>
      <c r="AF413" s="82"/>
      <c r="AG413" s="90"/>
      <c r="AH413" s="90"/>
      <c r="AI413" s="90" t="s">
        <v>1691</v>
      </c>
      <c r="AJ413" s="90"/>
      <c r="AK413" s="82" t="s">
        <v>47</v>
      </c>
      <c r="AL413" s="82" t="str" cm="1">
        <f t="array" aca="1" ref="AL413" ca="1">_xlfn.IFS(
 AND($AK413&lt;&gt;"", M413&lt;&gt;0, M413&lt;=EDATE(TODAY(),2)),"도래",
 AND($AK413&lt;&gt;"", M413&lt;&gt;0, M413&lt;=EDATE(TODAY(),3)),"예정",
 AND($AK413&lt;&gt;"", M413&lt;&gt;0, M413&lt;=EDATE(TODAY(),6)),"관심",
 TRUE,""
)</f>
        <v/>
      </c>
      <c r="AM413" s="198">
        <v>10</v>
      </c>
    </row>
    <row r="414" spans="1:39" ht="18" customHeight="1">
      <c r="A414" s="81"/>
      <c r="B414" s="237" t="str">
        <f>_xlfn.LET(_xlpm.var,◆관리정보!B414,IF(_xlpm.var&lt;&gt;0,_xlpm.var,""))</f>
        <v>어반그레이</v>
      </c>
      <c r="C414" s="238" t="str">
        <f>_xlfn.LET(_xlpm.var,◆관리정보!C414,IF(_xlpm.var&lt;&gt;0,_xlpm.var,""))</f>
        <v>B01</v>
      </c>
      <c r="D414" s="239" t="s">
        <v>195</v>
      </c>
      <c r="E414" s="84" t="str">
        <f t="shared" si="13"/>
        <v>어반그레이B01</v>
      </c>
      <c r="F414" s="85"/>
      <c r="G414" s="229"/>
      <c r="H414" s="229"/>
      <c r="I414" s="229"/>
      <c r="J414" s="229"/>
      <c r="K414" s="218"/>
      <c r="L414" s="87"/>
      <c r="M414" s="359"/>
      <c r="N414" s="82"/>
      <c r="O414" s="82"/>
      <c r="P414" s="241"/>
      <c r="Q414" s="241"/>
      <c r="R414" s="82"/>
      <c r="S414" s="241"/>
      <c r="T414" s="82"/>
      <c r="U414" s="241"/>
      <c r="V414" s="82"/>
      <c r="W414" s="88"/>
      <c r="X414" s="82"/>
      <c r="Y414" s="89"/>
      <c r="Z414" s="82"/>
      <c r="AA414" s="220"/>
      <c r="AB414" s="241"/>
      <c r="AC414" s="241"/>
      <c r="AD414" s="241"/>
      <c r="AE414" s="82"/>
      <c r="AF414" s="82"/>
      <c r="AG414" s="90"/>
      <c r="AH414" s="90"/>
      <c r="AI414" s="90"/>
      <c r="AJ414" s="90"/>
      <c r="AK414" s="82" t="s">
        <v>47</v>
      </c>
      <c r="AL414" s="82" t="str" cm="1">
        <f t="array" aca="1" ref="AL414" ca="1">_xlfn.IFS(
 AND($AK414&lt;&gt;"", M414&lt;&gt;0, M414&lt;=EDATE(TODAY(),2)),"도래",
 AND($AK414&lt;&gt;"", M414&lt;&gt;0, M414&lt;=EDATE(TODAY(),3)),"예정",
 AND($AK414&lt;&gt;"", M414&lt;&gt;0, M414&lt;=EDATE(TODAY(),6)),"관심",
 TRUE,""
)</f>
        <v/>
      </c>
      <c r="AM414" s="198">
        <f t="shared" si="15"/>
        <v>0</v>
      </c>
    </row>
    <row r="415" spans="1:39" ht="18" customHeight="1">
      <c r="A415" s="81"/>
      <c r="B415" s="237" t="str">
        <f>_xlfn.LET(_xlpm.var,◆관리정보!B415,IF(_xlpm.var&lt;&gt;0,_xlpm.var,""))</f>
        <v>어반그레이</v>
      </c>
      <c r="C415" s="238" t="str">
        <f>_xlfn.LET(_xlpm.var,◆관리정보!C415,IF(_xlpm.var&lt;&gt;0,_xlpm.var,""))</f>
        <v>1층</v>
      </c>
      <c r="D415" s="239" t="s">
        <v>195</v>
      </c>
      <c r="E415" s="84" t="str">
        <f t="shared" si="13"/>
        <v>어반그레이1층</v>
      </c>
      <c r="F415" s="85"/>
      <c r="G415" s="229"/>
      <c r="H415" s="229"/>
      <c r="I415" s="229"/>
      <c r="J415" s="229"/>
      <c r="K415" s="218"/>
      <c r="L415" s="87"/>
      <c r="M415" s="359"/>
      <c r="N415" s="82"/>
      <c r="O415" s="82"/>
      <c r="P415" s="241"/>
      <c r="Q415" s="241"/>
      <c r="R415" s="82"/>
      <c r="S415" s="241"/>
      <c r="T415" s="82"/>
      <c r="U415" s="241"/>
      <c r="V415" s="82"/>
      <c r="W415" s="88"/>
      <c r="X415" s="82"/>
      <c r="Y415" s="89"/>
      <c r="Z415" s="82"/>
      <c r="AA415" s="220"/>
      <c r="AB415" s="241"/>
      <c r="AC415" s="241"/>
      <c r="AD415" s="241"/>
      <c r="AE415" s="82"/>
      <c r="AF415" s="82"/>
      <c r="AG415" s="90"/>
      <c r="AH415" s="90"/>
      <c r="AI415" s="90"/>
      <c r="AJ415" s="90"/>
      <c r="AK415" s="82" t="s">
        <v>47</v>
      </c>
      <c r="AL415" s="82" t="str" cm="1">
        <f t="array" aca="1" ref="AL415" ca="1">_xlfn.IFS(
 AND($AK415&lt;&gt;"", M415&lt;&gt;0, M415&lt;=EDATE(TODAY(),2)),"도래",
 AND($AK415&lt;&gt;"", M415&lt;&gt;0, M415&lt;=EDATE(TODAY(),3)),"예정",
 AND($AK415&lt;&gt;"", M415&lt;&gt;0, M415&lt;=EDATE(TODAY(),6)),"관심",
 TRUE,""
)</f>
        <v/>
      </c>
      <c r="AM415" s="198">
        <f t="shared" si="15"/>
        <v>0</v>
      </c>
    </row>
    <row r="416" spans="1:39" ht="18" customHeight="1">
      <c r="A416" s="81"/>
      <c r="B416" s="237" t="str">
        <f>_xlfn.LET(_xlpm.var,◆관리정보!B416,IF(_xlpm.var&lt;&gt;0,_xlpm.var,""))</f>
        <v>어반그레이</v>
      </c>
      <c r="C416" s="238" t="str">
        <f>_xlfn.LET(_xlpm.var,◆관리정보!C416,IF(_xlpm.var&lt;&gt;0,_xlpm.var,""))</f>
        <v>2층</v>
      </c>
      <c r="D416" s="239" t="s">
        <v>195</v>
      </c>
      <c r="E416" s="84" t="str">
        <f t="shared" si="13"/>
        <v>어반그레이2층</v>
      </c>
      <c r="F416" s="85"/>
      <c r="G416" s="229"/>
      <c r="H416" s="229"/>
      <c r="I416" s="229"/>
      <c r="J416" s="229"/>
      <c r="K416" s="218"/>
      <c r="L416" s="87"/>
      <c r="M416" s="359"/>
      <c r="N416" s="82"/>
      <c r="O416" s="82"/>
      <c r="P416" s="241"/>
      <c r="Q416" s="241"/>
      <c r="R416" s="82"/>
      <c r="S416" s="241"/>
      <c r="T416" s="82"/>
      <c r="U416" s="241"/>
      <c r="V416" s="82"/>
      <c r="W416" s="88"/>
      <c r="X416" s="82"/>
      <c r="Y416" s="89"/>
      <c r="Z416" s="82"/>
      <c r="AA416" s="220"/>
      <c r="AB416" s="241"/>
      <c r="AC416" s="241"/>
      <c r="AD416" s="241"/>
      <c r="AE416" s="82"/>
      <c r="AF416" s="82"/>
      <c r="AG416" s="90"/>
      <c r="AH416" s="90"/>
      <c r="AI416" s="90"/>
      <c r="AJ416" s="90"/>
      <c r="AK416" s="82" t="s">
        <v>47</v>
      </c>
      <c r="AL416" s="82" t="str" cm="1">
        <f t="array" aca="1" ref="AL416" ca="1">_xlfn.IFS(
 AND($AK416&lt;&gt;"", M416&lt;&gt;0, M416&lt;=EDATE(TODAY(),2)),"도래",
 AND($AK416&lt;&gt;"", M416&lt;&gt;0, M416&lt;=EDATE(TODAY(),3)),"예정",
 AND($AK416&lt;&gt;"", M416&lt;&gt;0, M416&lt;=EDATE(TODAY(),6)),"관심",
 TRUE,""
)</f>
        <v/>
      </c>
      <c r="AM416" s="198">
        <f t="shared" si="15"/>
        <v>0</v>
      </c>
    </row>
    <row r="417" spans="1:39" ht="18" customHeight="1">
      <c r="A417" s="81"/>
      <c r="B417" s="205" t="str">
        <f>_xlfn.LET(_xlpm.var,◆관리정보!B417,IF(_xlpm.var&lt;&gt;0,_xlpm.var,""))</f>
        <v>어반그레이</v>
      </c>
      <c r="C417" s="82" t="str">
        <f>_xlfn.LET(_xlpm.var,◆관리정보!C417,IF(_xlpm.var&lt;&gt;0,_xlpm.var,""))</f>
        <v>3층</v>
      </c>
      <c r="D417" s="83" t="s">
        <v>1692</v>
      </c>
      <c r="E417" s="84" t="str">
        <f t="shared" si="13"/>
        <v>어반그레이3층</v>
      </c>
      <c r="F417" s="85"/>
      <c r="G417" s="229"/>
      <c r="H417" s="229"/>
      <c r="I417" s="229"/>
      <c r="J417" s="229"/>
      <c r="K417" s="218"/>
      <c r="L417" s="87">
        <v>45887</v>
      </c>
      <c r="M417" s="359">
        <v>46252</v>
      </c>
      <c r="N417" s="82" t="s">
        <v>1693</v>
      </c>
      <c r="O417" s="82" t="s">
        <v>1694</v>
      </c>
      <c r="P417" s="241">
        <v>30000000</v>
      </c>
      <c r="Q417" s="241">
        <v>3100000</v>
      </c>
      <c r="R417" s="82"/>
      <c r="S417" s="241">
        <v>400000</v>
      </c>
      <c r="T417" s="82"/>
      <c r="U417" s="241">
        <v>150000</v>
      </c>
      <c r="V417" s="82" t="s">
        <v>1695</v>
      </c>
      <c r="W417" s="88"/>
      <c r="X417" s="82"/>
      <c r="Y417" s="89"/>
      <c r="Z417" s="82"/>
      <c r="AA417" s="220"/>
      <c r="AB417" s="241"/>
      <c r="AC417" s="241">
        <v>0</v>
      </c>
      <c r="AD417" s="241"/>
      <c r="AE417" s="82" t="s">
        <v>914</v>
      </c>
      <c r="AF417" s="82" t="s">
        <v>915</v>
      </c>
      <c r="AG417" s="90"/>
      <c r="AH417" s="90"/>
      <c r="AI417" s="90" t="s">
        <v>1696</v>
      </c>
      <c r="AJ417" s="90"/>
      <c r="AK417" s="82" t="s">
        <v>47</v>
      </c>
      <c r="AL417" s="82" t="str" cm="1">
        <f t="array" aca="1" ref="AL417" ca="1">_xlfn.IFS(
 AND($AK417&lt;&gt;"", M417&lt;&gt;0, M417&lt;=EDATE(TODAY(),2)),"도래",
 AND($AK417&lt;&gt;"", M417&lt;&gt;0, M417&lt;=EDATE(TODAY(),3)),"예정",
 AND($AK417&lt;&gt;"", M417&lt;&gt;0, M417&lt;=EDATE(TODAY(),6)),"관심",
 TRUE,""
)</f>
        <v>관심</v>
      </c>
      <c r="AM417" s="198">
        <f t="shared" si="15"/>
        <v>18</v>
      </c>
    </row>
    <row r="418" spans="1:39" ht="18" customHeight="1">
      <c r="A418" s="81"/>
      <c r="B418" s="205" t="str">
        <f>_xlfn.LET(_xlpm.var,◆관리정보!B418,IF(_xlpm.var&lt;&gt;0,_xlpm.var,""))</f>
        <v>어반그레이</v>
      </c>
      <c r="C418" s="82" t="str">
        <f>_xlfn.LET(_xlpm.var,◆관리정보!C418,IF(_xlpm.var&lt;&gt;0,_xlpm.var,""))</f>
        <v>4층</v>
      </c>
      <c r="D418" s="83" t="s">
        <v>1697</v>
      </c>
      <c r="E418" s="84" t="str">
        <f t="shared" si="13"/>
        <v>어반그레이4층</v>
      </c>
      <c r="F418" s="85"/>
      <c r="G418" s="229"/>
      <c r="H418" s="229"/>
      <c r="I418" s="229"/>
      <c r="J418" s="229"/>
      <c r="K418" s="318"/>
      <c r="L418" s="87">
        <v>45817</v>
      </c>
      <c r="M418" s="359">
        <v>46181</v>
      </c>
      <c r="N418" s="82" t="s">
        <v>1698</v>
      </c>
      <c r="O418" s="82" t="s">
        <v>1699</v>
      </c>
      <c r="P418" s="241">
        <v>40000000</v>
      </c>
      <c r="Q418" s="241">
        <v>2650000</v>
      </c>
      <c r="R418" s="82"/>
      <c r="S418" s="241">
        <v>400000</v>
      </c>
      <c r="T418" s="82"/>
      <c r="U418" s="241"/>
      <c r="V418" s="82"/>
      <c r="W418" s="88"/>
      <c r="X418" s="82"/>
      <c r="Y418" s="89"/>
      <c r="Z418" s="82"/>
      <c r="AA418" s="220"/>
      <c r="AB418" s="241"/>
      <c r="AC418" s="241"/>
      <c r="AD418" s="241"/>
      <c r="AE418" s="82"/>
      <c r="AF418" s="82"/>
      <c r="AG418" s="90"/>
      <c r="AH418" s="90"/>
      <c r="AI418" s="90" t="s">
        <v>1700</v>
      </c>
      <c r="AJ418" s="90"/>
      <c r="AK418" s="82" t="s">
        <v>47</v>
      </c>
      <c r="AL418" s="82" t="str" cm="1">
        <f t="array" aca="1" ref="AL418" ca="1">_xlfn.IFS(
 AND($AK418&lt;&gt;"", M418&lt;&gt;0, M418&lt;=EDATE(TODAY(),2)),"도래",
 AND($AK418&lt;&gt;"", M418&lt;&gt;0, M418&lt;=EDATE(TODAY(),3)),"예정",
 AND($AK418&lt;&gt;"", M418&lt;&gt;0, M418&lt;=EDATE(TODAY(),6)),"관심",
 TRUE,""
)</f>
        <v>예정</v>
      </c>
      <c r="AM418" s="198">
        <f t="shared" si="15"/>
        <v>9</v>
      </c>
    </row>
    <row r="419" spans="1:39" ht="18" customHeight="1">
      <c r="A419" s="81"/>
      <c r="B419" s="205" t="str">
        <f>_xlfn.LET(_xlpm.var,◆관리정보!B419,IF(_xlpm.var&lt;&gt;0,_xlpm.var,""))</f>
        <v>집현전빌딩</v>
      </c>
      <c r="C419" s="82">
        <f>_xlfn.LET(_xlpm.var,◆관리정보!C419,IF(_xlpm.var&lt;&gt;0,_xlpm.var,""))</f>
        <v>101</v>
      </c>
      <c r="D419" s="83" t="s">
        <v>1701</v>
      </c>
      <c r="E419" s="84" t="str">
        <f t="shared" si="13"/>
        <v>집현전빌딩101</v>
      </c>
      <c r="F419" s="85">
        <v>46120</v>
      </c>
      <c r="G419" s="229"/>
      <c r="H419" s="229"/>
      <c r="I419" s="229"/>
      <c r="J419" s="229"/>
      <c r="K419" s="218"/>
      <c r="L419" s="87">
        <v>45268</v>
      </c>
      <c r="M419" s="359">
        <v>46363</v>
      </c>
      <c r="N419" s="82" t="s">
        <v>1702</v>
      </c>
      <c r="O419" s="82" t="s">
        <v>1703</v>
      </c>
      <c r="P419" s="241">
        <v>41000000</v>
      </c>
      <c r="Q419" s="241">
        <v>2000000</v>
      </c>
      <c r="R419" s="82" t="s">
        <v>40</v>
      </c>
      <c r="S419" s="241">
        <v>200000</v>
      </c>
      <c r="T419" s="82"/>
      <c r="U419" s="241" t="s">
        <v>1499</v>
      </c>
      <c r="V419" s="82"/>
      <c r="W419" s="88"/>
      <c r="X419" s="82"/>
      <c r="Y419" s="89"/>
      <c r="Z419" s="82"/>
      <c r="AA419" s="220"/>
      <c r="AB419" s="241"/>
      <c r="AC419" s="241"/>
      <c r="AD419" s="241"/>
      <c r="AE419" s="82"/>
      <c r="AF419" s="82"/>
      <c r="AG419" s="90"/>
      <c r="AH419" s="90"/>
      <c r="AI419" s="90" t="s">
        <v>1704</v>
      </c>
      <c r="AJ419" s="90"/>
      <c r="AK419" s="82" t="s">
        <v>47</v>
      </c>
      <c r="AL419" s="82" t="str" cm="1">
        <f t="array" aca="1" ref="AL419" ca="1">_xlfn.IFS(
 AND($AK419&lt;&gt;"", M419&lt;&gt;0, M419&lt;=EDATE(TODAY(),2)),"도래",
 AND($AK419&lt;&gt;"", M419&lt;&gt;0, M419&lt;=EDATE(TODAY(),3)),"예정",
 AND($AK419&lt;&gt;"", M419&lt;&gt;0, M419&lt;=EDATE(TODAY(),6)),"관심",
 TRUE,""
)</f>
        <v/>
      </c>
      <c r="AM419" s="198">
        <f t="shared" si="15"/>
        <v>8</v>
      </c>
    </row>
    <row r="420" spans="1:39" ht="18" customHeight="1">
      <c r="A420" s="81"/>
      <c r="B420" s="205" t="str">
        <f>_xlfn.LET(_xlpm.var,◆관리정보!B420,IF(_xlpm.var&lt;&gt;0,_xlpm.var,""))</f>
        <v>집현전빌딩</v>
      </c>
      <c r="C420" s="82">
        <f>_xlfn.LET(_xlpm.var,◆관리정보!C420,IF(_xlpm.var&lt;&gt;0,_xlpm.var,""))</f>
        <v>102</v>
      </c>
      <c r="D420" s="83" t="s">
        <v>1705</v>
      </c>
      <c r="E420" s="84" t="str">
        <f t="shared" si="13"/>
        <v>집현전빌딩102</v>
      </c>
      <c r="F420" s="85">
        <v>46127</v>
      </c>
      <c r="G420" s="229"/>
      <c r="H420" s="229"/>
      <c r="I420" s="229"/>
      <c r="J420" s="229"/>
      <c r="K420" s="218"/>
      <c r="L420" s="87">
        <v>45397</v>
      </c>
      <c r="M420" s="359">
        <v>45761</v>
      </c>
      <c r="N420" s="82" t="s">
        <v>1706</v>
      </c>
      <c r="O420" s="82" t="s">
        <v>1707</v>
      </c>
      <c r="P420" s="241">
        <v>70000000</v>
      </c>
      <c r="Q420" s="241">
        <v>2481818</v>
      </c>
      <c r="R420" s="82" t="s">
        <v>40</v>
      </c>
      <c r="S420" s="241" t="s">
        <v>1499</v>
      </c>
      <c r="T420" s="82"/>
      <c r="U420" s="241" t="s">
        <v>1499</v>
      </c>
      <c r="V420" s="82"/>
      <c r="W420" s="88"/>
      <c r="X420" s="82"/>
      <c r="Y420" s="89"/>
      <c r="Z420" s="82"/>
      <c r="AA420" s="220"/>
      <c r="AB420" s="241"/>
      <c r="AC420" s="241"/>
      <c r="AD420" s="241"/>
      <c r="AE420" s="82"/>
      <c r="AF420" s="82"/>
      <c r="AG420" s="90"/>
      <c r="AH420" s="90"/>
      <c r="AI420" s="90"/>
      <c r="AJ420" s="90"/>
      <c r="AK420" s="82" t="s">
        <v>47</v>
      </c>
      <c r="AL420" s="82" t="str" cm="1">
        <f t="array" aca="1" ref="AL420" ca="1">_xlfn.IFS(
 AND($AK420&lt;&gt;"", M420&lt;&gt;0, M420&lt;=EDATE(TODAY(),2)),"도래",
 AND($AK420&lt;&gt;"", M420&lt;&gt;0, M420&lt;=EDATE(TODAY(),3)),"예정",
 AND($AK420&lt;&gt;"", M420&lt;&gt;0, M420&lt;=EDATE(TODAY(),6)),"관심",
 TRUE,""
)</f>
        <v>도래</v>
      </c>
      <c r="AM420" s="198">
        <f t="shared" si="15"/>
        <v>15</v>
      </c>
    </row>
    <row r="421" spans="1:39" ht="18" customHeight="1">
      <c r="A421" s="81"/>
      <c r="B421" s="205" t="str">
        <f>_xlfn.LET(_xlpm.var,◆관리정보!B421,IF(_xlpm.var&lt;&gt;0,_xlpm.var,""))</f>
        <v>집현전빌딩</v>
      </c>
      <c r="C421" s="82">
        <f>_xlfn.LET(_xlpm.var,◆관리정보!C421,IF(_xlpm.var&lt;&gt;0,_xlpm.var,""))</f>
        <v>103</v>
      </c>
      <c r="D421" s="83" t="s">
        <v>1708</v>
      </c>
      <c r="E421" s="84" t="str">
        <f t="shared" si="13"/>
        <v>집현전빌딩103</v>
      </c>
      <c r="F421" s="85">
        <v>46105</v>
      </c>
      <c r="G421" s="229"/>
      <c r="H421" s="229"/>
      <c r="I421" s="229">
        <v>1272700</v>
      </c>
      <c r="J421" s="229"/>
      <c r="K421" s="218"/>
      <c r="L421" s="87">
        <v>45284</v>
      </c>
      <c r="M421" s="87">
        <v>46744</v>
      </c>
      <c r="N421" s="82" t="s">
        <v>1709</v>
      </c>
      <c r="O421" s="82" t="s">
        <v>1710</v>
      </c>
      <c r="P421" s="241">
        <v>11570000</v>
      </c>
      <c r="Q421" s="241">
        <v>1157000</v>
      </c>
      <c r="R421" s="82" t="s">
        <v>40</v>
      </c>
      <c r="S421" s="241" t="s">
        <v>1499</v>
      </c>
      <c r="T421" s="82"/>
      <c r="U421" s="241" t="s">
        <v>1711</v>
      </c>
      <c r="V421" s="82"/>
      <c r="W421" s="88"/>
      <c r="X421" s="82"/>
      <c r="Y421" s="89"/>
      <c r="Z421" s="82"/>
      <c r="AA421" s="220"/>
      <c r="AB421" s="241"/>
      <c r="AC421" s="241"/>
      <c r="AD421" s="241"/>
      <c r="AE421" s="82"/>
      <c r="AF421" s="82"/>
      <c r="AG421" s="90"/>
      <c r="AH421" s="90"/>
      <c r="AI421" s="90" t="s">
        <v>1712</v>
      </c>
      <c r="AJ421" s="90"/>
      <c r="AK421" s="82" t="s">
        <v>47</v>
      </c>
      <c r="AL421" s="82" t="str" cm="1">
        <f t="array" aca="1" ref="AL421" ca="1">_xlfn.IFS(
 AND($AK421&lt;&gt;"", M421&lt;&gt;0, M421&lt;=EDATE(TODAY(),2)),"도래",
 AND($AK421&lt;&gt;"", M421&lt;&gt;0, M421&lt;=EDATE(TODAY(),3)),"예정",
 AND($AK421&lt;&gt;"", M421&lt;&gt;0, M421&lt;=EDATE(TODAY(),6)),"관심",
 TRUE,""
)</f>
        <v/>
      </c>
      <c r="AM421" s="198">
        <f t="shared" si="15"/>
        <v>24</v>
      </c>
    </row>
    <row r="422" spans="1:39" ht="18" customHeight="1">
      <c r="A422" s="81"/>
      <c r="B422" s="205" t="str">
        <f>_xlfn.LET(_xlpm.var,◆관리정보!B422,IF(_xlpm.var&lt;&gt;0,_xlpm.var,""))</f>
        <v>집현전빌딩</v>
      </c>
      <c r="C422" s="82" t="str">
        <f>_xlfn.LET(_xlpm.var,◆관리정보!C422,IF(_xlpm.var&lt;&gt;0,_xlpm.var,""))</f>
        <v>2층</v>
      </c>
      <c r="D422" s="83" t="s">
        <v>1713</v>
      </c>
      <c r="E422" s="84" t="str">
        <f t="shared" si="13"/>
        <v>집현전빌딩2층</v>
      </c>
      <c r="F422" s="85">
        <v>46082</v>
      </c>
      <c r="G422" s="229"/>
      <c r="H422" s="229"/>
      <c r="I422" s="307">
        <v>5016000</v>
      </c>
      <c r="J422" s="229"/>
      <c r="K422" s="218"/>
      <c r="L422" s="87">
        <v>45231</v>
      </c>
      <c r="M422" s="87">
        <v>46326</v>
      </c>
      <c r="N422" s="82" t="s">
        <v>1714</v>
      </c>
      <c r="O422" s="82" t="s">
        <v>1715</v>
      </c>
      <c r="P422" s="241">
        <v>50000000</v>
      </c>
      <c r="Q422" s="241">
        <v>4410000</v>
      </c>
      <c r="R422" s="82" t="s">
        <v>40</v>
      </c>
      <c r="S422" s="241">
        <v>150000</v>
      </c>
      <c r="T422" s="82"/>
      <c r="U422" s="241" t="s">
        <v>1499</v>
      </c>
      <c r="V422" s="82"/>
      <c r="W422" s="88"/>
      <c r="X422" s="82"/>
      <c r="Y422" s="89"/>
      <c r="Z422" s="82"/>
      <c r="AA422" s="220"/>
      <c r="AB422" s="241"/>
      <c r="AC422" s="241"/>
      <c r="AD422" s="241"/>
      <c r="AE422" s="82"/>
      <c r="AF422" s="82"/>
      <c r="AG422" s="90"/>
      <c r="AH422" s="90"/>
      <c r="AI422" s="90" t="s">
        <v>1716</v>
      </c>
      <c r="AJ422" s="90"/>
      <c r="AK422" s="82" t="s">
        <v>47</v>
      </c>
      <c r="AL422" s="82" t="str" cm="1">
        <f t="array" aca="1" ref="AL422" ca="1">_xlfn.IFS(
 AND($AK422&lt;&gt;"", M422&lt;&gt;0, M422&lt;=EDATE(TODAY(),2)),"도래",
 AND($AK422&lt;&gt;"", M422&lt;&gt;0, M422&lt;=EDATE(TODAY(),3)),"예정",
 AND($AK422&lt;&gt;"", M422&lt;&gt;0, M422&lt;=EDATE(TODAY(),6)),"관심",
 TRUE,""
)</f>
        <v/>
      </c>
      <c r="AM422" s="198">
        <f t="shared" si="15"/>
        <v>1</v>
      </c>
    </row>
    <row r="423" spans="1:39" ht="18" customHeight="1">
      <c r="A423" s="81"/>
      <c r="B423" s="205" t="str">
        <f>_xlfn.LET(_xlpm.var,◆관리정보!B423,IF(_xlpm.var&lt;&gt;0,_xlpm.var,""))</f>
        <v>집현전빌딩</v>
      </c>
      <c r="C423" s="82">
        <f>_xlfn.LET(_xlpm.var,◆관리정보!C423,IF(_xlpm.var&lt;&gt;0,_xlpm.var,""))</f>
        <v>301</v>
      </c>
      <c r="D423" s="83" t="s">
        <v>1717</v>
      </c>
      <c r="E423" s="84" t="str">
        <f t="shared" si="13"/>
        <v>집현전빌딩301</v>
      </c>
      <c r="F423" s="85">
        <v>46096</v>
      </c>
      <c r="G423" s="229"/>
      <c r="H423" s="229"/>
      <c r="I423" s="229">
        <f>2420000-2400000</f>
        <v>20000</v>
      </c>
      <c r="J423" s="229"/>
      <c r="K423" s="218"/>
      <c r="L423" s="87">
        <v>45792</v>
      </c>
      <c r="M423" s="87">
        <v>46519</v>
      </c>
      <c r="N423" s="82" t="s">
        <v>1718</v>
      </c>
      <c r="O423" s="82" t="s">
        <v>1719</v>
      </c>
      <c r="P423" s="241">
        <v>20000000</v>
      </c>
      <c r="Q423" s="241">
        <v>2000000</v>
      </c>
      <c r="R423" s="82" t="s">
        <v>40</v>
      </c>
      <c r="S423" s="241">
        <v>200000</v>
      </c>
      <c r="T423" s="82" t="s">
        <v>1720</v>
      </c>
      <c r="U423" s="241" t="s">
        <v>1499</v>
      </c>
      <c r="V423" s="82"/>
      <c r="W423" s="88"/>
      <c r="X423" s="82"/>
      <c r="Y423" s="89"/>
      <c r="Z423" s="82"/>
      <c r="AA423" s="220"/>
      <c r="AB423" s="241"/>
      <c r="AC423" s="241"/>
      <c r="AD423" s="241"/>
      <c r="AE423" s="82"/>
      <c r="AF423" s="82"/>
      <c r="AG423" s="90"/>
      <c r="AH423" s="90"/>
      <c r="AI423" s="90" t="s">
        <v>1721</v>
      </c>
      <c r="AJ423" s="90"/>
      <c r="AK423" s="82" t="s">
        <v>47</v>
      </c>
      <c r="AL423" s="82" t="str" cm="1">
        <f t="array" aca="1" ref="AL423" ca="1">_xlfn.IFS(
 AND($AK423&lt;&gt;"", M423&lt;&gt;0, M423&lt;=EDATE(TODAY(),2)),"도래",
 AND($AK423&lt;&gt;"", M423&lt;&gt;0, M423&lt;=EDATE(TODAY(),3)),"예정",
 AND($AK423&lt;&gt;"", M423&lt;&gt;0, M423&lt;=EDATE(TODAY(),6)),"관심",
 TRUE,""
)</f>
        <v/>
      </c>
      <c r="AM423" s="198">
        <f t="shared" si="15"/>
        <v>15</v>
      </c>
    </row>
    <row r="424" spans="1:39" ht="18" customHeight="1">
      <c r="A424" s="81"/>
      <c r="B424" s="205" t="str">
        <f>_xlfn.LET(_xlpm.var,◆관리정보!B424,IF(_xlpm.var&lt;&gt;0,_xlpm.var,""))</f>
        <v>집현전빌딩</v>
      </c>
      <c r="C424" s="82">
        <f>_xlfn.LET(_xlpm.var,◆관리정보!C424,IF(_xlpm.var&lt;&gt;0,_xlpm.var,""))</f>
        <v>302</v>
      </c>
      <c r="D424" s="83" t="s">
        <v>1722</v>
      </c>
      <c r="E424" s="84" t="str">
        <f t="shared" si="13"/>
        <v>집현전빌딩302</v>
      </c>
      <c r="F424" s="85">
        <v>46122</v>
      </c>
      <c r="G424" s="229"/>
      <c r="H424" s="229"/>
      <c r="I424" s="229"/>
      <c r="J424" s="229"/>
      <c r="K424" s="318"/>
      <c r="L424" s="87">
        <v>45545</v>
      </c>
      <c r="M424" s="87">
        <v>46326</v>
      </c>
      <c r="N424" s="82" t="s">
        <v>1723</v>
      </c>
      <c r="O424" s="82" t="s">
        <v>1724</v>
      </c>
      <c r="P424" s="241">
        <v>25000000</v>
      </c>
      <c r="Q424" s="241">
        <v>1800000</v>
      </c>
      <c r="R424" s="82" t="s">
        <v>40</v>
      </c>
      <c r="S424" s="241">
        <v>200000</v>
      </c>
      <c r="T424" s="82"/>
      <c r="U424" s="241" t="s">
        <v>1499</v>
      </c>
      <c r="V424" s="82"/>
      <c r="W424" s="88"/>
      <c r="X424" s="82"/>
      <c r="Y424" s="89"/>
      <c r="Z424" s="82"/>
      <c r="AA424" s="220"/>
      <c r="AB424" s="241"/>
      <c r="AC424" s="241"/>
      <c r="AD424" s="241"/>
      <c r="AE424" s="82"/>
      <c r="AF424" s="82"/>
      <c r="AG424" s="90"/>
      <c r="AH424" s="90"/>
      <c r="AI424" s="90" t="s">
        <v>1725</v>
      </c>
      <c r="AJ424" s="90"/>
      <c r="AK424" s="82" t="s">
        <v>47</v>
      </c>
      <c r="AL424" s="82" t="str" cm="1">
        <f t="array" aca="1" ref="AL424" ca="1">_xlfn.IFS(
 AND($AK424&lt;&gt;"", M424&lt;&gt;0, M424&lt;=EDATE(TODAY(),2)),"도래",
 AND($AK424&lt;&gt;"", M424&lt;&gt;0, M424&lt;=EDATE(TODAY(),3)),"예정",
 AND($AK424&lt;&gt;"", M424&lt;&gt;0, M424&lt;=EDATE(TODAY(),6)),"관심",
 TRUE,""
)</f>
        <v/>
      </c>
      <c r="AM424" s="198">
        <f t="shared" si="15"/>
        <v>10</v>
      </c>
    </row>
    <row r="425" spans="1:39" ht="18" customHeight="1">
      <c r="A425" s="81"/>
      <c r="B425" s="205" t="str">
        <f>_xlfn.LET(_xlpm.var,◆관리정보!B425,IF(_xlpm.var&lt;&gt;0,_xlpm.var,""))</f>
        <v>집현전빌딩</v>
      </c>
      <c r="C425" s="82" t="str">
        <f>_xlfn.LET(_xlpm.var,◆관리정보!C425,IF(_xlpm.var&lt;&gt;0,_xlpm.var,""))</f>
        <v>4층</v>
      </c>
      <c r="D425" s="83" t="s">
        <v>1726</v>
      </c>
      <c r="E425" s="84" t="str">
        <f t="shared" si="13"/>
        <v>집현전빌딩4층</v>
      </c>
      <c r="F425" s="85">
        <v>46122</v>
      </c>
      <c r="G425" s="229"/>
      <c r="H425" s="229"/>
      <c r="I425" s="229"/>
      <c r="J425" s="229"/>
      <c r="K425" s="318"/>
      <c r="L425" s="87">
        <v>45270</v>
      </c>
      <c r="M425" s="87">
        <v>46365</v>
      </c>
      <c r="N425" s="82" t="s">
        <v>1727</v>
      </c>
      <c r="O425" s="82" t="s">
        <v>1728</v>
      </c>
      <c r="P425" s="241">
        <v>48620000</v>
      </c>
      <c r="Q425" s="241">
        <v>3472875</v>
      </c>
      <c r="R425" s="82" t="s">
        <v>1729</v>
      </c>
      <c r="S425" s="241"/>
      <c r="T425" s="82"/>
      <c r="U425" s="241" t="s">
        <v>1499</v>
      </c>
      <c r="V425" s="82"/>
      <c r="W425" s="88"/>
      <c r="X425" s="82"/>
      <c r="Y425" s="89"/>
      <c r="Z425" s="82"/>
      <c r="AA425" s="220"/>
      <c r="AB425" s="241"/>
      <c r="AC425" s="241"/>
      <c r="AD425" s="241"/>
      <c r="AE425" s="82"/>
      <c r="AF425" s="82"/>
      <c r="AG425" s="90"/>
      <c r="AH425" s="90"/>
      <c r="AI425" s="90" t="s">
        <v>1730</v>
      </c>
      <c r="AJ425" s="90"/>
      <c r="AK425" s="82" t="s">
        <v>47</v>
      </c>
      <c r="AL425" s="82" t="str" cm="1">
        <f t="array" aca="1" ref="AL425" ca="1">_xlfn.IFS(
 AND($AK425&lt;&gt;"", M425&lt;&gt;0, M425&lt;=EDATE(TODAY(),2)),"도래",
 AND($AK425&lt;&gt;"", M425&lt;&gt;0, M425&lt;=EDATE(TODAY(),3)),"예정",
 AND($AK425&lt;&gt;"", M425&lt;&gt;0, M425&lt;=EDATE(TODAY(),6)),"관심",
 TRUE,""
)</f>
        <v/>
      </c>
      <c r="AM425" s="198">
        <f t="shared" si="15"/>
        <v>10</v>
      </c>
    </row>
    <row r="426" spans="1:39" ht="18" customHeight="1">
      <c r="A426" s="81"/>
      <c r="B426" s="205" t="str">
        <f>_xlfn.LET(_xlpm.var,◆관리정보!B426,IF(_xlpm.var&lt;&gt;0,_xlpm.var,""))</f>
        <v>집현전빌딩</v>
      </c>
      <c r="C426" s="82" t="str">
        <f>_xlfn.LET(_xlpm.var,◆관리정보!C426,IF(_xlpm.var&lt;&gt;0,_xlpm.var,""))</f>
        <v>5층</v>
      </c>
      <c r="D426" s="83" t="s">
        <v>1731</v>
      </c>
      <c r="E426" s="84" t="str">
        <f t="shared" si="13"/>
        <v>집현전빌딩5층</v>
      </c>
      <c r="F426" s="85">
        <v>46128</v>
      </c>
      <c r="G426" s="229"/>
      <c r="H426" s="229"/>
      <c r="I426" s="229"/>
      <c r="J426" s="229"/>
      <c r="K426" s="218"/>
      <c r="L426" s="87">
        <v>45642</v>
      </c>
      <c r="M426" s="87">
        <v>46371</v>
      </c>
      <c r="N426" s="82" t="s">
        <v>1732</v>
      </c>
      <c r="O426" s="82" t="s">
        <v>1733</v>
      </c>
      <c r="P426" s="241">
        <v>33902000</v>
      </c>
      <c r="Q426" s="241">
        <v>1694700</v>
      </c>
      <c r="R426" s="82" t="s">
        <v>40</v>
      </c>
      <c r="S426" s="241">
        <v>150000</v>
      </c>
      <c r="T426" s="82"/>
      <c r="U426" s="241" t="s">
        <v>1499</v>
      </c>
      <c r="V426" s="82"/>
      <c r="W426" s="88"/>
      <c r="X426" s="82"/>
      <c r="Y426" s="89"/>
      <c r="Z426" s="82"/>
      <c r="AA426" s="220"/>
      <c r="AB426" s="241"/>
      <c r="AC426" s="241"/>
      <c r="AD426" s="241"/>
      <c r="AE426" s="82"/>
      <c r="AF426" s="82"/>
      <c r="AG426" s="90"/>
      <c r="AH426" s="90"/>
      <c r="AI426" s="90"/>
      <c r="AJ426" s="90"/>
      <c r="AK426" s="82" t="s">
        <v>47</v>
      </c>
      <c r="AL426" s="82" t="str" cm="1">
        <f t="array" aca="1" ref="AL426" ca="1">_xlfn.IFS(
 AND($AK426&lt;&gt;"", M426&lt;&gt;0, M426&lt;=EDATE(TODAY(),2)),"도래",
 AND($AK426&lt;&gt;"", M426&lt;&gt;0, M426&lt;=EDATE(TODAY(),3)),"예정",
 AND($AK426&lt;&gt;"", M426&lt;&gt;0, M426&lt;=EDATE(TODAY(),6)),"관심",
 TRUE,""
)</f>
        <v/>
      </c>
      <c r="AM426" s="198">
        <f t="shared" si="15"/>
        <v>16</v>
      </c>
    </row>
    <row r="427" spans="1:39" ht="18" customHeight="1">
      <c r="A427" s="81"/>
      <c r="B427" s="205" t="str">
        <f>_xlfn.LET(_xlpm.var,◆관리정보!B427,IF(_xlpm.var&lt;&gt;0,_xlpm.var,""))</f>
        <v>집현전빌딩</v>
      </c>
      <c r="C427" s="82" t="str">
        <f>_xlfn.LET(_xlpm.var,◆관리정보!C427,IF(_xlpm.var&lt;&gt;0,_xlpm.var,""))</f>
        <v>6층</v>
      </c>
      <c r="D427" s="83" t="s">
        <v>1734</v>
      </c>
      <c r="E427" s="84" t="str">
        <f t="shared" si="13"/>
        <v>집현전빌딩6층</v>
      </c>
      <c r="F427" s="85">
        <v>46125</v>
      </c>
      <c r="G427" s="229"/>
      <c r="H427" s="229"/>
      <c r="I427" s="229"/>
      <c r="J427" s="229"/>
      <c r="K427" s="218"/>
      <c r="L427" s="87">
        <v>45851</v>
      </c>
      <c r="M427" s="87">
        <v>46580</v>
      </c>
      <c r="N427" s="82" t="s">
        <v>1735</v>
      </c>
      <c r="O427" s="82" t="s">
        <v>1736</v>
      </c>
      <c r="P427" s="241">
        <v>25000000</v>
      </c>
      <c r="Q427" s="241">
        <v>1800000</v>
      </c>
      <c r="R427" s="82" t="s">
        <v>40</v>
      </c>
      <c r="S427" s="241">
        <v>200000</v>
      </c>
      <c r="T427" s="82"/>
      <c r="U427" s="241"/>
      <c r="V427" s="82"/>
      <c r="W427" s="88"/>
      <c r="X427" s="82"/>
      <c r="Y427" s="89"/>
      <c r="Z427" s="82"/>
      <c r="AA427" s="220"/>
      <c r="AB427" s="241"/>
      <c r="AC427" s="241"/>
      <c r="AD427" s="241"/>
      <c r="AE427" s="82"/>
      <c r="AF427" s="82"/>
      <c r="AG427" s="90"/>
      <c r="AH427" s="90"/>
      <c r="AI427" s="90" t="s">
        <v>1737</v>
      </c>
      <c r="AJ427" s="90"/>
      <c r="AK427" s="82" t="s">
        <v>47</v>
      </c>
      <c r="AL427" s="82" t="str" cm="1">
        <f t="array" aca="1" ref="AL427" ca="1">_xlfn.IFS(
 AND($AK427&lt;&gt;"", M427&lt;&gt;0, M427&lt;=EDATE(TODAY(),2)),"도래",
 AND($AK427&lt;&gt;"", M427&lt;&gt;0, M427&lt;=EDATE(TODAY(),3)),"예정",
 AND($AK427&lt;&gt;"", M427&lt;&gt;0, M427&lt;=EDATE(TODAY(),6)),"관심",
 TRUE,""
)</f>
        <v/>
      </c>
      <c r="AM427" s="198">
        <f t="shared" si="15"/>
        <v>13</v>
      </c>
    </row>
    <row r="428" spans="1:39" ht="18" customHeight="1">
      <c r="A428" s="81"/>
      <c r="B428" s="205" t="str">
        <f>_xlfn.LET(_xlpm.var,◆관리정보!B428,IF(_xlpm.var&lt;&gt;0,_xlpm.var,""))</f>
        <v>이례빌딩</v>
      </c>
      <c r="C428" s="82" t="str">
        <f>_xlfn.LET(_xlpm.var,◆관리정보!C428,IF(_xlpm.var&lt;&gt;0,_xlpm.var,""))</f>
        <v>B01</v>
      </c>
      <c r="D428" s="83" t="s">
        <v>1738</v>
      </c>
      <c r="E428" s="84" t="str">
        <f t="shared" si="13"/>
        <v>이례빌딩B01</v>
      </c>
      <c r="F428" s="85">
        <v>46112</v>
      </c>
      <c r="G428" s="229"/>
      <c r="H428" s="229"/>
      <c r="I428" s="229"/>
      <c r="J428" s="229"/>
      <c r="K428" s="318"/>
      <c r="L428" s="87">
        <v>45819</v>
      </c>
      <c r="M428" s="359">
        <v>46173</v>
      </c>
      <c r="N428" s="82"/>
      <c r="O428" s="82" t="s">
        <v>1739</v>
      </c>
      <c r="P428" s="241">
        <v>30000000</v>
      </c>
      <c r="Q428" s="241">
        <v>3740000</v>
      </c>
      <c r="R428" s="82" t="s">
        <v>157</v>
      </c>
      <c r="S428" s="241">
        <v>1040600</v>
      </c>
      <c r="T428" s="82"/>
      <c r="U428" s="241">
        <v>132000</v>
      </c>
      <c r="V428" s="82" t="s">
        <v>1740</v>
      </c>
      <c r="W428" s="88"/>
      <c r="X428" s="82"/>
      <c r="Y428" s="89"/>
      <c r="Z428" s="82"/>
      <c r="AA428" s="220"/>
      <c r="AB428" s="241"/>
      <c r="AC428" s="241"/>
      <c r="AD428" s="241"/>
      <c r="AE428" s="82"/>
      <c r="AF428" s="82"/>
      <c r="AG428" s="90"/>
      <c r="AH428" s="90"/>
      <c r="AI428" s="90" t="s">
        <v>1741</v>
      </c>
      <c r="AJ428" s="90"/>
      <c r="AK428" s="82" t="s">
        <v>47</v>
      </c>
      <c r="AL428" s="82" t="str" cm="1">
        <f t="array" aca="1" ref="AL428" ca="1">_xlfn.IFS(
 AND($AK428&lt;&gt;"", M428&lt;&gt;0, M428&lt;=EDATE(TODAY(),2)),"도래",
 AND($AK428&lt;&gt;"", M428&lt;&gt;0, M428&lt;=EDATE(TODAY(),3)),"예정",
 AND($AK428&lt;&gt;"", M428&lt;&gt;0, M428&lt;=EDATE(TODAY(),6)),"관심",
 TRUE,""
)</f>
        <v>예정</v>
      </c>
      <c r="AM428" s="198">
        <f t="shared" si="15"/>
        <v>11</v>
      </c>
    </row>
    <row r="429" spans="1:39" ht="18" customHeight="1">
      <c r="A429" s="81"/>
      <c r="B429" s="205" t="str">
        <f>_xlfn.LET(_xlpm.var,◆관리정보!B429,IF(_xlpm.var&lt;&gt;0,_xlpm.var,""))</f>
        <v>이례빌딩</v>
      </c>
      <c r="C429" s="82" t="str">
        <f>_xlfn.LET(_xlpm.var,◆관리정보!C429,IF(_xlpm.var&lt;&gt;0,_xlpm.var,""))</f>
        <v>1,2층</v>
      </c>
      <c r="D429" s="83" t="s">
        <v>1742</v>
      </c>
      <c r="E429" s="84" t="str">
        <f t="shared" si="13"/>
        <v>이례빌딩1,2층</v>
      </c>
      <c r="F429" s="85">
        <v>46112</v>
      </c>
      <c r="G429" s="229"/>
      <c r="H429" s="229"/>
      <c r="I429" s="229"/>
      <c r="J429" s="229"/>
      <c r="K429" s="218"/>
      <c r="L429" s="87">
        <v>43794</v>
      </c>
      <c r="M429" s="359">
        <v>46715</v>
      </c>
      <c r="N429" s="82"/>
      <c r="O429" s="82" t="s">
        <v>1743</v>
      </c>
      <c r="P429" s="241">
        <v>75000000</v>
      </c>
      <c r="Q429" s="241">
        <v>8690000</v>
      </c>
      <c r="R429" s="82" t="s">
        <v>157</v>
      </c>
      <c r="S429" s="241">
        <v>1430000</v>
      </c>
      <c r="T429" s="82"/>
      <c r="U429" s="241">
        <v>330000</v>
      </c>
      <c r="V429" s="82" t="s">
        <v>1740</v>
      </c>
      <c r="W429" s="88"/>
      <c r="X429" s="82"/>
      <c r="Y429" s="89"/>
      <c r="Z429" s="82"/>
      <c r="AA429" s="220"/>
      <c r="AB429" s="241"/>
      <c r="AC429" s="241"/>
      <c r="AD429" s="241"/>
      <c r="AE429" s="82"/>
      <c r="AF429" s="82"/>
      <c r="AG429" s="90"/>
      <c r="AH429" s="90"/>
      <c r="AI429" s="90" t="s">
        <v>1744</v>
      </c>
      <c r="AJ429" s="90"/>
      <c r="AK429" s="82" t="s">
        <v>47</v>
      </c>
      <c r="AL429" s="82" t="str" cm="1">
        <f t="array" aca="1" ref="AL429" ca="1">_xlfn.IFS(
 AND($AK429&lt;&gt;"", M429&lt;&gt;0, M429&lt;=EDATE(TODAY(),2)),"도래",
 AND($AK429&lt;&gt;"", M429&lt;&gt;0, M429&lt;=EDATE(TODAY(),3)),"예정",
 AND($AK429&lt;&gt;"", M429&lt;&gt;0, M429&lt;=EDATE(TODAY(),6)),"관심",
 TRUE,""
)</f>
        <v/>
      </c>
      <c r="AM429" s="198">
        <f t="shared" si="15"/>
        <v>25</v>
      </c>
    </row>
    <row r="430" spans="1:39" ht="18" customHeight="1">
      <c r="A430" s="81"/>
      <c r="B430" s="205" t="str">
        <f>_xlfn.LET(_xlpm.var,◆관리정보!B430,IF(_xlpm.var&lt;&gt;0,_xlpm.var,""))</f>
        <v>이례빌딩</v>
      </c>
      <c r="C430" s="82" t="str">
        <f>_xlfn.LET(_xlpm.var,◆관리정보!C430,IF(_xlpm.var&lt;&gt;0,_xlpm.var,""))</f>
        <v>3,4층</v>
      </c>
      <c r="D430" s="83" t="s">
        <v>1745</v>
      </c>
      <c r="E430" s="84" t="str">
        <f t="shared" si="13"/>
        <v>이례빌딩3,4층</v>
      </c>
      <c r="F430" s="85">
        <v>46112</v>
      </c>
      <c r="G430" s="229"/>
      <c r="H430" s="229"/>
      <c r="I430" s="229"/>
      <c r="J430" s="308"/>
      <c r="K430" s="218"/>
      <c r="L430" s="87">
        <v>43845</v>
      </c>
      <c r="M430" s="359">
        <v>46721</v>
      </c>
      <c r="N430" s="82"/>
      <c r="O430" s="82" t="s">
        <v>1746</v>
      </c>
      <c r="P430" s="241">
        <v>60000000</v>
      </c>
      <c r="Q430" s="241">
        <v>6820000</v>
      </c>
      <c r="R430" s="82" t="s">
        <v>157</v>
      </c>
      <c r="S430" s="241">
        <v>1320000</v>
      </c>
      <c r="T430" s="82"/>
      <c r="U430" s="241"/>
      <c r="V430" s="82"/>
      <c r="W430" s="88"/>
      <c r="X430" s="82"/>
      <c r="Y430" s="89"/>
      <c r="Z430" s="82"/>
      <c r="AA430" s="220"/>
      <c r="AB430" s="241"/>
      <c r="AC430" s="241"/>
      <c r="AD430" s="241"/>
      <c r="AE430" s="82"/>
      <c r="AF430" s="82"/>
      <c r="AG430" s="90"/>
      <c r="AH430" s="90"/>
      <c r="AI430" s="90" t="s">
        <v>1747</v>
      </c>
      <c r="AJ430" s="90"/>
      <c r="AK430" s="82" t="s">
        <v>47</v>
      </c>
      <c r="AL430" s="82" t="str" cm="1">
        <f t="array" aca="1" ref="AL430" ca="1">_xlfn.IFS(
 AND($AK430&lt;&gt;"", M430&lt;&gt;0, M430&lt;=EDATE(TODAY(),2)),"도래",
 AND($AK430&lt;&gt;"", M430&lt;&gt;0, M430&lt;=EDATE(TODAY(),3)),"예정",
 AND($AK430&lt;&gt;"", M430&lt;&gt;0, M430&lt;=EDATE(TODAY(),6)),"관심",
 TRUE,""
)</f>
        <v/>
      </c>
      <c r="AM430" s="198">
        <f t="shared" si="15"/>
        <v>15</v>
      </c>
    </row>
    <row r="431" spans="1:39" ht="18" customHeight="1">
      <c r="A431" s="81"/>
      <c r="B431" s="205" t="str">
        <f>_xlfn.LET(_xlpm.var,◆관리정보!B431,IF(_xlpm.var&lt;&gt;0,_xlpm.var,""))</f>
        <v>이례빌딩</v>
      </c>
      <c r="C431" s="82" t="str">
        <f>_xlfn.LET(_xlpm.var,◆관리정보!C431,IF(_xlpm.var&lt;&gt;0,_xlpm.var,""))</f>
        <v>5층</v>
      </c>
      <c r="D431" s="83" t="s">
        <v>1748</v>
      </c>
      <c r="E431" s="84" t="str">
        <f t="shared" si="13"/>
        <v>이례빌딩5층</v>
      </c>
      <c r="F431" s="85">
        <v>46112</v>
      </c>
      <c r="G431" s="229"/>
      <c r="H431" s="229"/>
      <c r="I431" s="229"/>
      <c r="J431" s="229"/>
      <c r="K431" s="218"/>
      <c r="L431" s="87">
        <v>42887</v>
      </c>
      <c r="M431" s="359">
        <v>46173</v>
      </c>
      <c r="N431" s="82"/>
      <c r="O431" s="82" t="s">
        <v>1749</v>
      </c>
      <c r="P431" s="241">
        <v>30000000</v>
      </c>
      <c r="Q431" s="241">
        <v>3520000.0000000005</v>
      </c>
      <c r="R431" s="82" t="s">
        <v>157</v>
      </c>
      <c r="S431" s="241">
        <v>660000</v>
      </c>
      <c r="T431" s="82"/>
      <c r="U431" s="241">
        <v>132000</v>
      </c>
      <c r="V431" s="82" t="s">
        <v>1740</v>
      </c>
      <c r="W431" s="88"/>
      <c r="X431" s="82"/>
      <c r="Y431" s="89"/>
      <c r="Z431" s="82"/>
      <c r="AA431" s="220"/>
      <c r="AB431" s="241"/>
      <c r="AC431" s="241"/>
      <c r="AD431" s="241"/>
      <c r="AE431" s="82"/>
      <c r="AF431" s="82"/>
      <c r="AG431" s="90"/>
      <c r="AH431" s="90"/>
      <c r="AI431" s="90" t="s">
        <v>1750</v>
      </c>
      <c r="AJ431" s="90"/>
      <c r="AK431" s="82" t="s">
        <v>47</v>
      </c>
      <c r="AL431" s="82" t="str" cm="1">
        <f t="array" aca="1" ref="AL431" ca="1">_xlfn.IFS(
 AND($AK431&lt;&gt;"", M431&lt;&gt;0, M431&lt;=EDATE(TODAY(),2)),"도래",
 AND($AK431&lt;&gt;"", M431&lt;&gt;0, M431&lt;=EDATE(TODAY(),3)),"예정",
 AND($AK431&lt;&gt;"", M431&lt;&gt;0, M431&lt;=EDATE(TODAY(),6)),"관심",
 TRUE,""
)</f>
        <v>예정</v>
      </c>
      <c r="AM431" s="198">
        <f t="shared" si="15"/>
        <v>1</v>
      </c>
    </row>
    <row r="432" spans="1:39" ht="18" customHeight="1">
      <c r="A432" s="81"/>
      <c r="B432" s="205" t="str">
        <f>_xlfn.LET(_xlpm.var,◆관리정보!B432,IF(_xlpm.var&lt;&gt;0,_xlpm.var,""))</f>
        <v>이례빌딩</v>
      </c>
      <c r="C432" s="82">
        <f>_xlfn.LET(_xlpm.var,◆관리정보!C432,IF(_xlpm.var&lt;&gt;0,_xlpm.var,""))</f>
        <v>601</v>
      </c>
      <c r="D432" s="83" t="s">
        <v>1751</v>
      </c>
      <c r="E432" s="84" t="str">
        <f t="shared" si="13"/>
        <v>이례빌딩601</v>
      </c>
      <c r="F432" s="85">
        <v>46112</v>
      </c>
      <c r="G432" s="229"/>
      <c r="H432" s="229"/>
      <c r="I432" s="229"/>
      <c r="J432" s="229"/>
      <c r="K432" s="218"/>
      <c r="L432" s="87">
        <v>40568</v>
      </c>
      <c r="M432" s="359">
        <v>45838</v>
      </c>
      <c r="N432" s="82"/>
      <c r="O432" s="82" t="s">
        <v>1752</v>
      </c>
      <c r="P432" s="241">
        <v>30000000</v>
      </c>
      <c r="Q432" s="241">
        <v>3410000.0000000005</v>
      </c>
      <c r="R432" s="82" t="s">
        <v>157</v>
      </c>
      <c r="S432" s="241">
        <v>550000</v>
      </c>
      <c r="T432" s="82"/>
      <c r="U432" s="241">
        <v>132000</v>
      </c>
      <c r="V432" s="82" t="s">
        <v>1740</v>
      </c>
      <c r="W432" s="88"/>
      <c r="X432" s="82"/>
      <c r="Y432" s="89"/>
      <c r="Z432" s="82"/>
      <c r="AA432" s="220"/>
      <c r="AB432" s="241"/>
      <c r="AC432" s="241"/>
      <c r="AD432" s="241"/>
      <c r="AE432" s="82"/>
      <c r="AF432" s="82"/>
      <c r="AG432" s="90"/>
      <c r="AH432" s="90"/>
      <c r="AI432" s="90" t="s">
        <v>1753</v>
      </c>
      <c r="AJ432" s="90"/>
      <c r="AK432" s="82" t="s">
        <v>47</v>
      </c>
      <c r="AL432" s="82" t="str" cm="1">
        <f t="array" aca="1" ref="AL432" ca="1">_xlfn.IFS(
 AND($AK432&lt;&gt;"", M432&lt;&gt;0, M432&lt;=EDATE(TODAY(),2)),"도래",
 AND($AK432&lt;&gt;"", M432&lt;&gt;0, M432&lt;=EDATE(TODAY(),3)),"예정",
 AND($AK432&lt;&gt;"", M432&lt;&gt;0, M432&lt;=EDATE(TODAY(),6)),"관심",
 TRUE,""
)</f>
        <v>도래</v>
      </c>
      <c r="AM432" s="198">
        <f t="shared" si="15"/>
        <v>25</v>
      </c>
    </row>
    <row r="433" spans="1:39" ht="18" customHeight="1">
      <c r="A433" s="81"/>
      <c r="B433" s="205" t="str">
        <f>_xlfn.LET(_xlpm.var,◆관리정보!B433,IF(_xlpm.var&lt;&gt;0,_xlpm.var,""))</f>
        <v>이례빌딩</v>
      </c>
      <c r="C433" s="82">
        <f>_xlfn.LET(_xlpm.var,◆관리정보!C433,IF(_xlpm.var&lt;&gt;0,_xlpm.var,""))</f>
        <v>602</v>
      </c>
      <c r="D433" s="83" t="s">
        <v>1754</v>
      </c>
      <c r="E433" s="84" t="str">
        <f t="shared" si="13"/>
        <v>이례빌딩602</v>
      </c>
      <c r="F433" s="85">
        <v>46112</v>
      </c>
      <c r="G433" s="229"/>
      <c r="H433" s="229"/>
      <c r="I433" s="229"/>
      <c r="J433" s="229"/>
      <c r="K433" s="218"/>
      <c r="L433" s="87">
        <v>40842</v>
      </c>
      <c r="M433" s="359">
        <v>46142</v>
      </c>
      <c r="N433" s="369" t="s">
        <v>1755</v>
      </c>
      <c r="O433" s="82" t="s">
        <v>1756</v>
      </c>
      <c r="P433" s="241">
        <v>10000000</v>
      </c>
      <c r="Q433" s="241">
        <v>605000</v>
      </c>
      <c r="R433" s="82" t="s">
        <v>157</v>
      </c>
      <c r="S433" s="241">
        <v>110000</v>
      </c>
      <c r="T433" s="82"/>
      <c r="U433" s="241">
        <v>132000</v>
      </c>
      <c r="V433" s="82" t="s">
        <v>1740</v>
      </c>
      <c r="W433" s="88"/>
      <c r="X433" s="82"/>
      <c r="Y433" s="89"/>
      <c r="Z433" s="82"/>
      <c r="AA433" s="220">
        <v>6273</v>
      </c>
      <c r="AB433" s="241"/>
      <c r="AC433" s="241"/>
      <c r="AD433" s="241"/>
      <c r="AE433" s="82"/>
      <c r="AF433" s="82"/>
      <c r="AG433" s="90"/>
      <c r="AH433" s="90"/>
      <c r="AI433" s="90" t="s">
        <v>1757</v>
      </c>
      <c r="AJ433" s="90"/>
      <c r="AK433" s="82" t="s">
        <v>47</v>
      </c>
      <c r="AL433" s="82" t="str" cm="1">
        <f t="array" aca="1" ref="AL433" ca="1">_xlfn.IFS(
 AND($AK433&lt;&gt;"", M433&lt;&gt;0, M433&lt;=EDATE(TODAY(),2)),"도래",
 AND($AK433&lt;&gt;"", M433&lt;&gt;0, M433&lt;=EDATE(TODAY(),3)),"예정",
 AND($AK433&lt;&gt;"", M433&lt;&gt;0, M433&lt;=EDATE(TODAY(),6)),"관심",
 TRUE,""
)</f>
        <v>도래</v>
      </c>
      <c r="AM433" s="198">
        <f t="shared" si="15"/>
        <v>26</v>
      </c>
    </row>
    <row r="434" spans="1:39" ht="18" customHeight="1">
      <c r="A434" s="81"/>
      <c r="B434" s="205" t="str">
        <f>_xlfn.LET(_xlpm.var,◆관리정보!B434,IF(_xlpm.var&lt;&gt;0,_xlpm.var,""))</f>
        <v>이례빌딩</v>
      </c>
      <c r="C434" s="82" t="str">
        <f>_xlfn.LET(_xlpm.var,◆관리정보!C434,IF(_xlpm.var&lt;&gt;0,_xlpm.var,""))</f>
        <v>7층</v>
      </c>
      <c r="D434" s="83" t="s">
        <v>1758</v>
      </c>
      <c r="E434" s="84" t="str">
        <f t="shared" si="13"/>
        <v>이례빌딩7층</v>
      </c>
      <c r="F434" s="85">
        <v>46081</v>
      </c>
      <c r="G434" s="229"/>
      <c r="H434" s="229"/>
      <c r="I434" s="229"/>
      <c r="J434" s="229">
        <f>660000+12414-660000+790170</f>
        <v>802584</v>
      </c>
      <c r="K434" s="318"/>
      <c r="L434" s="87">
        <v>46001</v>
      </c>
      <c r="M434" s="359">
        <v>46365</v>
      </c>
      <c r="N434" s="82"/>
      <c r="O434" s="82" t="s">
        <v>1759</v>
      </c>
      <c r="P434" s="241">
        <v>30000000</v>
      </c>
      <c r="Q434" s="241">
        <v>3520000</v>
      </c>
      <c r="R434" s="82" t="s">
        <v>157</v>
      </c>
      <c r="S434" s="241">
        <v>660000</v>
      </c>
      <c r="T434" s="82"/>
      <c r="U434" s="241"/>
      <c r="V434" s="82"/>
      <c r="W434" s="88"/>
      <c r="X434" s="82"/>
      <c r="Y434" s="89"/>
      <c r="Z434" s="82"/>
      <c r="AA434" s="220"/>
      <c r="AB434" s="241"/>
      <c r="AC434" s="241"/>
      <c r="AD434" s="241"/>
      <c r="AE434" s="82" t="s">
        <v>1760</v>
      </c>
      <c r="AF434" s="82" t="s">
        <v>1761</v>
      </c>
      <c r="AG434" s="90"/>
      <c r="AH434" s="90"/>
      <c r="AI434" s="90" t="s">
        <v>1762</v>
      </c>
      <c r="AJ434" s="90"/>
      <c r="AK434" s="82" t="s">
        <v>47</v>
      </c>
      <c r="AL434" s="82" t="str" cm="1">
        <f t="array" aca="1" ref="AL434" ca="1">_xlfn.IFS(
 AND($AK434&lt;&gt;"", M434&lt;&gt;0, M434&lt;=EDATE(TODAY(),2)),"도래",
 AND($AK434&lt;&gt;"", M434&lt;&gt;0, M434&lt;=EDATE(TODAY(),3)),"예정",
 AND($AK434&lt;&gt;"", M434&lt;&gt;0, M434&lt;=EDATE(TODAY(),6)),"관심",
 TRUE,""
)</f>
        <v/>
      </c>
      <c r="AM434" s="198">
        <f t="shared" si="15"/>
        <v>10</v>
      </c>
    </row>
    <row r="435" spans="1:39" ht="18" customHeight="1">
      <c r="A435" s="81"/>
      <c r="B435" s="205" t="str">
        <f>_xlfn.LET(_xlpm.var,◆관리정보!B435,IF(_xlpm.var&lt;&gt;0,_xlpm.var,""))</f>
        <v>이례빌딩</v>
      </c>
      <c r="C435" s="82" t="str">
        <f>_xlfn.LET(_xlpm.var,◆관리정보!C435,IF(_xlpm.var&lt;&gt;0,_xlpm.var,""))</f>
        <v>8층</v>
      </c>
      <c r="D435" s="83" t="s">
        <v>1763</v>
      </c>
      <c r="E435" s="84" t="str">
        <f t="shared" si="13"/>
        <v>이례빌딩8층</v>
      </c>
      <c r="F435" s="85">
        <v>46112</v>
      </c>
      <c r="G435" s="229"/>
      <c r="H435" s="229"/>
      <c r="I435" s="229"/>
      <c r="J435" s="229"/>
      <c r="K435" s="218"/>
      <c r="L435" s="87">
        <v>42170</v>
      </c>
      <c r="M435" s="359">
        <v>46022</v>
      </c>
      <c r="N435" s="82"/>
      <c r="O435" s="82" t="s">
        <v>1764</v>
      </c>
      <c r="P435" s="241">
        <v>30000000</v>
      </c>
      <c r="Q435" s="241">
        <v>3520000.0000000005</v>
      </c>
      <c r="R435" s="82" t="s">
        <v>157</v>
      </c>
      <c r="S435" s="241">
        <v>660000</v>
      </c>
      <c r="T435" s="82"/>
      <c r="U435" s="241"/>
      <c r="V435" s="82"/>
      <c r="W435" s="88"/>
      <c r="X435" s="82"/>
      <c r="Y435" s="89"/>
      <c r="Z435" s="82"/>
      <c r="AA435" s="220"/>
      <c r="AB435" s="241"/>
      <c r="AC435" s="241"/>
      <c r="AD435" s="241"/>
      <c r="AE435" s="82"/>
      <c r="AF435" s="82"/>
      <c r="AG435" s="90"/>
      <c r="AH435" s="90"/>
      <c r="AI435" s="90" t="s">
        <v>1765</v>
      </c>
      <c r="AJ435" s="90"/>
      <c r="AK435" s="82" t="s">
        <v>47</v>
      </c>
      <c r="AL435" s="82" t="str" cm="1">
        <f t="array" aca="1" ref="AL435" ca="1">_xlfn.IFS(
 AND($AK435&lt;&gt;"", M435&lt;&gt;0, M435&lt;=EDATE(TODAY(),2)),"도래",
 AND($AK435&lt;&gt;"", M435&lt;&gt;0, M435&lt;=EDATE(TODAY(),3)),"예정",
 AND($AK435&lt;&gt;"", M435&lt;&gt;0, M435&lt;=EDATE(TODAY(),6)),"관심",
 TRUE,""
)</f>
        <v>도래</v>
      </c>
      <c r="AM435" s="198">
        <f t="shared" si="15"/>
        <v>15</v>
      </c>
    </row>
    <row r="436" spans="1:39" ht="18" customHeight="1">
      <c r="A436" s="81"/>
      <c r="B436" s="205" t="str">
        <f>_xlfn.LET(_xlpm.var,◆관리정보!B436,IF(_xlpm.var&lt;&gt;0,_xlpm.var,""))</f>
        <v>이례빌딩</v>
      </c>
      <c r="C436" s="82" t="str">
        <f>_xlfn.LET(_xlpm.var,◆관리정보!C436,IF(_xlpm.var&lt;&gt;0,_xlpm.var,""))</f>
        <v>옥상1</v>
      </c>
      <c r="D436" s="83" t="s">
        <v>1766</v>
      </c>
      <c r="E436" s="84" t="str">
        <f t="shared" si="13"/>
        <v>이례빌딩옥상1</v>
      </c>
      <c r="F436" s="85">
        <v>46349</v>
      </c>
      <c r="G436" s="229"/>
      <c r="H436" s="229"/>
      <c r="I436" s="229"/>
      <c r="J436" s="229"/>
      <c r="K436" s="218"/>
      <c r="L436" s="87">
        <v>45283</v>
      </c>
      <c r="M436" s="359">
        <v>46348</v>
      </c>
      <c r="N436" s="82" t="s">
        <v>1767</v>
      </c>
      <c r="O436" s="82" t="s">
        <v>1768</v>
      </c>
      <c r="P436" s="241"/>
      <c r="Q436" s="241">
        <v>3300000</v>
      </c>
      <c r="R436" s="82" t="s">
        <v>157</v>
      </c>
      <c r="S436" s="241"/>
      <c r="T436" s="82"/>
      <c r="U436" s="241"/>
      <c r="V436" s="82"/>
      <c r="W436" s="88"/>
      <c r="X436" s="82"/>
      <c r="Y436" s="89"/>
      <c r="Z436" s="82"/>
      <c r="AA436" s="220"/>
      <c r="AB436" s="241"/>
      <c r="AC436" s="241"/>
      <c r="AD436" s="241"/>
      <c r="AE436" s="82"/>
      <c r="AF436" s="82"/>
      <c r="AG436" s="90"/>
      <c r="AH436" s="90"/>
      <c r="AI436" s="90" t="s">
        <v>1769</v>
      </c>
      <c r="AJ436" s="90"/>
      <c r="AK436" s="82"/>
      <c r="AL436" s="82" t="str" cm="1">
        <f t="array" aca="1" ref="AL436" ca="1">_xlfn.IFS(
 AND($AK436&lt;&gt;"", M436&lt;&gt;0, M436&lt;=EDATE(TODAY(),2)),"도래",
 AND($AK436&lt;&gt;"", M436&lt;&gt;0, M436&lt;=EDATE(TODAY(),3)),"예정",
 AND($AK436&lt;&gt;"", M436&lt;&gt;0, M436&lt;=EDATE(TODAY(),6)),"관심",
 TRUE,""
)</f>
        <v/>
      </c>
      <c r="AM436" s="198">
        <f t="shared" si="15"/>
        <v>23</v>
      </c>
    </row>
    <row r="437" spans="1:39" ht="18" customHeight="1">
      <c r="A437" s="81"/>
      <c r="B437" s="205" t="str">
        <f>_xlfn.LET(_xlpm.var,◆관리정보!B437,IF(_xlpm.var&lt;&gt;0,_xlpm.var,""))</f>
        <v>이례빌딩</v>
      </c>
      <c r="C437" s="82" t="str">
        <f>_xlfn.LET(_xlpm.var,◆관리정보!C437,IF(_xlpm.var&lt;&gt;0,_xlpm.var,""))</f>
        <v>옥상2</v>
      </c>
      <c r="D437" s="83" t="s">
        <v>1770</v>
      </c>
      <c r="E437" s="84" t="str">
        <f t="shared" si="13"/>
        <v>이례빌딩옥상2</v>
      </c>
      <c r="F437" s="85">
        <v>46319</v>
      </c>
      <c r="G437" s="229"/>
      <c r="H437" s="229"/>
      <c r="I437" s="229"/>
      <c r="J437" s="229"/>
      <c r="K437" s="218"/>
      <c r="L437" s="87">
        <v>45223</v>
      </c>
      <c r="M437" s="359">
        <v>46318</v>
      </c>
      <c r="N437" s="82" t="s">
        <v>1767</v>
      </c>
      <c r="O437" s="82" t="s">
        <v>1771</v>
      </c>
      <c r="P437" s="241"/>
      <c r="Q437" s="241">
        <v>2750000</v>
      </c>
      <c r="R437" s="82" t="s">
        <v>157</v>
      </c>
      <c r="S437" s="241"/>
      <c r="T437" s="82"/>
      <c r="U437" s="241"/>
      <c r="V437" s="82"/>
      <c r="W437" s="88"/>
      <c r="X437" s="82"/>
      <c r="Y437" s="89"/>
      <c r="Z437" s="82"/>
      <c r="AA437" s="220"/>
      <c r="AB437" s="241"/>
      <c r="AC437" s="241"/>
      <c r="AD437" s="241"/>
      <c r="AE437" s="82"/>
      <c r="AF437" s="82"/>
      <c r="AG437" s="90"/>
      <c r="AH437" s="90"/>
      <c r="AI437" s="90" t="s">
        <v>1769</v>
      </c>
      <c r="AJ437" s="90"/>
      <c r="AK437" s="82"/>
      <c r="AL437" s="82" t="str" cm="1">
        <f t="array" aca="1" ref="AL437" ca="1">_xlfn.IFS(
 AND($AK437&lt;&gt;"", M437&lt;&gt;0, M437&lt;=EDATE(TODAY(),2)),"도래",
 AND($AK437&lt;&gt;"", M437&lt;&gt;0, M437&lt;=EDATE(TODAY(),3)),"예정",
 AND($AK437&lt;&gt;"", M437&lt;&gt;0, M437&lt;=EDATE(TODAY(),6)),"관심",
 TRUE,""
)</f>
        <v/>
      </c>
      <c r="AM437" s="198">
        <f t="shared" si="15"/>
        <v>24</v>
      </c>
    </row>
    <row r="438" spans="1:39" ht="18" customHeight="1">
      <c r="A438" s="81"/>
      <c r="B438" s="205" t="str">
        <f>_xlfn.LET(_xlpm.var,◆관리정보!B438,IF(_xlpm.var&lt;&gt;0,_xlpm.var,""))</f>
        <v>이례빌딩</v>
      </c>
      <c r="C438" s="82" t="str">
        <f>_xlfn.LET(_xlpm.var,◆관리정보!C438,IF(_xlpm.var&lt;&gt;0,_xlpm.var,""))</f>
        <v>옥상3</v>
      </c>
      <c r="D438" s="83" t="s">
        <v>1772</v>
      </c>
      <c r="E438" s="84" t="str">
        <f t="shared" si="13"/>
        <v>이례빌딩옥상3</v>
      </c>
      <c r="F438" s="85">
        <v>46339</v>
      </c>
      <c r="G438" s="229"/>
      <c r="H438" s="229"/>
      <c r="I438" s="229"/>
      <c r="J438" s="229"/>
      <c r="K438" s="218"/>
      <c r="L438" s="87">
        <v>45243</v>
      </c>
      <c r="M438" s="359">
        <v>46338</v>
      </c>
      <c r="N438" s="82" t="s">
        <v>1767</v>
      </c>
      <c r="O438" s="82" t="s">
        <v>1773</v>
      </c>
      <c r="P438" s="241"/>
      <c r="Q438" s="241">
        <v>3300000</v>
      </c>
      <c r="R438" s="82" t="s">
        <v>157</v>
      </c>
      <c r="S438" s="241"/>
      <c r="T438" s="82"/>
      <c r="U438" s="241"/>
      <c r="V438" s="82"/>
      <c r="W438" s="88"/>
      <c r="X438" s="82"/>
      <c r="Y438" s="89"/>
      <c r="Z438" s="82"/>
      <c r="AA438" s="220"/>
      <c r="AB438" s="241"/>
      <c r="AC438" s="241"/>
      <c r="AD438" s="241"/>
      <c r="AE438" s="82"/>
      <c r="AF438" s="82"/>
      <c r="AG438" s="90"/>
      <c r="AH438" s="90"/>
      <c r="AI438" s="90" t="s">
        <v>1769</v>
      </c>
      <c r="AJ438" s="90"/>
      <c r="AK438" s="82"/>
      <c r="AL438" s="82" t="str" cm="1">
        <f t="array" aca="1" ref="AL438" ca="1">_xlfn.IFS(
 AND($AK438&lt;&gt;"", M438&lt;&gt;0, M438&lt;=EDATE(TODAY(),2)),"도래",
 AND($AK438&lt;&gt;"", M438&lt;&gt;0, M438&lt;=EDATE(TODAY(),3)),"예정",
 AND($AK438&lt;&gt;"", M438&lt;&gt;0, M438&lt;=EDATE(TODAY(),6)),"관심",
 TRUE,""
)</f>
        <v/>
      </c>
      <c r="AM438" s="198">
        <f t="shared" si="15"/>
        <v>13</v>
      </c>
    </row>
    <row r="439" spans="1:39" ht="18" customHeight="1">
      <c r="A439" s="81"/>
      <c r="B439" s="205" t="str">
        <f>_xlfn.LET(_xlpm.var,◆관리정보!B439,IF(_xlpm.var&lt;&gt;0,_xlpm.var,""))</f>
        <v>KMC코리아</v>
      </c>
      <c r="C439" s="82" t="str">
        <f>_xlfn.LET(_xlpm.var,◆관리정보!C439,IF(_xlpm.var&lt;&gt;0,_xlpm.var,""))</f>
        <v>B01</v>
      </c>
      <c r="D439" s="83" t="s">
        <v>1774</v>
      </c>
      <c r="E439" s="84" t="str">
        <f t="shared" si="13"/>
        <v>KMC코리아B01</v>
      </c>
      <c r="F439" s="85">
        <v>46112</v>
      </c>
      <c r="G439" s="229"/>
      <c r="H439" s="229"/>
      <c r="I439" s="229">
        <v>13266383</v>
      </c>
      <c r="J439" s="229"/>
      <c r="K439" s="218"/>
      <c r="L439" s="87">
        <v>44727</v>
      </c>
      <c r="M439" s="359">
        <v>45457</v>
      </c>
      <c r="N439" s="82" t="s">
        <v>1775</v>
      </c>
      <c r="O439" s="82" t="s">
        <v>1776</v>
      </c>
      <c r="P439" s="241">
        <v>200000000</v>
      </c>
      <c r="Q439" s="241">
        <v>12210000</v>
      </c>
      <c r="R439" s="82" t="s">
        <v>157</v>
      </c>
      <c r="S439" s="241">
        <v>990000</v>
      </c>
      <c r="T439" s="82" t="s">
        <v>157</v>
      </c>
      <c r="U439" s="241"/>
      <c r="V439" s="82" t="s">
        <v>1777</v>
      </c>
      <c r="W439" s="88"/>
      <c r="X439" s="82"/>
      <c r="Y439" s="89"/>
      <c r="Z439" s="82"/>
      <c r="AA439" s="220"/>
      <c r="AB439" s="241"/>
      <c r="AC439" s="241"/>
      <c r="AD439" s="241"/>
      <c r="AE439" s="82"/>
      <c r="AF439" s="82"/>
      <c r="AG439" s="90"/>
      <c r="AH439" s="90"/>
      <c r="AI439" s="90"/>
      <c r="AJ439" s="90"/>
      <c r="AK439" s="82" t="s">
        <v>47</v>
      </c>
      <c r="AL439" s="82" t="str" cm="1">
        <f t="array" aca="1" ref="AL439" ca="1">_xlfn.IFS(
 AND($AK439&lt;&gt;"", M439&lt;&gt;0, M439&lt;=EDATE(TODAY(),2)),"도래",
 AND($AK439&lt;&gt;"", M439&lt;&gt;0, M439&lt;=EDATE(TODAY(),3)),"예정",
 AND($AK439&lt;&gt;"", M439&lt;&gt;0, M439&lt;=EDATE(TODAY(),6)),"관심",
 TRUE,""
)</f>
        <v>도래</v>
      </c>
      <c r="AM439" s="198">
        <f t="shared" ref="AM439:AM470" si="16">DAY(L439)</f>
        <v>15</v>
      </c>
    </row>
    <row r="440" spans="1:39" ht="18" customHeight="1">
      <c r="A440" s="81"/>
      <c r="B440" s="205" t="str">
        <f>_xlfn.LET(_xlpm.var,◆관리정보!B440,IF(_xlpm.var&lt;&gt;0,_xlpm.var,""))</f>
        <v>KMC코리아</v>
      </c>
      <c r="C440" s="82" t="str">
        <f>_xlfn.LET(_xlpm.var,◆관리정보!C440,IF(_xlpm.var&lt;&gt;0,_xlpm.var,""))</f>
        <v>1층</v>
      </c>
      <c r="D440" s="83" t="s">
        <v>1778</v>
      </c>
      <c r="E440" s="84" t="str">
        <f t="shared" si="13"/>
        <v>KMC코리아1층</v>
      </c>
      <c r="F440" s="85">
        <v>46112</v>
      </c>
      <c r="G440" s="229"/>
      <c r="H440" s="229"/>
      <c r="I440" s="229">
        <v>23046041</v>
      </c>
      <c r="J440" s="229"/>
      <c r="K440" s="218"/>
      <c r="L440" s="87">
        <v>44531</v>
      </c>
      <c r="M440" s="359">
        <v>46446</v>
      </c>
      <c r="N440" s="82" t="s">
        <v>1779</v>
      </c>
      <c r="O440" s="82" t="s">
        <v>1780</v>
      </c>
      <c r="P440" s="241">
        <v>250000000</v>
      </c>
      <c r="Q440" s="241">
        <v>20790000</v>
      </c>
      <c r="R440" s="82" t="s">
        <v>157</v>
      </c>
      <c r="S440" s="241">
        <v>2200000</v>
      </c>
      <c r="T440" s="82" t="s">
        <v>157</v>
      </c>
      <c r="U440" s="241"/>
      <c r="V440" s="82" t="s">
        <v>1777</v>
      </c>
      <c r="W440" s="88"/>
      <c r="X440" s="82"/>
      <c r="Y440" s="89"/>
      <c r="Z440" s="82"/>
      <c r="AA440" s="220"/>
      <c r="AB440" s="241"/>
      <c r="AC440" s="241"/>
      <c r="AD440" s="241"/>
      <c r="AE440" s="82"/>
      <c r="AF440" s="82"/>
      <c r="AG440" s="90"/>
      <c r="AH440" s="90"/>
      <c r="AI440" s="90" t="s">
        <v>1781</v>
      </c>
      <c r="AJ440" s="90"/>
      <c r="AK440" s="82" t="s">
        <v>47</v>
      </c>
      <c r="AL440" s="82" t="str" cm="1">
        <f t="array" aca="1" ref="AL440" ca="1">_xlfn.IFS(
 AND($AK440&lt;&gt;"", M440&lt;&gt;0, M440&lt;=EDATE(TODAY(),2)),"도래",
 AND($AK440&lt;&gt;"", M440&lt;&gt;0, M440&lt;=EDATE(TODAY(),3)),"예정",
 AND($AK440&lt;&gt;"", M440&lt;&gt;0, M440&lt;=EDATE(TODAY(),6)),"관심",
 TRUE,""
)</f>
        <v/>
      </c>
      <c r="AM440" s="198">
        <f t="shared" si="16"/>
        <v>1</v>
      </c>
    </row>
    <row r="441" spans="1:39" ht="18" customHeight="1">
      <c r="A441" s="81"/>
      <c r="B441" s="205" t="str">
        <f>_xlfn.LET(_xlpm.var,◆관리정보!B441,IF(_xlpm.var&lt;&gt;0,_xlpm.var,""))</f>
        <v>KMC코리아</v>
      </c>
      <c r="C441" s="82" t="str">
        <f>_xlfn.LET(_xlpm.var,◆관리정보!C441,IF(_xlpm.var&lt;&gt;0,_xlpm.var,""))</f>
        <v>2층</v>
      </c>
      <c r="D441" s="83" t="s">
        <v>1782</v>
      </c>
      <c r="E441" s="84" t="str">
        <f t="shared" si="13"/>
        <v>KMC코리아2층</v>
      </c>
      <c r="F441" s="85">
        <v>46112</v>
      </c>
      <c r="G441" s="229"/>
      <c r="H441" s="229"/>
      <c r="I441" s="229">
        <v>18293903</v>
      </c>
      <c r="J441" s="229"/>
      <c r="K441" s="218"/>
      <c r="L441" s="87">
        <v>45078</v>
      </c>
      <c r="M441" s="359">
        <v>45808</v>
      </c>
      <c r="N441" s="82" t="s">
        <v>1783</v>
      </c>
      <c r="O441" s="82" t="s">
        <v>1784</v>
      </c>
      <c r="P441" s="241">
        <v>240000000</v>
      </c>
      <c r="Q441" s="241">
        <v>18249000</v>
      </c>
      <c r="R441" s="82" t="s">
        <v>157</v>
      </c>
      <c r="S441" s="241"/>
      <c r="T441" s="82" t="s">
        <v>157</v>
      </c>
      <c r="U441" s="241"/>
      <c r="V441" s="82" t="s">
        <v>1777</v>
      </c>
      <c r="W441" s="88"/>
      <c r="X441" s="82"/>
      <c r="Y441" s="89"/>
      <c r="Z441" s="82"/>
      <c r="AA441" s="220"/>
      <c r="AB441" s="241"/>
      <c r="AC441" s="241"/>
      <c r="AD441" s="241"/>
      <c r="AE441" s="82"/>
      <c r="AF441" s="82"/>
      <c r="AG441" s="90"/>
      <c r="AH441" s="90"/>
      <c r="AI441" s="90" t="s">
        <v>1785</v>
      </c>
      <c r="AJ441" s="90"/>
      <c r="AK441" s="82" t="s">
        <v>47</v>
      </c>
      <c r="AL441" s="82" t="str" cm="1">
        <f t="array" aca="1" ref="AL441" ca="1">_xlfn.IFS(
 AND($AK441&lt;&gt;"", M441&lt;&gt;0, M441&lt;=EDATE(TODAY(),2)),"도래",
 AND($AK441&lt;&gt;"", M441&lt;&gt;0, M441&lt;=EDATE(TODAY(),3)),"예정",
 AND($AK441&lt;&gt;"", M441&lt;&gt;0, M441&lt;=EDATE(TODAY(),6)),"관심",
 TRUE,""
)</f>
        <v>도래</v>
      </c>
      <c r="AM441" s="198">
        <f t="shared" si="16"/>
        <v>1</v>
      </c>
    </row>
    <row r="442" spans="1:39" ht="18" customHeight="1">
      <c r="A442" s="81"/>
      <c r="B442" s="205" t="str">
        <f>_xlfn.LET(_xlpm.var,◆관리정보!B442,IF(_xlpm.var&lt;&gt;0,_xlpm.var,""))</f>
        <v>KMC코리아</v>
      </c>
      <c r="C442" s="82" t="str">
        <f>_xlfn.LET(_xlpm.var,◆관리정보!C442,IF(_xlpm.var&lt;&gt;0,_xlpm.var,""))</f>
        <v>3층</v>
      </c>
      <c r="D442" s="83" t="s">
        <v>1786</v>
      </c>
      <c r="E442" s="84" t="str">
        <f t="shared" si="13"/>
        <v>KMC코리아3층</v>
      </c>
      <c r="F442" s="85">
        <v>46112</v>
      </c>
      <c r="G442" s="229"/>
      <c r="H442" s="229"/>
      <c r="I442" s="229">
        <v>17130949</v>
      </c>
      <c r="J442" s="229"/>
      <c r="K442" s="218"/>
      <c r="L442" s="87">
        <v>46023</v>
      </c>
      <c r="M442" s="87">
        <v>46752</v>
      </c>
      <c r="N442" s="82" t="s">
        <v>1787</v>
      </c>
      <c r="O442" s="82" t="s">
        <v>1788</v>
      </c>
      <c r="P442" s="241">
        <v>150000000</v>
      </c>
      <c r="Q442" s="241">
        <v>15015000</v>
      </c>
      <c r="R442" s="82" t="s">
        <v>157</v>
      </c>
      <c r="S442" s="241">
        <v>2079000</v>
      </c>
      <c r="T442" s="82" t="s">
        <v>157</v>
      </c>
      <c r="U442" s="241"/>
      <c r="V442" s="82" t="s">
        <v>1777</v>
      </c>
      <c r="W442" s="88"/>
      <c r="X442" s="82"/>
      <c r="Y442" s="89"/>
      <c r="Z442" s="82"/>
      <c r="AA442" s="220"/>
      <c r="AB442" s="241"/>
      <c r="AC442" s="241"/>
      <c r="AD442" s="241"/>
      <c r="AE442" s="82"/>
      <c r="AF442" s="82"/>
      <c r="AG442" s="90"/>
      <c r="AH442" s="90"/>
      <c r="AI442" s="90" t="s">
        <v>1789</v>
      </c>
      <c r="AJ442" s="90"/>
      <c r="AK442" s="82" t="s">
        <v>47</v>
      </c>
      <c r="AL442" s="82" t="str" cm="1">
        <f t="array" aca="1" ref="AL442" ca="1">_xlfn.IFS(
 AND($AK442&lt;&gt;"", M442&lt;&gt;0, M442&lt;=EDATE(TODAY(),2)),"도래",
 AND($AK442&lt;&gt;"", M442&lt;&gt;0, M442&lt;=EDATE(TODAY(),3)),"예정",
 AND($AK442&lt;&gt;"", M442&lt;&gt;0, M442&lt;=EDATE(TODAY(),6)),"관심",
 TRUE,""
)</f>
        <v/>
      </c>
      <c r="AM442" s="198">
        <f t="shared" si="16"/>
        <v>1</v>
      </c>
    </row>
    <row r="443" spans="1:39" ht="18" customHeight="1">
      <c r="A443" s="81"/>
      <c r="B443" s="205" t="str">
        <f>_xlfn.LET(_xlpm.var,◆관리정보!B443,IF(_xlpm.var&lt;&gt;0,_xlpm.var,""))</f>
        <v>KMC코리아</v>
      </c>
      <c r="C443" s="82" t="str">
        <f>_xlfn.LET(_xlpm.var,◆관리정보!C443,IF(_xlpm.var&lt;&gt;0,_xlpm.var,""))</f>
        <v>4층</v>
      </c>
      <c r="D443" s="83" t="s">
        <v>1790</v>
      </c>
      <c r="E443" s="84" t="str">
        <f t="shared" si="13"/>
        <v>KMC코리아4층</v>
      </c>
      <c r="F443" s="85">
        <v>46081</v>
      </c>
      <c r="G443" s="229">
        <v>21922</v>
      </c>
      <c r="H443" s="229"/>
      <c r="I443" s="229">
        <v>583523</v>
      </c>
      <c r="J443" s="229"/>
      <c r="K443" s="218"/>
      <c r="L443" s="87">
        <v>46054</v>
      </c>
      <c r="M443" s="87">
        <v>47879</v>
      </c>
      <c r="N443" s="82" t="s">
        <v>1791</v>
      </c>
      <c r="O443" s="82" t="s">
        <v>1792</v>
      </c>
      <c r="P443" s="241">
        <v>200000000</v>
      </c>
      <c r="Q443" s="241">
        <v>13200000</v>
      </c>
      <c r="R443" s="82" t="s">
        <v>157</v>
      </c>
      <c r="S443" s="241"/>
      <c r="T443" s="82" t="s">
        <v>157</v>
      </c>
      <c r="U443" s="241"/>
      <c r="V443" s="82" t="s">
        <v>1777</v>
      </c>
      <c r="W443" s="88"/>
      <c r="X443" s="82"/>
      <c r="Y443" s="89"/>
      <c r="Z443" s="82"/>
      <c r="AA443" s="220"/>
      <c r="AB443" s="241"/>
      <c r="AC443" s="241"/>
      <c r="AD443" s="241"/>
      <c r="AE443" s="82"/>
      <c r="AF443" s="82"/>
      <c r="AG443" s="90"/>
      <c r="AH443" s="90"/>
      <c r="AI443" s="90" t="s">
        <v>1793</v>
      </c>
      <c r="AJ443" s="90"/>
      <c r="AK443" s="82" t="s">
        <v>47</v>
      </c>
      <c r="AL443" s="82" t="str" cm="1">
        <f t="array" aca="1" ref="AL443" ca="1">_xlfn.IFS(
 AND($AK443&lt;&gt;"", M443&lt;&gt;0, M443&lt;=EDATE(TODAY(),2)),"도래",
 AND($AK443&lt;&gt;"", M443&lt;&gt;0, M443&lt;=EDATE(TODAY(),3)),"예정",
 AND($AK443&lt;&gt;"", M443&lt;&gt;0, M443&lt;=EDATE(TODAY(),6)),"관심",
 TRUE,""
)</f>
        <v/>
      </c>
      <c r="AM443" s="198">
        <f t="shared" si="16"/>
        <v>1</v>
      </c>
    </row>
    <row r="444" spans="1:39" ht="18" customHeight="1">
      <c r="A444" s="81"/>
      <c r="B444" s="205" t="str">
        <f>_xlfn.LET(_xlpm.var,◆관리정보!B444,IF(_xlpm.var&lt;&gt;0,_xlpm.var,""))</f>
        <v>KMC코리아</v>
      </c>
      <c r="C444" s="82" t="str">
        <f>_xlfn.LET(_xlpm.var,◆관리정보!C444,IF(_xlpm.var&lt;&gt;0,_xlpm.var,""))</f>
        <v>5층</v>
      </c>
      <c r="D444" s="83" t="s">
        <v>1794</v>
      </c>
      <c r="E444" s="84" t="str">
        <f t="shared" si="13"/>
        <v>KMC코리아5층</v>
      </c>
      <c r="F444" s="85">
        <v>46109</v>
      </c>
      <c r="G444" s="229"/>
      <c r="H444" s="229"/>
      <c r="I444" s="229">
        <v>10075861</v>
      </c>
      <c r="J444" s="229"/>
      <c r="K444" s="218"/>
      <c r="L444" s="87">
        <v>45413</v>
      </c>
      <c r="M444" s="359">
        <v>46142</v>
      </c>
      <c r="N444" s="82" t="s">
        <v>1795</v>
      </c>
      <c r="O444" s="82" t="s">
        <v>1796</v>
      </c>
      <c r="P444" s="241">
        <v>110000000</v>
      </c>
      <c r="Q444" s="241">
        <v>10048500</v>
      </c>
      <c r="R444" s="82" t="s">
        <v>157</v>
      </c>
      <c r="S444" s="241"/>
      <c r="T444" s="82" t="s">
        <v>157</v>
      </c>
      <c r="U444" s="241"/>
      <c r="V444" s="82" t="s">
        <v>1777</v>
      </c>
      <c r="W444" s="88"/>
      <c r="X444" s="82"/>
      <c r="Y444" s="89"/>
      <c r="Z444" s="82"/>
      <c r="AA444" s="220"/>
      <c r="AB444" s="241"/>
      <c r="AC444" s="241"/>
      <c r="AD444" s="241"/>
      <c r="AE444" s="82"/>
      <c r="AF444" s="82"/>
      <c r="AG444" s="90"/>
      <c r="AH444" s="90"/>
      <c r="AI444" s="90" t="s">
        <v>1797</v>
      </c>
      <c r="AJ444" s="90"/>
      <c r="AK444" s="82" t="s">
        <v>47</v>
      </c>
      <c r="AL444" s="82" t="str" cm="1">
        <f t="array" aca="1" ref="AL444" ca="1">_xlfn.IFS(
 AND($AK444&lt;&gt;"", M444&lt;&gt;0, M444&lt;=EDATE(TODAY(),2)),"도래",
 AND($AK444&lt;&gt;"", M444&lt;&gt;0, M444&lt;=EDATE(TODAY(),3)),"예정",
 AND($AK444&lt;&gt;"", M444&lt;&gt;0, M444&lt;=EDATE(TODAY(),6)),"관심",
 TRUE,""
)</f>
        <v>도래</v>
      </c>
      <c r="AM444" s="198">
        <f t="shared" si="16"/>
        <v>1</v>
      </c>
    </row>
    <row r="445" spans="1:39" ht="18" customHeight="1">
      <c r="A445" s="81"/>
      <c r="B445" s="262" t="str">
        <f>_xlfn.LET(_xlpm.var,◆관리정보!B445,IF(_xlpm.var&lt;&gt;0,_xlpm.var,""))</f>
        <v>제이드하우스</v>
      </c>
      <c r="C445" s="263">
        <f>_xlfn.LET(_xlpm.var,◆관리정보!C445,IF(_xlpm.var&lt;&gt;0,_xlpm.var,""))</f>
        <v>101</v>
      </c>
      <c r="D445" s="91" t="s">
        <v>1798</v>
      </c>
      <c r="E445" s="84" t="str">
        <f t="shared" si="13"/>
        <v>제이드하우스101</v>
      </c>
      <c r="F445" s="85">
        <v>46131</v>
      </c>
      <c r="G445" s="229"/>
      <c r="H445" s="229"/>
      <c r="I445" s="229"/>
      <c r="J445" s="229"/>
      <c r="K445" s="218"/>
      <c r="L445" s="87">
        <v>46100</v>
      </c>
      <c r="M445" s="359">
        <v>46191</v>
      </c>
      <c r="N445" s="82"/>
      <c r="O445" s="82"/>
      <c r="P445" s="241">
        <v>1400000</v>
      </c>
      <c r="Q445" s="241">
        <v>1350000</v>
      </c>
      <c r="R445" s="82"/>
      <c r="S445" s="241">
        <v>100000</v>
      </c>
      <c r="T445" s="82"/>
      <c r="U445" s="241">
        <v>30000</v>
      </c>
      <c r="V445" s="82"/>
      <c r="W445" s="88">
        <v>25000</v>
      </c>
      <c r="X445" s="82"/>
      <c r="Y445" s="89"/>
      <c r="Z445" s="82"/>
      <c r="AA445" s="220"/>
      <c r="AB445" s="241">
        <v>200000</v>
      </c>
      <c r="AC445" s="241">
        <v>165000</v>
      </c>
      <c r="AD445" s="241">
        <v>100000</v>
      </c>
      <c r="AE445" s="82" t="s">
        <v>57</v>
      </c>
      <c r="AF445" s="82" t="s">
        <v>58</v>
      </c>
      <c r="AG445" s="90"/>
      <c r="AH445" s="90"/>
      <c r="AI445" s="90" t="s">
        <v>1799</v>
      </c>
      <c r="AJ445" s="90"/>
      <c r="AK445" s="82"/>
      <c r="AL445" s="82" t="str" cm="1">
        <f t="array" aca="1" ref="AL445" ca="1">_xlfn.IFS(
 AND($AK445&lt;&gt;"", M445&lt;&gt;0, M445&lt;=EDATE(TODAY(),2)),"도래",
 AND($AK445&lt;&gt;"", M445&lt;&gt;0, M445&lt;=EDATE(TODAY(),3)),"예정",
 AND($AK445&lt;&gt;"", M445&lt;&gt;0, M445&lt;=EDATE(TODAY(),6)),"관심",
 TRUE,""
)</f>
        <v/>
      </c>
      <c r="AM445" s="198">
        <f t="shared" si="16"/>
        <v>19</v>
      </c>
    </row>
    <row r="446" spans="1:39" ht="18" customHeight="1">
      <c r="A446" s="81"/>
      <c r="B446" s="237" t="str">
        <f>_xlfn.LET(_xlpm.var,◆관리정보!B446,IF(_xlpm.var&lt;&gt;0,_xlpm.var,""))</f>
        <v>제이드하우스</v>
      </c>
      <c r="C446" s="238">
        <f>_xlfn.LET(_xlpm.var,◆관리정보!C446,IF(_xlpm.var&lt;&gt;0,_xlpm.var,""))</f>
        <v>102</v>
      </c>
      <c r="D446" s="239"/>
      <c r="E446" s="84" t="str">
        <f t="shared" si="13"/>
        <v>제이드하우스102</v>
      </c>
      <c r="F446" s="87"/>
      <c r="G446" s="229"/>
      <c r="H446" s="229"/>
      <c r="I446" s="229"/>
      <c r="J446" s="229"/>
      <c r="K446" s="218"/>
      <c r="L446" s="87"/>
      <c r="M446" s="359"/>
      <c r="N446" s="82"/>
      <c r="O446" s="82"/>
      <c r="P446" s="241"/>
      <c r="Q446" s="241"/>
      <c r="R446" s="82"/>
      <c r="S446" s="241"/>
      <c r="T446" s="82"/>
      <c r="U446" s="241"/>
      <c r="V446" s="82"/>
      <c r="W446" s="88"/>
      <c r="X446" s="82"/>
      <c r="Y446" s="89"/>
      <c r="Z446" s="82"/>
      <c r="AA446" s="220"/>
      <c r="AB446" s="241"/>
      <c r="AC446" s="241"/>
      <c r="AD446" s="241"/>
      <c r="AE446" s="82"/>
      <c r="AF446" s="82"/>
      <c r="AG446" s="90"/>
      <c r="AH446" s="90"/>
      <c r="AI446" s="90"/>
      <c r="AJ446" s="90"/>
      <c r="AK446" s="82"/>
      <c r="AL446" s="82" t="str" cm="1">
        <f t="array" aca="1" ref="AL446" ca="1">_xlfn.IFS(
 AND($AK446&lt;&gt;"", M446&lt;&gt;0, M446&lt;=EDATE(TODAY(),2)),"도래",
 AND($AK446&lt;&gt;"", M446&lt;&gt;0, M446&lt;=EDATE(TODAY(),3)),"예정",
 AND($AK446&lt;&gt;"", M446&lt;&gt;0, M446&lt;=EDATE(TODAY(),6)),"관심",
 TRUE,""
)</f>
        <v/>
      </c>
      <c r="AM446" s="198">
        <f t="shared" si="16"/>
        <v>0</v>
      </c>
    </row>
    <row r="447" spans="1:39" ht="18" customHeight="1">
      <c r="A447" s="81"/>
      <c r="B447" s="237" t="str">
        <f>_xlfn.LET(_xlpm.var,◆관리정보!B447,IF(_xlpm.var&lt;&gt;0,_xlpm.var,""))</f>
        <v>제이드하우스</v>
      </c>
      <c r="C447" s="238">
        <f>_xlfn.LET(_xlpm.var,◆관리정보!C447,IF(_xlpm.var&lt;&gt;0,_xlpm.var,""))</f>
        <v>103</v>
      </c>
      <c r="D447" s="239" t="s">
        <v>202</v>
      </c>
      <c r="E447" s="84" t="str">
        <f t="shared" si="13"/>
        <v>제이드하우스103</v>
      </c>
      <c r="F447" s="87"/>
      <c r="G447" s="229"/>
      <c r="H447" s="229"/>
      <c r="I447" s="229"/>
      <c r="J447" s="229"/>
      <c r="K447" s="218"/>
      <c r="L447" s="87"/>
      <c r="M447" s="359"/>
      <c r="N447" s="82"/>
      <c r="O447" s="82"/>
      <c r="P447" s="241"/>
      <c r="Q447" s="241"/>
      <c r="R447" s="82"/>
      <c r="S447" s="241"/>
      <c r="T447" s="82"/>
      <c r="U447" s="241"/>
      <c r="V447" s="82"/>
      <c r="W447" s="88"/>
      <c r="X447" s="82"/>
      <c r="Y447" s="89"/>
      <c r="Z447" s="82"/>
      <c r="AA447" s="220"/>
      <c r="AB447" s="241"/>
      <c r="AC447" s="241"/>
      <c r="AD447" s="241"/>
      <c r="AE447" s="82"/>
      <c r="AF447" s="82"/>
      <c r="AG447" s="90"/>
      <c r="AH447" s="90"/>
      <c r="AI447" s="90"/>
      <c r="AJ447" s="90"/>
      <c r="AK447" s="82"/>
      <c r="AL447" s="82" t="str" cm="1">
        <f t="array" aca="1" ref="AL447" ca="1">_xlfn.IFS(
 AND($AK447&lt;&gt;"", M447&lt;&gt;0, M447&lt;=EDATE(TODAY(),2)),"도래",
 AND($AK447&lt;&gt;"", M447&lt;&gt;0, M447&lt;=EDATE(TODAY(),3)),"예정",
 AND($AK447&lt;&gt;"", M447&lt;&gt;0, M447&lt;=EDATE(TODAY(),6)),"관심",
 TRUE,""
)</f>
        <v/>
      </c>
      <c r="AM447" s="198">
        <f t="shared" si="16"/>
        <v>0</v>
      </c>
    </row>
    <row r="448" spans="1:39" ht="18" customHeight="1">
      <c r="A448" s="81"/>
      <c r="B448" s="205" t="str">
        <f>_xlfn.LET(_xlpm.var,◆관리정보!B448,IF(_xlpm.var&lt;&gt;0,_xlpm.var,""))</f>
        <v>제이드하우스</v>
      </c>
      <c r="C448" s="82">
        <f>_xlfn.LET(_xlpm.var,◆관리정보!C448,IF(_xlpm.var&lt;&gt;0,_xlpm.var,""))</f>
        <v>201</v>
      </c>
      <c r="D448" s="83"/>
      <c r="E448" s="84" t="str">
        <f t="shared" si="13"/>
        <v>제이드하우스201</v>
      </c>
      <c r="F448" s="87"/>
      <c r="G448" s="229"/>
      <c r="H448" s="229"/>
      <c r="I448" s="229"/>
      <c r="J448" s="229"/>
      <c r="K448" s="218"/>
      <c r="L448" s="87"/>
      <c r="M448" s="359"/>
      <c r="N448" s="82"/>
      <c r="O448" s="82"/>
      <c r="P448" s="241"/>
      <c r="Q448" s="241"/>
      <c r="R448" s="82"/>
      <c r="S448" s="241"/>
      <c r="T448" s="82"/>
      <c r="U448" s="241"/>
      <c r="V448" s="82"/>
      <c r="W448" s="88"/>
      <c r="X448" s="82"/>
      <c r="Y448" s="89"/>
      <c r="Z448" s="82"/>
      <c r="AA448" s="220" t="s">
        <v>1800</v>
      </c>
      <c r="AB448" s="241"/>
      <c r="AC448" s="241"/>
      <c r="AD448" s="241"/>
      <c r="AE448" s="82"/>
      <c r="AF448" s="82"/>
      <c r="AG448" s="90"/>
      <c r="AH448" s="90"/>
      <c r="AI448" s="90"/>
      <c r="AJ448" s="90"/>
      <c r="AK448" s="82"/>
      <c r="AL448" s="82" t="str" cm="1">
        <f t="array" aca="1" ref="AL448" ca="1">_xlfn.IFS(
 AND($AK448&lt;&gt;"", M448&lt;&gt;0, M448&lt;=EDATE(TODAY(),2)),"도래",
 AND($AK448&lt;&gt;"", M448&lt;&gt;0, M448&lt;=EDATE(TODAY(),3)),"예정",
 AND($AK448&lt;&gt;"", M448&lt;&gt;0, M448&lt;=EDATE(TODAY(),6)),"관심",
 TRUE,""
)</f>
        <v/>
      </c>
      <c r="AM448" s="198">
        <f t="shared" si="16"/>
        <v>0</v>
      </c>
    </row>
    <row r="449" spans="1:39" ht="18" customHeight="1">
      <c r="A449" s="81"/>
      <c r="B449" s="237" t="str">
        <f>_xlfn.LET(_xlpm.var,◆관리정보!B449,IF(_xlpm.var&lt;&gt;0,_xlpm.var,""))</f>
        <v>제이드하우스</v>
      </c>
      <c r="C449" s="238">
        <f>_xlfn.LET(_xlpm.var,◆관리정보!C449,IF(_xlpm.var&lt;&gt;0,_xlpm.var,""))</f>
        <v>202</v>
      </c>
      <c r="D449" s="239" t="s">
        <v>195</v>
      </c>
      <c r="E449" s="84" t="str">
        <f t="shared" si="13"/>
        <v>제이드하우스202</v>
      </c>
      <c r="F449" s="87"/>
      <c r="G449" s="229"/>
      <c r="H449" s="229"/>
      <c r="I449" s="229"/>
      <c r="J449" s="229"/>
      <c r="K449" s="218"/>
      <c r="L449" s="87"/>
      <c r="M449" s="359"/>
      <c r="N449" s="82"/>
      <c r="O449" s="82"/>
      <c r="P449" s="241"/>
      <c r="Q449" s="241"/>
      <c r="R449" s="82"/>
      <c r="S449" s="241"/>
      <c r="T449" s="82"/>
      <c r="U449" s="241"/>
      <c r="V449" s="82"/>
      <c r="W449" s="88"/>
      <c r="X449" s="82"/>
      <c r="Y449" s="89"/>
      <c r="Z449" s="82"/>
      <c r="AA449" s="220"/>
      <c r="AB449" s="241"/>
      <c r="AC449" s="241"/>
      <c r="AD449" s="241"/>
      <c r="AE449" s="82"/>
      <c r="AF449" s="82"/>
      <c r="AG449" s="90"/>
      <c r="AH449" s="90"/>
      <c r="AI449" s="90"/>
      <c r="AJ449" s="90"/>
      <c r="AK449" s="82"/>
      <c r="AL449" s="82" t="str" cm="1">
        <f t="array" aca="1" ref="AL449" ca="1">_xlfn.IFS(
 AND($AK449&lt;&gt;"", M449&lt;&gt;0, M449&lt;=EDATE(TODAY(),2)),"도래",
 AND($AK449&lt;&gt;"", M449&lt;&gt;0, M449&lt;=EDATE(TODAY(),3)),"예정",
 AND($AK449&lt;&gt;"", M449&lt;&gt;0, M449&lt;=EDATE(TODAY(),6)),"관심",
 TRUE,""
)</f>
        <v/>
      </c>
      <c r="AM449" s="198">
        <f t="shared" si="16"/>
        <v>0</v>
      </c>
    </row>
    <row r="450" spans="1:39" ht="18" customHeight="1">
      <c r="A450" s="81"/>
      <c r="B450" s="205" t="str">
        <f>_xlfn.LET(_xlpm.var,◆관리정보!B450,IF(_xlpm.var&lt;&gt;0,_xlpm.var,""))</f>
        <v>제이드하우스</v>
      </c>
      <c r="C450" s="82">
        <f>_xlfn.LET(_xlpm.var,◆관리정보!C450,IF(_xlpm.var&lt;&gt;0,_xlpm.var,""))</f>
        <v>203</v>
      </c>
      <c r="D450" s="83" t="s">
        <v>410</v>
      </c>
      <c r="E450" s="84" t="str">
        <f t="shared" si="13"/>
        <v>제이드하우스203</v>
      </c>
      <c r="F450" s="87">
        <v>46140</v>
      </c>
      <c r="G450" s="229"/>
      <c r="H450" s="229"/>
      <c r="I450" s="229"/>
      <c r="J450" s="229">
        <f>1862920-1500000-363000</f>
        <v>-80</v>
      </c>
      <c r="K450" s="218"/>
      <c r="L450" s="87">
        <v>45959</v>
      </c>
      <c r="M450" s="359">
        <v>46050</v>
      </c>
      <c r="N450" s="82" t="s">
        <v>411</v>
      </c>
      <c r="O450" s="82" t="s">
        <v>412</v>
      </c>
      <c r="P450" s="241">
        <v>1500000</v>
      </c>
      <c r="Q450" s="241">
        <v>1500000</v>
      </c>
      <c r="R450" s="82"/>
      <c r="S450" s="241">
        <v>120000</v>
      </c>
      <c r="T450" s="82" t="s">
        <v>40</v>
      </c>
      <c r="U450" s="241">
        <v>25000</v>
      </c>
      <c r="V450" s="82" t="s">
        <v>40</v>
      </c>
      <c r="W450" s="88">
        <v>25000</v>
      </c>
      <c r="X450" s="82" t="s">
        <v>40</v>
      </c>
      <c r="Y450" s="89"/>
      <c r="Z450" s="82"/>
      <c r="AA450" s="376" t="s">
        <v>1801</v>
      </c>
      <c r="AB450" s="241">
        <v>200000</v>
      </c>
      <c r="AC450" s="241">
        <v>165000</v>
      </c>
      <c r="AD450" s="241"/>
      <c r="AE450" s="82" t="s">
        <v>108</v>
      </c>
      <c r="AF450" s="82" t="s">
        <v>413</v>
      </c>
      <c r="AG450" s="90"/>
      <c r="AH450" s="90"/>
      <c r="AI450" s="90" t="s">
        <v>1802</v>
      </c>
      <c r="AJ450" s="90"/>
      <c r="AK450" s="82"/>
      <c r="AL450" s="82" t="str" cm="1">
        <f t="array" aca="1" ref="AL450" ca="1">_xlfn.IFS(
 AND($AK450&lt;&gt;"", M450&lt;&gt;0, M450&lt;=EDATE(TODAY(),2)),"도래",
 AND($AK450&lt;&gt;"", M450&lt;&gt;0, M450&lt;=EDATE(TODAY(),3)),"예정",
 AND($AK450&lt;&gt;"", M450&lt;&gt;0, M450&lt;=EDATE(TODAY(),6)),"관심",
 TRUE,""
)</f>
        <v/>
      </c>
      <c r="AM450" s="198">
        <f t="shared" si="16"/>
        <v>29</v>
      </c>
    </row>
    <row r="451" spans="1:39" ht="18" customHeight="1">
      <c r="A451" s="81"/>
      <c r="B451" s="205" t="str">
        <f>_xlfn.LET(_xlpm.var,◆관리정보!B451,IF(_xlpm.var&lt;&gt;0,_xlpm.var,""))</f>
        <v>제이드하우스</v>
      </c>
      <c r="C451" s="82">
        <f>_xlfn.LET(_xlpm.var,◆관리정보!C451,IF(_xlpm.var&lt;&gt;0,_xlpm.var,""))</f>
        <v>301</v>
      </c>
      <c r="D451" s="83"/>
      <c r="E451" s="84" t="str">
        <f t="shared" si="13"/>
        <v>제이드하우스301</v>
      </c>
      <c r="F451" s="87"/>
      <c r="G451" s="229"/>
      <c r="H451" s="229"/>
      <c r="I451" s="229"/>
      <c r="J451" s="229"/>
      <c r="K451" s="218"/>
      <c r="L451" s="87"/>
      <c r="M451" s="359"/>
      <c r="N451" s="82"/>
      <c r="O451" s="82"/>
      <c r="P451" s="241"/>
      <c r="Q451" s="241"/>
      <c r="R451" s="82"/>
      <c r="S451" s="241"/>
      <c r="T451" s="82"/>
      <c r="U451" s="241"/>
      <c r="V451" s="82"/>
      <c r="W451" s="88"/>
      <c r="X451" s="82"/>
      <c r="Y451" s="89"/>
      <c r="Z451" s="82"/>
      <c r="AA451" s="220"/>
      <c r="AB451" s="241"/>
      <c r="AC451" s="241"/>
      <c r="AD451" s="241"/>
      <c r="AE451" s="82"/>
      <c r="AF451" s="82"/>
      <c r="AG451" s="90"/>
      <c r="AH451" s="90"/>
      <c r="AI451" s="90"/>
      <c r="AJ451" s="90"/>
      <c r="AK451" s="82"/>
      <c r="AL451" s="82" t="str" cm="1">
        <f t="array" aca="1" ref="AL451" ca="1">_xlfn.IFS(
 AND($AK451&lt;&gt;"", M451&lt;&gt;0, M451&lt;=EDATE(TODAY(),2)),"도래",
 AND($AK451&lt;&gt;"", M451&lt;&gt;0, M451&lt;=EDATE(TODAY(),3)),"예정",
 AND($AK451&lt;&gt;"", M451&lt;&gt;0, M451&lt;=EDATE(TODAY(),6)),"관심",
 TRUE,""
)</f>
        <v/>
      </c>
      <c r="AM451" s="198">
        <f t="shared" si="16"/>
        <v>0</v>
      </c>
    </row>
    <row r="452" spans="1:39" ht="18" customHeight="1">
      <c r="A452" s="81"/>
      <c r="B452" s="205" t="str">
        <f>_xlfn.LET(_xlpm.var,◆관리정보!B452,IF(_xlpm.var&lt;&gt;0,_xlpm.var,""))</f>
        <v>제이드하우스</v>
      </c>
      <c r="C452" s="82">
        <f>_xlfn.LET(_xlpm.var,◆관리정보!C452,IF(_xlpm.var&lt;&gt;0,_xlpm.var,""))</f>
        <v>302</v>
      </c>
      <c r="D452" s="83" t="s">
        <v>1803</v>
      </c>
      <c r="E452" s="84" t="str">
        <f t="shared" ref="E452:E475" si="17">_xlfn.CONCAT(B452,C452)</f>
        <v>제이드하우스302</v>
      </c>
      <c r="F452" s="87">
        <v>46105</v>
      </c>
      <c r="G452" s="229"/>
      <c r="H452" s="229"/>
      <c r="I452" s="229"/>
      <c r="J452" s="229"/>
      <c r="K452" s="218"/>
      <c r="L452" s="87">
        <v>46015</v>
      </c>
      <c r="M452" s="359">
        <v>46104</v>
      </c>
      <c r="N452" s="82" t="s">
        <v>1804</v>
      </c>
      <c r="O452" s="82" t="s">
        <v>1805</v>
      </c>
      <c r="P452" s="241">
        <v>2350000</v>
      </c>
      <c r="Q452" s="241">
        <v>2350000</v>
      </c>
      <c r="R452" s="82"/>
      <c r="S452" s="241">
        <v>150000</v>
      </c>
      <c r="T452" s="82" t="s">
        <v>40</v>
      </c>
      <c r="U452" s="241">
        <v>35000</v>
      </c>
      <c r="V452" s="82" t="s">
        <v>40</v>
      </c>
      <c r="W452" s="88">
        <v>35000</v>
      </c>
      <c r="X452" s="82" t="s">
        <v>40</v>
      </c>
      <c r="Y452" s="89"/>
      <c r="Z452" s="82"/>
      <c r="AA452" s="220"/>
      <c r="AB452" s="241">
        <v>250000</v>
      </c>
      <c r="AC452" s="241">
        <v>275000</v>
      </c>
      <c r="AD452" s="241"/>
      <c r="AE452" s="82" t="s">
        <v>85</v>
      </c>
      <c r="AF452" s="82" t="s">
        <v>1133</v>
      </c>
      <c r="AG452" s="90"/>
      <c r="AH452" s="90"/>
      <c r="AI452" s="90"/>
      <c r="AJ452" s="90"/>
      <c r="AK452" s="82"/>
      <c r="AL452" s="82" t="str" cm="1">
        <f t="array" aca="1" ref="AL452" ca="1">_xlfn.IFS(
 AND($AK452&lt;&gt;"", M452&lt;&gt;0, M452&lt;=EDATE(TODAY(),2)),"도래",
 AND($AK452&lt;&gt;"", M452&lt;&gt;0, M452&lt;=EDATE(TODAY(),3)),"예정",
 AND($AK452&lt;&gt;"", M452&lt;&gt;0, M452&lt;=EDATE(TODAY(),6)),"관심",
 TRUE,""
)</f>
        <v/>
      </c>
      <c r="AM452" s="198">
        <f t="shared" si="16"/>
        <v>24</v>
      </c>
    </row>
    <row r="453" spans="1:39" ht="18" customHeight="1">
      <c r="A453" s="81"/>
      <c r="B453" s="205" t="str">
        <f>_xlfn.LET(_xlpm.var,◆관리정보!B453,IF(_xlpm.var&lt;&gt;0,_xlpm.var,""))</f>
        <v>제이드하우스</v>
      </c>
      <c r="C453" s="82">
        <f>_xlfn.LET(_xlpm.var,◆관리정보!C453,IF(_xlpm.var&lt;&gt;0,_xlpm.var,""))</f>
        <v>303</v>
      </c>
      <c r="D453" s="83"/>
      <c r="E453" s="84" t="str">
        <f t="shared" si="17"/>
        <v>제이드하우스303</v>
      </c>
      <c r="F453" s="87"/>
      <c r="G453" s="229"/>
      <c r="H453" s="229"/>
      <c r="I453" s="229"/>
      <c r="J453" s="229"/>
      <c r="K453" s="218"/>
      <c r="L453" s="87"/>
      <c r="M453" s="359"/>
      <c r="N453" s="82"/>
      <c r="O453" s="82"/>
      <c r="P453" s="241"/>
      <c r="Q453" s="241"/>
      <c r="R453" s="82"/>
      <c r="S453" s="241"/>
      <c r="T453" s="82"/>
      <c r="U453" s="241"/>
      <c r="V453" s="82"/>
      <c r="W453" s="88"/>
      <c r="X453" s="82"/>
      <c r="Y453" s="89"/>
      <c r="Z453" s="82"/>
      <c r="AA453" s="220"/>
      <c r="AB453" s="241"/>
      <c r="AC453" s="241"/>
      <c r="AD453" s="241"/>
      <c r="AE453" s="82"/>
      <c r="AF453" s="82"/>
      <c r="AG453" s="90"/>
      <c r="AH453" s="90"/>
      <c r="AI453" s="90"/>
      <c r="AJ453" s="90"/>
      <c r="AK453" s="82"/>
      <c r="AL453" s="82" t="str" cm="1">
        <f t="array" aca="1" ref="AL453" ca="1">_xlfn.IFS(
 AND($AK453&lt;&gt;"", M453&lt;&gt;0, M453&lt;=EDATE(TODAY(),2)),"도래",
 AND($AK453&lt;&gt;"", M453&lt;&gt;0, M453&lt;=EDATE(TODAY(),3)),"예정",
 AND($AK453&lt;&gt;"", M453&lt;&gt;0, M453&lt;=EDATE(TODAY(),6)),"관심",
 TRUE,""
)</f>
        <v/>
      </c>
      <c r="AM453" s="198">
        <f t="shared" si="16"/>
        <v>0</v>
      </c>
    </row>
    <row r="454" spans="1:39" ht="18" customHeight="1">
      <c r="A454" s="81"/>
      <c r="B454" s="205" t="str">
        <f>_xlfn.LET(_xlpm.var,◆관리정보!B454,IF(_xlpm.var&lt;&gt;0,_xlpm.var,""))</f>
        <v>제이드하우스</v>
      </c>
      <c r="C454" s="82">
        <f>_xlfn.LET(_xlpm.var,◆관리정보!C454,IF(_xlpm.var&lt;&gt;0,_xlpm.var,""))</f>
        <v>401</v>
      </c>
      <c r="D454" s="83"/>
      <c r="E454" s="84" t="str">
        <f t="shared" si="17"/>
        <v>제이드하우스401</v>
      </c>
      <c r="F454" s="87"/>
      <c r="G454" s="229"/>
      <c r="H454" s="229"/>
      <c r="I454" s="229"/>
      <c r="J454" s="229"/>
      <c r="K454" s="218"/>
      <c r="L454" s="87"/>
      <c r="M454" s="359"/>
      <c r="N454" s="82"/>
      <c r="O454" s="82"/>
      <c r="P454" s="241"/>
      <c r="Q454" s="241"/>
      <c r="R454" s="82"/>
      <c r="S454" s="241"/>
      <c r="T454" s="82"/>
      <c r="U454" s="241"/>
      <c r="V454" s="82"/>
      <c r="W454" s="88"/>
      <c r="X454" s="82"/>
      <c r="Y454" s="89"/>
      <c r="Z454" s="82"/>
      <c r="AA454" s="220"/>
      <c r="AB454" s="241"/>
      <c r="AC454" s="241"/>
      <c r="AD454" s="241"/>
      <c r="AE454" s="82"/>
      <c r="AF454" s="82"/>
      <c r="AG454" s="90"/>
      <c r="AH454" s="90"/>
      <c r="AI454" s="90" t="s">
        <v>1806</v>
      </c>
      <c r="AJ454" s="90"/>
      <c r="AK454" s="82"/>
      <c r="AL454" s="82" t="str" cm="1">
        <f t="array" aca="1" ref="AL454" ca="1">_xlfn.IFS(
 AND($AK454&lt;&gt;"", M454&lt;&gt;0, M454&lt;=EDATE(TODAY(),2)),"도래",
 AND($AK454&lt;&gt;"", M454&lt;&gt;0, M454&lt;=EDATE(TODAY(),3)),"예정",
 AND($AK454&lt;&gt;"", M454&lt;&gt;0, M454&lt;=EDATE(TODAY(),6)),"관심",
 TRUE,""
)</f>
        <v/>
      </c>
      <c r="AM454" s="198">
        <f t="shared" si="16"/>
        <v>0</v>
      </c>
    </row>
    <row r="455" spans="1:39" ht="18" customHeight="1">
      <c r="A455" s="81"/>
      <c r="B455" s="205" t="str">
        <f>_xlfn.LET(_xlpm.var,◆관리정보!B455,IF(_xlpm.var&lt;&gt;0,_xlpm.var,""))</f>
        <v>양지빌딩</v>
      </c>
      <c r="C455" s="82" t="str">
        <f>_xlfn.LET(_xlpm.var,◆관리정보!C455,IF(_xlpm.var&lt;&gt;0,_xlpm.var,""))</f>
        <v>B01</v>
      </c>
      <c r="D455" s="83" t="s">
        <v>1807</v>
      </c>
      <c r="E455" s="84" t="str">
        <f t="shared" si="17"/>
        <v>양지빌딩B01</v>
      </c>
      <c r="F455" s="87">
        <v>46112</v>
      </c>
      <c r="G455" s="229"/>
      <c r="H455" s="229"/>
      <c r="I455" s="229"/>
      <c r="J455" s="229"/>
      <c r="K455" s="218"/>
      <c r="L455" s="87">
        <v>45435</v>
      </c>
      <c r="M455" s="359">
        <v>45799</v>
      </c>
      <c r="N455" s="82" t="s">
        <v>1808</v>
      </c>
      <c r="O455" s="82" t="s">
        <v>1809</v>
      </c>
      <c r="P455" s="241">
        <v>30000000</v>
      </c>
      <c r="Q455" s="241">
        <v>2100000</v>
      </c>
      <c r="R455" s="82"/>
      <c r="S455" s="241">
        <v>200000</v>
      </c>
      <c r="T455" s="82" t="s">
        <v>40</v>
      </c>
      <c r="U455" s="241"/>
      <c r="V455" s="82"/>
      <c r="W455" s="88"/>
      <c r="X455" s="82"/>
      <c r="Y455" s="89"/>
      <c r="Z455" s="82"/>
      <c r="AA455" s="220"/>
      <c r="AB455" s="241"/>
      <c r="AC455" s="241"/>
      <c r="AD455" s="241"/>
      <c r="AE455" s="82"/>
      <c r="AF455" s="82"/>
      <c r="AG455" s="90"/>
      <c r="AH455" s="90"/>
      <c r="AI455" s="90" t="s">
        <v>1810</v>
      </c>
      <c r="AJ455" s="90"/>
      <c r="AK455" s="82" t="s">
        <v>47</v>
      </c>
      <c r="AL455" s="82" t="str" cm="1">
        <f t="array" aca="1" ref="AL455" ca="1">_xlfn.IFS(
 AND($AK455&lt;&gt;"", M455&lt;&gt;0, M455&lt;=EDATE(TODAY(),2)),"도래",
 AND($AK455&lt;&gt;"", M455&lt;&gt;0, M455&lt;=EDATE(TODAY(),3)),"예정",
 AND($AK455&lt;&gt;"", M455&lt;&gt;0, M455&lt;=EDATE(TODAY(),6)),"관심",
 TRUE,""
)</f>
        <v>도래</v>
      </c>
      <c r="AM455" s="198">
        <f t="shared" si="16"/>
        <v>23</v>
      </c>
    </row>
    <row r="456" spans="1:39" ht="18" customHeight="1">
      <c r="A456" s="81"/>
      <c r="B456" s="205" t="str">
        <f>_xlfn.LET(_xlpm.var,◆관리정보!B456,IF(_xlpm.var&lt;&gt;0,_xlpm.var,""))</f>
        <v>양지빌딩</v>
      </c>
      <c r="C456" s="82">
        <f>_xlfn.LET(_xlpm.var,◆관리정보!C456,IF(_xlpm.var&lt;&gt;0,_xlpm.var,""))</f>
        <v>101</v>
      </c>
      <c r="D456" s="83" t="s">
        <v>1811</v>
      </c>
      <c r="E456" s="84" t="str">
        <f t="shared" si="17"/>
        <v>양지빌딩101</v>
      </c>
      <c r="F456" s="87">
        <v>46112</v>
      </c>
      <c r="G456" s="229"/>
      <c r="H456" s="229"/>
      <c r="I456" s="229"/>
      <c r="J456" s="229"/>
      <c r="K456" s="218"/>
      <c r="L456" s="87">
        <v>43829</v>
      </c>
      <c r="M456" s="359">
        <v>44194</v>
      </c>
      <c r="N456" s="82" t="s">
        <v>1812</v>
      </c>
      <c r="O456" s="82" t="s">
        <v>1813</v>
      </c>
      <c r="P456" s="241">
        <v>10000000</v>
      </c>
      <c r="Q456" s="241">
        <v>1000000</v>
      </c>
      <c r="R456" s="82"/>
      <c r="S456" s="241">
        <v>80000</v>
      </c>
      <c r="T456" s="82" t="s">
        <v>157</v>
      </c>
      <c r="U456" s="241"/>
      <c r="V456" s="82"/>
      <c r="W456" s="88"/>
      <c r="X456" s="82"/>
      <c r="Y456" s="89"/>
      <c r="Z456" s="82"/>
      <c r="AA456" s="220"/>
      <c r="AB456" s="241"/>
      <c r="AC456" s="241"/>
      <c r="AD456" s="241"/>
      <c r="AE456" s="82"/>
      <c r="AF456" s="82"/>
      <c r="AG456" s="90"/>
      <c r="AH456" s="90"/>
      <c r="AI456" s="90" t="s">
        <v>1814</v>
      </c>
      <c r="AJ456" s="90"/>
      <c r="AK456" s="82" t="s">
        <v>47</v>
      </c>
      <c r="AL456" s="82" t="str" cm="1">
        <f t="array" aca="1" ref="AL456" ca="1">_xlfn.IFS(
 AND($AK456&lt;&gt;"", M456&lt;&gt;0, M456&lt;=EDATE(TODAY(),2)),"도래",
 AND($AK456&lt;&gt;"", M456&lt;&gt;0, M456&lt;=EDATE(TODAY(),3)),"예정",
 AND($AK456&lt;&gt;"", M456&lt;&gt;0, M456&lt;=EDATE(TODAY(),6)),"관심",
 TRUE,""
)</f>
        <v>도래</v>
      </c>
      <c r="AM456" s="198">
        <f t="shared" si="16"/>
        <v>30</v>
      </c>
    </row>
    <row r="457" spans="1:39" ht="18" customHeight="1">
      <c r="A457" s="81"/>
      <c r="B457" s="205" t="str">
        <f>_xlfn.LET(_xlpm.var,◆관리정보!B457,IF(_xlpm.var&lt;&gt;0,_xlpm.var,""))</f>
        <v>양지빌딩</v>
      </c>
      <c r="C457" s="82">
        <f>_xlfn.LET(_xlpm.var,◆관리정보!C457,IF(_xlpm.var&lt;&gt;0,_xlpm.var,""))</f>
        <v>102</v>
      </c>
      <c r="D457" s="83" t="s">
        <v>1815</v>
      </c>
      <c r="E457" s="84" t="str">
        <f t="shared" si="17"/>
        <v>양지빌딩102</v>
      </c>
      <c r="F457" s="87">
        <v>46109</v>
      </c>
      <c r="G457" s="229"/>
      <c r="H457" s="229"/>
      <c r="I457" s="307"/>
      <c r="J457" s="229"/>
      <c r="K457" s="218"/>
      <c r="L457" s="87">
        <v>45838</v>
      </c>
      <c r="M457" s="359">
        <v>46203</v>
      </c>
      <c r="N457" s="82" t="s">
        <v>1816</v>
      </c>
      <c r="O457" s="82" t="s">
        <v>1817</v>
      </c>
      <c r="P457" s="241">
        <v>20000000</v>
      </c>
      <c r="Q457" s="241">
        <v>1300000</v>
      </c>
      <c r="R457" s="82"/>
      <c r="S457" s="241">
        <v>100000</v>
      </c>
      <c r="T457" s="82" t="s">
        <v>157</v>
      </c>
      <c r="U457" s="241"/>
      <c r="V457" s="82"/>
      <c r="W457" s="88"/>
      <c r="X457" s="82"/>
      <c r="Y457" s="89"/>
      <c r="Z457" s="82"/>
      <c r="AA457" s="220"/>
      <c r="AB457" s="241"/>
      <c r="AC457" s="241"/>
      <c r="AD457" s="241"/>
      <c r="AE457" s="82"/>
      <c r="AF457" s="82"/>
      <c r="AG457" s="90"/>
      <c r="AH457" s="90"/>
      <c r="AI457" s="90" t="s">
        <v>1818</v>
      </c>
      <c r="AJ457" s="90"/>
      <c r="AK457" s="82" t="s">
        <v>47</v>
      </c>
      <c r="AL457" s="82" t="str" cm="1">
        <f t="array" aca="1" ref="AL457" ca="1">_xlfn.IFS(
 AND($AK457&lt;&gt;"", M457&lt;&gt;0, M457&lt;=EDATE(TODAY(),2)),"도래",
 AND($AK457&lt;&gt;"", M457&lt;&gt;0, M457&lt;=EDATE(TODAY(),3)),"예정",
 AND($AK457&lt;&gt;"", M457&lt;&gt;0, M457&lt;=EDATE(TODAY(),6)),"관심",
 TRUE,""
)</f>
        <v>관심</v>
      </c>
      <c r="AM457" s="198">
        <f t="shared" si="16"/>
        <v>30</v>
      </c>
    </row>
    <row r="458" spans="1:39" ht="18" customHeight="1">
      <c r="A458" s="81"/>
      <c r="B458" s="205" t="str">
        <f>_xlfn.LET(_xlpm.var,◆관리정보!B458,IF(_xlpm.var&lt;&gt;0,_xlpm.var,""))</f>
        <v>양지빌딩</v>
      </c>
      <c r="C458" s="82">
        <f>_xlfn.LET(_xlpm.var,◆관리정보!C458,IF(_xlpm.var&lt;&gt;0,_xlpm.var,""))</f>
        <v>103</v>
      </c>
      <c r="D458" s="83" t="s">
        <v>1819</v>
      </c>
      <c r="E458" s="84" t="str">
        <f t="shared" si="17"/>
        <v>양지빌딩103</v>
      </c>
      <c r="F458" s="87">
        <v>46109</v>
      </c>
      <c r="G458" s="229"/>
      <c r="H458" s="229"/>
      <c r="I458" s="307"/>
      <c r="J458" s="229"/>
      <c r="K458" s="218"/>
      <c r="L458" s="87">
        <v>44711</v>
      </c>
      <c r="M458" s="359">
        <v>45442</v>
      </c>
      <c r="N458" s="82" t="s">
        <v>1820</v>
      </c>
      <c r="O458" s="82" t="s">
        <v>1821</v>
      </c>
      <c r="P458" s="241">
        <v>20000000</v>
      </c>
      <c r="Q458" s="241">
        <v>2300000</v>
      </c>
      <c r="R458" s="82"/>
      <c r="S458" s="241">
        <v>200000</v>
      </c>
      <c r="T458" s="82" t="s">
        <v>157</v>
      </c>
      <c r="U458" s="241"/>
      <c r="V458" s="82"/>
      <c r="W458" s="88"/>
      <c r="X458" s="82"/>
      <c r="Y458" s="89"/>
      <c r="Z458" s="82"/>
      <c r="AA458" s="220"/>
      <c r="AB458" s="241"/>
      <c r="AC458" s="241"/>
      <c r="AD458" s="241"/>
      <c r="AE458" s="82"/>
      <c r="AF458" s="82"/>
      <c r="AG458" s="90"/>
      <c r="AH458" s="90"/>
      <c r="AI458" s="90" t="s">
        <v>1818</v>
      </c>
      <c r="AJ458" s="90"/>
      <c r="AK458" s="82" t="s">
        <v>47</v>
      </c>
      <c r="AL458" s="82" t="str" cm="1">
        <f t="array" aca="1" ref="AL458" ca="1">_xlfn.IFS(
 AND($AK458&lt;&gt;"", M458&lt;&gt;0, M458&lt;=EDATE(TODAY(),2)),"도래",
 AND($AK458&lt;&gt;"", M458&lt;&gt;0, M458&lt;=EDATE(TODAY(),3)),"예정",
 AND($AK458&lt;&gt;"", M458&lt;&gt;0, M458&lt;=EDATE(TODAY(),6)),"관심",
 TRUE,""
)</f>
        <v>도래</v>
      </c>
      <c r="AM458" s="198">
        <f t="shared" si="16"/>
        <v>30</v>
      </c>
    </row>
    <row r="459" spans="1:39" ht="18" customHeight="1">
      <c r="A459" s="81"/>
      <c r="B459" s="343" t="str">
        <f>_xlfn.LET(_xlpm.var,◆관리정보!B459,IF(_xlpm.var&lt;&gt;0,_xlpm.var,""))</f>
        <v>양지빌딩</v>
      </c>
      <c r="C459" s="344">
        <f>_xlfn.LET(_xlpm.var,◆관리정보!C459,IF(_xlpm.var&lt;&gt;0,_xlpm.var,""))</f>
        <v>201</v>
      </c>
      <c r="D459" s="345" t="s">
        <v>1822</v>
      </c>
      <c r="E459" s="84" t="str">
        <f t="shared" si="17"/>
        <v>양지빌딩201</v>
      </c>
      <c r="F459" s="87">
        <v>46109</v>
      </c>
      <c r="G459" s="229"/>
      <c r="H459" s="229"/>
      <c r="I459" s="229"/>
      <c r="J459" s="229"/>
      <c r="K459" s="218"/>
      <c r="L459" s="87">
        <v>44796</v>
      </c>
      <c r="M459" s="359">
        <v>45526</v>
      </c>
      <c r="N459" s="82" t="s">
        <v>1823</v>
      </c>
      <c r="O459" s="82" t="s">
        <v>1824</v>
      </c>
      <c r="P459" s="241">
        <v>30000000</v>
      </c>
      <c r="Q459" s="241">
        <v>1100000</v>
      </c>
      <c r="R459" s="82"/>
      <c r="S459" s="241">
        <v>130000</v>
      </c>
      <c r="T459" s="82" t="s">
        <v>157</v>
      </c>
      <c r="U459" s="241"/>
      <c r="V459" s="82"/>
      <c r="W459" s="88"/>
      <c r="X459" s="82"/>
      <c r="Y459" s="89"/>
      <c r="Z459" s="82"/>
      <c r="AA459" s="220"/>
      <c r="AB459" s="241"/>
      <c r="AC459" s="241"/>
      <c r="AD459" s="241"/>
      <c r="AE459" s="82"/>
      <c r="AF459" s="82"/>
      <c r="AG459" s="90"/>
      <c r="AH459" s="90"/>
      <c r="AI459" s="90" t="s">
        <v>1825</v>
      </c>
      <c r="AJ459" s="90"/>
      <c r="AK459" s="82" t="s">
        <v>47</v>
      </c>
      <c r="AL459" s="82" t="str" cm="1">
        <f t="array" aca="1" ref="AL459" ca="1">_xlfn.IFS(
 AND($AK459&lt;&gt;"", M459&lt;&gt;0, M459&lt;=EDATE(TODAY(),2)),"도래",
 AND($AK459&lt;&gt;"", M459&lt;&gt;0, M459&lt;=EDATE(TODAY(),3)),"예정",
 AND($AK459&lt;&gt;"", M459&lt;&gt;0, M459&lt;=EDATE(TODAY(),6)),"관심",
 TRUE,""
)</f>
        <v>도래</v>
      </c>
      <c r="AM459" s="198">
        <f t="shared" si="16"/>
        <v>23</v>
      </c>
    </row>
    <row r="460" spans="1:39" ht="18" customHeight="1">
      <c r="A460" s="81"/>
      <c r="B460" s="205" t="str">
        <f>_xlfn.LET(_xlpm.var,◆관리정보!B460,IF(_xlpm.var&lt;&gt;0,_xlpm.var,""))</f>
        <v>양지빌딩</v>
      </c>
      <c r="C460" s="82">
        <f>_xlfn.LET(_xlpm.var,◆관리정보!C460,IF(_xlpm.var&lt;&gt;0,_xlpm.var,""))</f>
        <v>202</v>
      </c>
      <c r="D460" s="83" t="s">
        <v>1826</v>
      </c>
      <c r="E460" s="84" t="str">
        <f t="shared" si="17"/>
        <v>양지빌딩202</v>
      </c>
      <c r="F460" s="87">
        <v>46112</v>
      </c>
      <c r="G460" s="229"/>
      <c r="H460" s="229"/>
      <c r="I460" s="229"/>
      <c r="J460" s="229"/>
      <c r="K460" s="218"/>
      <c r="L460" s="87">
        <v>44984</v>
      </c>
      <c r="M460" s="359">
        <v>45348</v>
      </c>
      <c r="N460" s="82" t="s">
        <v>1827</v>
      </c>
      <c r="O460" s="82" t="s">
        <v>1828</v>
      </c>
      <c r="P460" s="241">
        <v>35000000</v>
      </c>
      <c r="Q460" s="241">
        <v>1800000</v>
      </c>
      <c r="R460" s="82"/>
      <c r="S460" s="241">
        <v>200000</v>
      </c>
      <c r="T460" s="82" t="s">
        <v>157</v>
      </c>
      <c r="U460" s="241"/>
      <c r="V460" s="82"/>
      <c r="W460" s="88"/>
      <c r="X460" s="82"/>
      <c r="Y460" s="89"/>
      <c r="Z460" s="82"/>
      <c r="AA460" s="220"/>
      <c r="AB460" s="241"/>
      <c r="AC460" s="241"/>
      <c r="AD460" s="241"/>
      <c r="AE460" s="82"/>
      <c r="AF460" s="82"/>
      <c r="AG460" s="90"/>
      <c r="AH460" s="90"/>
      <c r="AI460" s="90" t="s">
        <v>1829</v>
      </c>
      <c r="AJ460" s="90"/>
      <c r="AK460" s="82" t="s">
        <v>47</v>
      </c>
      <c r="AL460" s="82" t="str" cm="1">
        <f t="array" aca="1" ref="AL460" ca="1">_xlfn.IFS(
 AND($AK460&lt;&gt;"", M460&lt;&gt;0, M460&lt;=EDATE(TODAY(),2)),"도래",
 AND($AK460&lt;&gt;"", M460&lt;&gt;0, M460&lt;=EDATE(TODAY(),3)),"예정",
 AND($AK460&lt;&gt;"", M460&lt;&gt;0, M460&lt;=EDATE(TODAY(),6)),"관심",
 TRUE,""
)</f>
        <v>도래</v>
      </c>
      <c r="AM460" s="198">
        <f t="shared" si="16"/>
        <v>27</v>
      </c>
    </row>
    <row r="461" spans="1:39" ht="18" customHeight="1">
      <c r="A461" s="81"/>
      <c r="B461" s="205" t="str">
        <f>_xlfn.LET(_xlpm.var,◆관리정보!B461,IF(_xlpm.var&lt;&gt;0,_xlpm.var,""))</f>
        <v>양지빌딩</v>
      </c>
      <c r="C461" s="82">
        <f>_xlfn.LET(_xlpm.var,◆관리정보!C461,IF(_xlpm.var&lt;&gt;0,_xlpm.var,""))</f>
        <v>301</v>
      </c>
      <c r="D461" s="83" t="s">
        <v>1830</v>
      </c>
      <c r="E461" s="84" t="str">
        <f t="shared" si="17"/>
        <v>양지빌딩301</v>
      </c>
      <c r="F461" s="87">
        <v>46127</v>
      </c>
      <c r="G461" s="229"/>
      <c r="H461" s="229"/>
      <c r="I461" s="229"/>
      <c r="J461" s="229"/>
      <c r="K461" s="218"/>
      <c r="L461" s="87">
        <v>44545</v>
      </c>
      <c r="M461" s="359">
        <v>45274</v>
      </c>
      <c r="N461" s="82" t="s">
        <v>1831</v>
      </c>
      <c r="O461" s="82" t="s">
        <v>1832</v>
      </c>
      <c r="P461" s="241">
        <v>20000000</v>
      </c>
      <c r="Q461" s="241">
        <v>2000000</v>
      </c>
      <c r="R461" s="82" t="s">
        <v>1818</v>
      </c>
      <c r="S461" s="241">
        <v>200000</v>
      </c>
      <c r="T461" s="82" t="s">
        <v>40</v>
      </c>
      <c r="U461" s="241"/>
      <c r="V461" s="82"/>
      <c r="W461" s="88"/>
      <c r="X461" s="82"/>
      <c r="Y461" s="89"/>
      <c r="Z461" s="82"/>
      <c r="AA461" s="220"/>
      <c r="AB461" s="241"/>
      <c r="AC461" s="241"/>
      <c r="AD461" s="241"/>
      <c r="AE461" s="82"/>
      <c r="AF461" s="82"/>
      <c r="AG461" s="90"/>
      <c r="AH461" s="90"/>
      <c r="AI461" s="333" t="s">
        <v>1833</v>
      </c>
      <c r="AJ461" s="90"/>
      <c r="AK461" s="82" t="s">
        <v>47</v>
      </c>
      <c r="AL461" s="82" t="str" cm="1">
        <f t="array" aca="1" ref="AL461" ca="1">_xlfn.IFS(
 AND($AK461&lt;&gt;"", M461&lt;&gt;0, M461&lt;=EDATE(TODAY(),2)),"도래",
 AND($AK461&lt;&gt;"", M461&lt;&gt;0, M461&lt;=EDATE(TODAY(),3)),"예정",
 AND($AK461&lt;&gt;"", M461&lt;&gt;0, M461&lt;=EDATE(TODAY(),6)),"관심",
 TRUE,""
)</f>
        <v>도래</v>
      </c>
      <c r="AM461" s="198">
        <f t="shared" si="16"/>
        <v>15</v>
      </c>
    </row>
    <row r="462" spans="1:39" ht="18" customHeight="1">
      <c r="A462" s="81"/>
      <c r="B462" s="205" t="str">
        <f>_xlfn.LET(_xlpm.var,◆관리정보!B462,IF(_xlpm.var&lt;&gt;0,_xlpm.var,""))</f>
        <v>양지빌딩</v>
      </c>
      <c r="C462" s="82">
        <f>_xlfn.LET(_xlpm.var,◆관리정보!C462,IF(_xlpm.var&lt;&gt;0,_xlpm.var,""))</f>
        <v>401</v>
      </c>
      <c r="D462" s="83" t="s">
        <v>1834</v>
      </c>
      <c r="E462" s="84" t="str">
        <f t="shared" si="17"/>
        <v>양지빌딩401</v>
      </c>
      <c r="F462" s="87">
        <v>46112</v>
      </c>
      <c r="G462" s="229"/>
      <c r="H462" s="229"/>
      <c r="I462" s="229"/>
      <c r="J462" s="229"/>
      <c r="K462" s="218"/>
      <c r="L462" s="87">
        <v>44711</v>
      </c>
      <c r="M462" s="359">
        <v>45441</v>
      </c>
      <c r="N462" s="82" t="s">
        <v>1835</v>
      </c>
      <c r="O462" s="82" t="s">
        <v>1836</v>
      </c>
      <c r="P462" s="241">
        <v>20000000</v>
      </c>
      <c r="Q462" s="241">
        <v>1800000</v>
      </c>
      <c r="R462" s="82"/>
      <c r="S462" s="241">
        <v>260000</v>
      </c>
      <c r="T462" s="82" t="s">
        <v>40</v>
      </c>
      <c r="U462" s="241"/>
      <c r="V462" s="82"/>
      <c r="W462" s="88"/>
      <c r="X462" s="82"/>
      <c r="Y462" s="89"/>
      <c r="Z462" s="82"/>
      <c r="AA462" s="220"/>
      <c r="AB462" s="241"/>
      <c r="AC462" s="241"/>
      <c r="AD462" s="241"/>
      <c r="AE462" s="82"/>
      <c r="AF462" s="82"/>
      <c r="AG462" s="90"/>
      <c r="AH462" s="90"/>
      <c r="AI462" s="90" t="s">
        <v>1818</v>
      </c>
      <c r="AJ462" s="90"/>
      <c r="AK462" s="82" t="s">
        <v>47</v>
      </c>
      <c r="AL462" s="82" t="str" cm="1">
        <f t="array" aca="1" ref="AL462" ca="1">_xlfn.IFS(
 AND($AK462&lt;&gt;"", M462&lt;&gt;0, M462&lt;=EDATE(TODAY(),2)),"도래",
 AND($AK462&lt;&gt;"", M462&lt;&gt;0, M462&lt;=EDATE(TODAY(),3)),"예정",
 AND($AK462&lt;&gt;"", M462&lt;&gt;0, M462&lt;=EDATE(TODAY(),6)),"관심",
 TRUE,""
)</f>
        <v>도래</v>
      </c>
      <c r="AM462" s="198">
        <f t="shared" si="16"/>
        <v>30</v>
      </c>
    </row>
    <row r="463" spans="1:39" ht="18" customHeight="1">
      <c r="A463" s="81"/>
      <c r="B463" s="237" t="str">
        <f>_xlfn.LET(_xlpm.var,◆관리정보!B463,IF(_xlpm.var&lt;&gt;0,_xlpm.var,""))</f>
        <v>상건빌딩</v>
      </c>
      <c r="C463" s="238" t="str">
        <f>_xlfn.LET(_xlpm.var,◆관리정보!C463,IF(_xlpm.var&lt;&gt;0,_xlpm.var,""))</f>
        <v>B01</v>
      </c>
      <c r="D463" s="239" t="s">
        <v>1837</v>
      </c>
      <c r="E463" s="84" t="str">
        <f t="shared" si="17"/>
        <v>상건빌딩B01</v>
      </c>
      <c r="F463" s="87"/>
      <c r="G463" s="229"/>
      <c r="H463" s="229"/>
      <c r="I463" s="229"/>
      <c r="J463" s="229"/>
      <c r="K463" s="218"/>
      <c r="L463" s="87"/>
      <c r="M463" s="87"/>
      <c r="N463" s="82"/>
      <c r="O463" s="82"/>
      <c r="P463" s="241"/>
      <c r="Q463" s="241"/>
      <c r="R463" s="82"/>
      <c r="S463" s="241"/>
      <c r="T463" s="82"/>
      <c r="U463" s="241"/>
      <c r="V463" s="82"/>
      <c r="W463" s="88"/>
      <c r="X463" s="82"/>
      <c r="Y463" s="89"/>
      <c r="Z463" s="82"/>
      <c r="AA463" s="220"/>
      <c r="AB463" s="241"/>
      <c r="AC463" s="241"/>
      <c r="AD463" s="241"/>
      <c r="AE463" s="82"/>
      <c r="AF463" s="82"/>
      <c r="AG463" s="90"/>
      <c r="AH463" s="90"/>
      <c r="AI463" s="90"/>
      <c r="AJ463" s="90"/>
      <c r="AK463" s="82" t="s">
        <v>47</v>
      </c>
      <c r="AL463" s="82" t="str" cm="1">
        <f t="array" aca="1" ref="AL463" ca="1">_xlfn.IFS(
 AND($AK463&lt;&gt;"", M463&lt;&gt;0, M463&lt;=EDATE(TODAY(),2)),"도래",
 AND($AK463&lt;&gt;"", M463&lt;&gt;0, M463&lt;=EDATE(TODAY(),3)),"예정",
 AND($AK463&lt;&gt;"", M463&lt;&gt;0, M463&lt;=EDATE(TODAY(),6)),"관심",
 TRUE,""
)</f>
        <v/>
      </c>
      <c r="AM463" s="198">
        <f t="shared" si="16"/>
        <v>0</v>
      </c>
    </row>
    <row r="464" spans="1:39" ht="18" customHeight="1">
      <c r="A464" s="81"/>
      <c r="B464" s="205" t="str">
        <f>_xlfn.LET(_xlpm.var,◆관리정보!B464,IF(_xlpm.var&lt;&gt;0,_xlpm.var,""))</f>
        <v>상건빌딩</v>
      </c>
      <c r="C464" s="82">
        <f>_xlfn.LET(_xlpm.var,◆관리정보!C464,IF(_xlpm.var&lt;&gt;0,_xlpm.var,""))</f>
        <v>101</v>
      </c>
      <c r="D464" s="83" t="s">
        <v>1838</v>
      </c>
      <c r="E464" s="84" t="str">
        <f t="shared" si="17"/>
        <v>상건빌딩101</v>
      </c>
      <c r="F464" s="87">
        <v>46053</v>
      </c>
      <c r="G464" s="229">
        <f>12916000-4000000</f>
        <v>8916000</v>
      </c>
      <c r="H464" s="229"/>
      <c r="I464" s="229">
        <f>12374000+299000</f>
        <v>12673000</v>
      </c>
      <c r="J464" s="229"/>
      <c r="K464" s="218"/>
      <c r="L464" s="87">
        <v>45092</v>
      </c>
      <c r="M464" s="87">
        <v>46918</v>
      </c>
      <c r="N464" s="82" t="s">
        <v>1839</v>
      </c>
      <c r="O464" s="82" t="s">
        <v>1840</v>
      </c>
      <c r="P464" s="241">
        <v>100000000</v>
      </c>
      <c r="Q464" s="241">
        <v>11020000</v>
      </c>
      <c r="R464" s="82" t="s">
        <v>1818</v>
      </c>
      <c r="S464" s="241">
        <v>220000</v>
      </c>
      <c r="T464" s="82" t="s">
        <v>157</v>
      </c>
      <c r="U464" s="241"/>
      <c r="V464" s="82"/>
      <c r="W464" s="88"/>
      <c r="X464" s="82"/>
      <c r="Y464" s="89"/>
      <c r="Z464" s="82"/>
      <c r="AA464" s="220"/>
      <c r="AB464" s="241"/>
      <c r="AC464" s="241"/>
      <c r="AD464" s="241"/>
      <c r="AE464" s="82"/>
      <c r="AF464" s="82"/>
      <c r="AG464" s="90"/>
      <c r="AH464" s="90"/>
      <c r="AI464" s="90" t="s">
        <v>1841</v>
      </c>
      <c r="AJ464" s="90"/>
      <c r="AK464" s="82" t="s">
        <v>47</v>
      </c>
      <c r="AL464" s="82" t="str" cm="1">
        <f t="array" aca="1" ref="AL464" ca="1">_xlfn.IFS(
 AND($AK464&lt;&gt;"", M464&lt;&gt;0, M464&lt;=EDATE(TODAY(),2)),"도래",
 AND($AK464&lt;&gt;"", M464&lt;&gt;0, M464&lt;=EDATE(TODAY(),3)),"예정",
 AND($AK464&lt;&gt;"", M464&lt;&gt;0, M464&lt;=EDATE(TODAY(),6)),"관심",
 TRUE,""
)</f>
        <v/>
      </c>
      <c r="AM464" s="198">
        <f t="shared" si="16"/>
        <v>15</v>
      </c>
    </row>
    <row r="465" spans="1:39" ht="18" customHeight="1">
      <c r="A465" s="81"/>
      <c r="B465" s="205" t="str">
        <f>_xlfn.LET(_xlpm.var,◆관리정보!B465,IF(_xlpm.var&lt;&gt;0,_xlpm.var,""))</f>
        <v>상건빌딩</v>
      </c>
      <c r="C465" s="82">
        <f>_xlfn.LET(_xlpm.var,◆관리정보!C465,IF(_xlpm.var&lt;&gt;0,_xlpm.var,""))</f>
        <v>102</v>
      </c>
      <c r="D465" s="83" t="s">
        <v>1842</v>
      </c>
      <c r="E465" s="84" t="str">
        <f t="shared" si="17"/>
        <v>상건빌딩102</v>
      </c>
      <c r="F465" s="87">
        <v>46112</v>
      </c>
      <c r="G465" s="229"/>
      <c r="H465" s="229"/>
      <c r="I465" s="229"/>
      <c r="J465" s="229"/>
      <c r="K465" s="218"/>
      <c r="L465" s="87">
        <v>43617</v>
      </c>
      <c r="M465" s="87">
        <v>47118</v>
      </c>
      <c r="N465" s="82" t="s">
        <v>1843</v>
      </c>
      <c r="O465" s="82" t="s">
        <v>1844</v>
      </c>
      <c r="P465" s="241">
        <v>64000000</v>
      </c>
      <c r="Q465" s="241">
        <v>3850000</v>
      </c>
      <c r="R465" s="82" t="s">
        <v>1818</v>
      </c>
      <c r="S465" s="241">
        <v>60000</v>
      </c>
      <c r="T465" s="82" t="s">
        <v>157</v>
      </c>
      <c r="U465" s="241"/>
      <c r="V465" s="82"/>
      <c r="W465" s="88"/>
      <c r="X465" s="82"/>
      <c r="Y465" s="89"/>
      <c r="Z465" s="82"/>
      <c r="AA465" s="220"/>
      <c r="AB465" s="241"/>
      <c r="AC465" s="241"/>
      <c r="AD465" s="241"/>
      <c r="AE465" s="82"/>
      <c r="AF465" s="82"/>
      <c r="AG465" s="90"/>
      <c r="AH465" s="90"/>
      <c r="AI465" s="90"/>
      <c r="AJ465" s="90"/>
      <c r="AK465" s="82" t="s">
        <v>47</v>
      </c>
      <c r="AL465" s="82" t="str" cm="1">
        <f t="array" aca="1" ref="AL465" ca="1">_xlfn.IFS(
 AND($AK465&lt;&gt;"", M465&lt;&gt;0, M465&lt;=EDATE(TODAY(),2)),"도래",
 AND($AK465&lt;&gt;"", M465&lt;&gt;0, M465&lt;=EDATE(TODAY(),3)),"예정",
 AND($AK465&lt;&gt;"", M465&lt;&gt;0, M465&lt;=EDATE(TODAY(),6)),"관심",
 TRUE,""
)</f>
        <v/>
      </c>
      <c r="AM465" s="198">
        <f t="shared" si="16"/>
        <v>1</v>
      </c>
    </row>
    <row r="466" spans="1:39" ht="18" customHeight="1">
      <c r="A466" s="81"/>
      <c r="B466" s="205" t="str">
        <f>_xlfn.LET(_xlpm.var,◆관리정보!B466,IF(_xlpm.var&lt;&gt;0,_xlpm.var,""))</f>
        <v>상건빌딩</v>
      </c>
      <c r="C466" s="82">
        <f>_xlfn.LET(_xlpm.var,◆관리정보!C466,IF(_xlpm.var&lt;&gt;0,_xlpm.var,""))</f>
        <v>103</v>
      </c>
      <c r="D466" s="83" t="s">
        <v>1845</v>
      </c>
      <c r="E466" s="84" t="str">
        <f t="shared" si="17"/>
        <v>상건빌딩103</v>
      </c>
      <c r="F466" s="87">
        <v>45658</v>
      </c>
      <c r="G466" s="229">
        <f>70545650</f>
        <v>70545650</v>
      </c>
      <c r="H466" s="229"/>
      <c r="I466" s="229">
        <f>26012000+3521000-29576000</f>
        <v>-43000</v>
      </c>
      <c r="J466" s="229"/>
      <c r="K466" s="218"/>
      <c r="L466" s="87">
        <v>44666</v>
      </c>
      <c r="M466" s="87">
        <v>46387</v>
      </c>
      <c r="N466" s="82" t="s">
        <v>1846</v>
      </c>
      <c r="O466" s="82" t="s">
        <v>1840</v>
      </c>
      <c r="P466" s="241">
        <v>150000000</v>
      </c>
      <c r="Q466" s="241">
        <v>23100000</v>
      </c>
      <c r="R466" s="82" t="s">
        <v>1818</v>
      </c>
      <c r="S466" s="241">
        <v>250000</v>
      </c>
      <c r="T466" s="82" t="s">
        <v>157</v>
      </c>
      <c r="U466" s="241"/>
      <c r="V466" s="82"/>
      <c r="W466" s="88"/>
      <c r="X466" s="82"/>
      <c r="Y466" s="89"/>
      <c r="Z466" s="82"/>
      <c r="AA466" s="220"/>
      <c r="AB466" s="241"/>
      <c r="AC466" s="241"/>
      <c r="AD466" s="241"/>
      <c r="AE466" s="82"/>
      <c r="AF466" s="82"/>
      <c r="AG466" s="90"/>
      <c r="AH466" s="90"/>
      <c r="AI466" s="90" t="s">
        <v>1847</v>
      </c>
      <c r="AJ466" s="90"/>
      <c r="AK466" s="82" t="s">
        <v>47</v>
      </c>
      <c r="AL466" s="82" t="str" cm="1">
        <f t="array" aca="1" ref="AL466" ca="1">_xlfn.IFS(
 AND($AK466&lt;&gt;"", M466&lt;&gt;0, M466&lt;=EDATE(TODAY(),2)),"도래",
 AND($AK466&lt;&gt;"", M466&lt;&gt;0, M466&lt;=EDATE(TODAY(),3)),"예정",
 AND($AK466&lt;&gt;"", M466&lt;&gt;0, M466&lt;=EDATE(TODAY(),6)),"관심",
 TRUE,""
)</f>
        <v/>
      </c>
      <c r="AM466" s="198">
        <f t="shared" si="16"/>
        <v>15</v>
      </c>
    </row>
    <row r="467" spans="1:39" ht="18" customHeight="1">
      <c r="A467" s="81"/>
      <c r="B467" s="205" t="str">
        <f>_xlfn.LET(_xlpm.var,◆관리정보!B467,IF(_xlpm.var&lt;&gt;0,_xlpm.var,""))</f>
        <v>상건빌딩</v>
      </c>
      <c r="C467" s="82">
        <f>_xlfn.LET(_xlpm.var,◆관리정보!C467,IF(_xlpm.var&lt;&gt;0,_xlpm.var,""))</f>
        <v>104</v>
      </c>
      <c r="D467" s="83" t="s">
        <v>1848</v>
      </c>
      <c r="E467" s="84" t="str">
        <f t="shared" si="17"/>
        <v>상건빌딩104</v>
      </c>
      <c r="F467" s="87">
        <v>46112</v>
      </c>
      <c r="G467" s="229"/>
      <c r="H467" s="229"/>
      <c r="I467" s="229">
        <f>5620000-5500000+507000-110000-507000-10000</f>
        <v>0</v>
      </c>
      <c r="J467" s="229"/>
      <c r="K467" s="218"/>
      <c r="L467" s="87">
        <v>45931</v>
      </c>
      <c r="M467" s="87">
        <v>46752</v>
      </c>
      <c r="N467" s="82" t="s">
        <v>1849</v>
      </c>
      <c r="O467" s="82" t="s">
        <v>1850</v>
      </c>
      <c r="P467" s="241">
        <v>70000000</v>
      </c>
      <c r="Q467" s="241">
        <v>5000000</v>
      </c>
      <c r="R467" s="82" t="s">
        <v>1818</v>
      </c>
      <c r="S467" s="241">
        <v>100000</v>
      </c>
      <c r="T467" s="82" t="s">
        <v>157</v>
      </c>
      <c r="U467" s="241"/>
      <c r="V467" s="82"/>
      <c r="W467" s="88"/>
      <c r="X467" s="82"/>
      <c r="Y467" s="89"/>
      <c r="Z467" s="82"/>
      <c r="AA467" s="220"/>
      <c r="AB467" s="241"/>
      <c r="AC467" s="241"/>
      <c r="AD467" s="241"/>
      <c r="AE467" s="82"/>
      <c r="AF467" s="82"/>
      <c r="AG467" s="90"/>
      <c r="AH467" s="90"/>
      <c r="AI467" s="90" t="s">
        <v>1851</v>
      </c>
      <c r="AJ467" s="90"/>
      <c r="AK467" s="82" t="s">
        <v>47</v>
      </c>
      <c r="AL467" s="82" t="str" cm="1">
        <f t="array" aca="1" ref="AL467" ca="1">_xlfn.IFS(
 AND($AK467&lt;&gt;"", M467&lt;&gt;0, M467&lt;=EDATE(TODAY(),2)),"도래",
 AND($AK467&lt;&gt;"", M467&lt;&gt;0, M467&lt;=EDATE(TODAY(),3)),"예정",
 AND($AK467&lt;&gt;"", M467&lt;&gt;0, M467&lt;=EDATE(TODAY(),6)),"관심",
 TRUE,""
)</f>
        <v/>
      </c>
      <c r="AM467" s="198">
        <f t="shared" si="16"/>
        <v>1</v>
      </c>
    </row>
    <row r="468" spans="1:39" ht="18" customHeight="1">
      <c r="A468" s="81"/>
      <c r="B468" s="205" t="str">
        <f>_xlfn.LET(_xlpm.var,◆관리정보!B468,IF(_xlpm.var&lt;&gt;0,_xlpm.var,""))</f>
        <v>상건빌딩</v>
      </c>
      <c r="C468" s="82">
        <f>_xlfn.LET(_xlpm.var,◆관리정보!C468,IF(_xlpm.var&lt;&gt;0,_xlpm.var,""))</f>
        <v>105</v>
      </c>
      <c r="D468" s="83" t="s">
        <v>1852</v>
      </c>
      <c r="E468" s="84" t="str">
        <f t="shared" si="17"/>
        <v>상건빌딩105</v>
      </c>
      <c r="F468" s="87">
        <v>46112</v>
      </c>
      <c r="G468" s="229"/>
      <c r="H468" s="229"/>
      <c r="I468" s="229"/>
      <c r="J468" s="229"/>
      <c r="K468" s="218"/>
      <c r="L468" s="87">
        <v>44044</v>
      </c>
      <c r="M468" s="87">
        <v>46752</v>
      </c>
      <c r="N468" s="82" t="s">
        <v>1853</v>
      </c>
      <c r="O468" s="82" t="s">
        <v>1854</v>
      </c>
      <c r="P468" s="241">
        <v>140000000</v>
      </c>
      <c r="Q468" s="241">
        <v>11810000</v>
      </c>
      <c r="R468" s="82" t="s">
        <v>1818</v>
      </c>
      <c r="S468" s="241">
        <v>200000</v>
      </c>
      <c r="T468" s="82" t="s">
        <v>157</v>
      </c>
      <c r="U468" s="241"/>
      <c r="V468" s="82"/>
      <c r="W468" s="88"/>
      <c r="X468" s="82"/>
      <c r="Y468" s="89" t="s">
        <v>1855</v>
      </c>
      <c r="Z468" s="82"/>
      <c r="AA468" s="220"/>
      <c r="AB468" s="241"/>
      <c r="AC468" s="241"/>
      <c r="AD468" s="241"/>
      <c r="AE468" s="82"/>
      <c r="AF468" s="82"/>
      <c r="AG468" s="90"/>
      <c r="AH468" s="90"/>
      <c r="AI468" s="90" t="s">
        <v>1856</v>
      </c>
      <c r="AJ468" s="90"/>
      <c r="AK468" s="82" t="s">
        <v>47</v>
      </c>
      <c r="AL468" s="82" t="str" cm="1">
        <f t="array" aca="1" ref="AL468" ca="1">_xlfn.IFS(
 AND($AK468&lt;&gt;"", M468&lt;&gt;0, M468&lt;=EDATE(TODAY(),2)),"도래",
 AND($AK468&lt;&gt;"", M468&lt;&gt;0, M468&lt;=EDATE(TODAY(),3)),"예정",
 AND($AK468&lt;&gt;"", M468&lt;&gt;0, M468&lt;=EDATE(TODAY(),6)),"관심",
 TRUE,""
)</f>
        <v/>
      </c>
      <c r="AM468" s="198">
        <f t="shared" si="16"/>
        <v>1</v>
      </c>
    </row>
    <row r="469" spans="1:39" ht="18" customHeight="1">
      <c r="A469" s="81"/>
      <c r="B469" s="205" t="str">
        <f>_xlfn.LET(_xlpm.var,◆관리정보!B469,IF(_xlpm.var&lt;&gt;0,_xlpm.var,""))</f>
        <v>상건빌딩</v>
      </c>
      <c r="C469" s="82">
        <f>_xlfn.LET(_xlpm.var,◆관리정보!C469,IF(_xlpm.var&lt;&gt;0,_xlpm.var,""))</f>
        <v>201</v>
      </c>
      <c r="D469" s="83" t="s">
        <v>1857</v>
      </c>
      <c r="E469" s="84" t="str">
        <f t="shared" si="17"/>
        <v>상건빌딩201</v>
      </c>
      <c r="F469" s="87">
        <v>46112</v>
      </c>
      <c r="G469" s="229"/>
      <c r="H469" s="229"/>
      <c r="I469" s="229"/>
      <c r="J469" s="229"/>
      <c r="K469" s="218"/>
      <c r="L469" s="87">
        <v>42979</v>
      </c>
      <c r="M469" s="87">
        <v>46387</v>
      </c>
      <c r="N469" s="82" t="s">
        <v>1858</v>
      </c>
      <c r="O469" s="82" t="s">
        <v>1859</v>
      </c>
      <c r="P469" s="241">
        <v>120000000</v>
      </c>
      <c r="Q469" s="241">
        <v>8250000</v>
      </c>
      <c r="R469" s="82" t="s">
        <v>1818</v>
      </c>
      <c r="S469" s="241">
        <v>400000</v>
      </c>
      <c r="T469" s="82" t="s">
        <v>157</v>
      </c>
      <c r="U469" s="241"/>
      <c r="V469" s="82"/>
      <c r="W469" s="88"/>
      <c r="X469" s="82"/>
      <c r="Y469" s="89"/>
      <c r="Z469" s="82"/>
      <c r="AA469" s="220"/>
      <c r="AB469" s="241"/>
      <c r="AC469" s="241"/>
      <c r="AD469" s="241"/>
      <c r="AE469" s="82"/>
      <c r="AF469" s="82"/>
      <c r="AG469" s="90"/>
      <c r="AH469" s="90"/>
      <c r="AI469" s="90"/>
      <c r="AJ469" s="90"/>
      <c r="AK469" s="82" t="s">
        <v>47</v>
      </c>
      <c r="AL469" s="82" t="str" cm="1">
        <f t="array" aca="1" ref="AL469" ca="1">_xlfn.IFS(
 AND($AK469&lt;&gt;"", M469&lt;&gt;0, M469&lt;=EDATE(TODAY(),2)),"도래",
 AND($AK469&lt;&gt;"", M469&lt;&gt;0, M469&lt;=EDATE(TODAY(),3)),"예정",
 AND($AK469&lt;&gt;"", M469&lt;&gt;0, M469&lt;=EDATE(TODAY(),6)),"관심",
 TRUE,""
)</f>
        <v/>
      </c>
      <c r="AM469" s="198">
        <f t="shared" si="16"/>
        <v>1</v>
      </c>
    </row>
    <row r="470" spans="1:39" ht="18" customHeight="1">
      <c r="A470" s="81"/>
      <c r="B470" s="205" t="str">
        <f>_xlfn.LET(_xlpm.var,◆관리정보!B470,IF(_xlpm.var&lt;&gt;0,_xlpm.var,""))</f>
        <v>상건빌딩</v>
      </c>
      <c r="C470" s="82">
        <f>_xlfn.LET(_xlpm.var,◆관리정보!C470,IF(_xlpm.var&lt;&gt;0,_xlpm.var,""))</f>
        <v>202</v>
      </c>
      <c r="D470" s="83" t="s">
        <v>1860</v>
      </c>
      <c r="E470" s="84" t="str">
        <f t="shared" si="17"/>
        <v>상건빌딩202</v>
      </c>
      <c r="F470" s="87">
        <v>46112</v>
      </c>
      <c r="G470" s="229"/>
      <c r="H470" s="229"/>
      <c r="I470" s="229"/>
      <c r="J470" s="229"/>
      <c r="K470" s="218"/>
      <c r="L470" s="87">
        <v>42614</v>
      </c>
      <c r="M470" s="87">
        <v>46387</v>
      </c>
      <c r="N470" s="82" t="s">
        <v>1861</v>
      </c>
      <c r="O470" s="82" t="s">
        <v>1862</v>
      </c>
      <c r="P470" s="241">
        <v>80000000</v>
      </c>
      <c r="Q470" s="241">
        <v>10020000</v>
      </c>
      <c r="R470" s="82" t="s">
        <v>1818</v>
      </c>
      <c r="S470" s="241">
        <v>450000</v>
      </c>
      <c r="T470" s="82" t="s">
        <v>157</v>
      </c>
      <c r="U470" s="241"/>
      <c r="V470" s="82"/>
      <c r="W470" s="88"/>
      <c r="X470" s="82"/>
      <c r="Y470" s="89"/>
      <c r="Z470" s="82"/>
      <c r="AA470" s="220"/>
      <c r="AB470" s="241"/>
      <c r="AC470" s="241"/>
      <c r="AD470" s="241"/>
      <c r="AE470" s="82"/>
      <c r="AF470" s="82"/>
      <c r="AG470" s="90"/>
      <c r="AH470" s="90"/>
      <c r="AI470" s="231" t="s">
        <v>1863</v>
      </c>
      <c r="AJ470" s="90"/>
      <c r="AK470" s="82" t="s">
        <v>47</v>
      </c>
      <c r="AL470" s="82" t="str" cm="1">
        <f t="array" aca="1" ref="AL470" ca="1">_xlfn.IFS(
 AND($AK470&lt;&gt;"", M470&lt;&gt;0, M470&lt;=EDATE(TODAY(),2)),"도래",
 AND($AK470&lt;&gt;"", M470&lt;&gt;0, M470&lt;=EDATE(TODAY(),3)),"예정",
 AND($AK470&lt;&gt;"", M470&lt;&gt;0, M470&lt;=EDATE(TODAY(),6)),"관심",
 TRUE,""
)</f>
        <v/>
      </c>
      <c r="AM470" s="198">
        <f t="shared" si="16"/>
        <v>1</v>
      </c>
    </row>
    <row r="471" spans="1:39" ht="18" customHeight="1">
      <c r="A471" s="81"/>
      <c r="B471" s="237" t="str">
        <f>_xlfn.LET(_xlpm.var,◆관리정보!B471,IF(_xlpm.var&lt;&gt;0,_xlpm.var,""))</f>
        <v>상건빌딩</v>
      </c>
      <c r="C471" s="238">
        <f>_xlfn.LET(_xlpm.var,◆관리정보!C471,IF(_xlpm.var&lt;&gt;0,_xlpm.var,""))</f>
        <v>301</v>
      </c>
      <c r="D471" s="239" t="s">
        <v>195</v>
      </c>
      <c r="E471" s="84" t="str">
        <f t="shared" si="17"/>
        <v>상건빌딩301</v>
      </c>
      <c r="F471" s="87"/>
      <c r="G471" s="229"/>
      <c r="H471" s="229"/>
      <c r="I471" s="229"/>
      <c r="J471" s="229"/>
      <c r="K471" s="218"/>
      <c r="L471" s="87"/>
      <c r="M471" s="87"/>
      <c r="N471" s="82"/>
      <c r="O471" s="82"/>
      <c r="P471" s="241"/>
      <c r="Q471" s="241"/>
      <c r="R471" s="82"/>
      <c r="S471" s="241"/>
      <c r="T471" s="82"/>
      <c r="U471" s="241"/>
      <c r="V471" s="82"/>
      <c r="W471" s="88"/>
      <c r="X471" s="82"/>
      <c r="Y471" s="89"/>
      <c r="Z471" s="82"/>
      <c r="AA471" s="220"/>
      <c r="AB471" s="241"/>
      <c r="AC471" s="241"/>
      <c r="AD471" s="241"/>
      <c r="AE471" s="82"/>
      <c r="AF471" s="82"/>
      <c r="AG471" s="90"/>
      <c r="AH471" s="90"/>
      <c r="AI471" s="90"/>
      <c r="AJ471" s="90"/>
      <c r="AK471" s="82" t="s">
        <v>47</v>
      </c>
      <c r="AL471" s="82" t="str" cm="1">
        <f t="array" aca="1" ref="AL471" ca="1">_xlfn.IFS(
 AND($AK471&lt;&gt;"", M471&lt;&gt;0, M471&lt;=EDATE(TODAY(),2)),"도래",
 AND($AK471&lt;&gt;"", M471&lt;&gt;0, M471&lt;=EDATE(TODAY(),3)),"예정",
 AND($AK471&lt;&gt;"", M471&lt;&gt;0, M471&lt;=EDATE(TODAY(),6)),"관심",
 TRUE,""
)</f>
        <v/>
      </c>
      <c r="AM471" s="198">
        <f t="shared" ref="AM471:AM481" si="18">DAY(L471)</f>
        <v>0</v>
      </c>
    </row>
    <row r="472" spans="1:39" ht="18" customHeight="1">
      <c r="A472" s="81"/>
      <c r="B472" s="237" t="str">
        <f>_xlfn.LET(_xlpm.var,◆관리정보!B472,IF(_xlpm.var&lt;&gt;0,_xlpm.var,""))</f>
        <v>상건빌딩</v>
      </c>
      <c r="C472" s="238">
        <f>_xlfn.LET(_xlpm.var,◆관리정보!C472,IF(_xlpm.var&lt;&gt;0,_xlpm.var,""))</f>
        <v>302</v>
      </c>
      <c r="D472" s="239" t="s">
        <v>195</v>
      </c>
      <c r="E472" s="84" t="str">
        <f t="shared" si="17"/>
        <v>상건빌딩302</v>
      </c>
      <c r="F472" s="87"/>
      <c r="G472" s="229"/>
      <c r="H472" s="229"/>
      <c r="I472" s="229"/>
      <c r="J472" s="229"/>
      <c r="K472" s="218"/>
      <c r="L472" s="87"/>
      <c r="M472" s="87"/>
      <c r="N472" s="82"/>
      <c r="O472" s="82"/>
      <c r="P472" s="241"/>
      <c r="Q472" s="241"/>
      <c r="R472" s="82"/>
      <c r="S472" s="241"/>
      <c r="T472" s="82"/>
      <c r="U472" s="241"/>
      <c r="V472" s="82"/>
      <c r="W472" s="88"/>
      <c r="X472" s="82"/>
      <c r="Y472" s="89"/>
      <c r="Z472" s="82"/>
      <c r="AA472" s="220"/>
      <c r="AB472" s="241"/>
      <c r="AC472" s="241"/>
      <c r="AD472" s="241"/>
      <c r="AE472" s="82"/>
      <c r="AF472" s="82"/>
      <c r="AG472" s="90"/>
      <c r="AH472" s="90"/>
      <c r="AI472" s="90"/>
      <c r="AJ472" s="90"/>
      <c r="AK472" s="82" t="s">
        <v>47</v>
      </c>
      <c r="AL472" s="82" t="str" cm="1">
        <f t="array" aca="1" ref="AL472" ca="1">_xlfn.IFS(
 AND($AK472&lt;&gt;"", M472&lt;&gt;0, M472&lt;=EDATE(TODAY(),2)),"도래",
 AND($AK472&lt;&gt;"", M472&lt;&gt;0, M472&lt;=EDATE(TODAY(),3)),"예정",
 AND($AK472&lt;&gt;"", M472&lt;&gt;0, M472&lt;=EDATE(TODAY(),6)),"관심",
 TRUE,""
)</f>
        <v/>
      </c>
      <c r="AM472" s="198">
        <f t="shared" si="18"/>
        <v>0</v>
      </c>
    </row>
    <row r="473" spans="1:39" ht="18" customHeight="1">
      <c r="A473" s="81"/>
      <c r="B473" s="205" t="str">
        <f>_xlfn.LET(_xlpm.var,◆관리정보!B473,IF(_xlpm.var&lt;&gt;0,_xlpm.var,""))</f>
        <v>미진빌딩</v>
      </c>
      <c r="C473" s="82" t="str">
        <f>_xlfn.LET(_xlpm.var,◆관리정보!C473,IF(_xlpm.var&lt;&gt;0,_xlpm.var,""))</f>
        <v>B01</v>
      </c>
      <c r="D473" s="83" t="s">
        <v>1837</v>
      </c>
      <c r="E473" s="84" t="str">
        <f t="shared" si="17"/>
        <v>미진빌딩B01</v>
      </c>
      <c r="F473" s="87"/>
      <c r="G473" s="229"/>
      <c r="H473" s="229"/>
      <c r="I473" s="229"/>
      <c r="J473" s="229"/>
      <c r="K473" s="218"/>
      <c r="L473" s="87"/>
      <c r="M473" s="87"/>
      <c r="N473" s="82"/>
      <c r="O473" s="82"/>
      <c r="P473" s="241"/>
      <c r="Q473" s="241"/>
      <c r="R473" s="82"/>
      <c r="S473" s="241"/>
      <c r="T473" s="82"/>
      <c r="U473" s="241"/>
      <c r="V473" s="82"/>
      <c r="W473" s="88"/>
      <c r="X473" s="82"/>
      <c r="Y473" s="89"/>
      <c r="Z473" s="82"/>
      <c r="AA473" s="220"/>
      <c r="AB473" s="241"/>
      <c r="AC473" s="241"/>
      <c r="AD473" s="241"/>
      <c r="AE473" s="82"/>
      <c r="AF473" s="82"/>
      <c r="AG473" s="90"/>
      <c r="AH473" s="90"/>
      <c r="AI473" s="90"/>
      <c r="AJ473" s="90"/>
      <c r="AK473" s="82" t="s">
        <v>47</v>
      </c>
      <c r="AL473" s="82" t="str" cm="1">
        <f t="array" aca="1" ref="AL473" ca="1">_xlfn.IFS(
 AND($AK473&lt;&gt;"", M473&lt;&gt;0, M473&lt;=EDATE(TODAY(),2)),"도래",
 AND($AK473&lt;&gt;"", M473&lt;&gt;0, M473&lt;=EDATE(TODAY(),3)),"예정",
 AND($AK473&lt;&gt;"", M473&lt;&gt;0, M473&lt;=EDATE(TODAY(),6)),"관심",
 TRUE,""
)</f>
        <v/>
      </c>
      <c r="AM473" s="198">
        <f t="shared" si="18"/>
        <v>0</v>
      </c>
    </row>
    <row r="474" spans="1:39" ht="18" customHeight="1">
      <c r="A474" s="81"/>
      <c r="B474" s="205" t="str">
        <f>_xlfn.LET(_xlpm.var,◆관리정보!B474,IF(_xlpm.var&lt;&gt;0,_xlpm.var,""))</f>
        <v>미진빌딩</v>
      </c>
      <c r="C474" s="82">
        <f>_xlfn.LET(_xlpm.var,◆관리정보!C474,IF(_xlpm.var&lt;&gt;0,_xlpm.var,""))</f>
        <v>101</v>
      </c>
      <c r="D474" s="83" t="s">
        <v>1864</v>
      </c>
      <c r="E474" s="84" t="str">
        <f t="shared" si="17"/>
        <v>미진빌딩101</v>
      </c>
      <c r="F474" s="87">
        <v>46112</v>
      </c>
      <c r="G474" s="229"/>
      <c r="H474" s="229"/>
      <c r="I474" s="229"/>
      <c r="J474" s="229"/>
      <c r="K474" s="218"/>
      <c r="L474" s="87">
        <v>44317</v>
      </c>
      <c r="M474" s="87">
        <v>47118</v>
      </c>
      <c r="N474" s="82" t="s">
        <v>1865</v>
      </c>
      <c r="O474" s="82" t="s">
        <v>1866</v>
      </c>
      <c r="P474" s="241">
        <v>150000000</v>
      </c>
      <c r="Q474" s="241">
        <v>7560000</v>
      </c>
      <c r="R474" s="82" t="s">
        <v>1818</v>
      </c>
      <c r="S474" s="241">
        <v>300000</v>
      </c>
      <c r="T474" s="82" t="s">
        <v>157</v>
      </c>
      <c r="U474" s="241"/>
      <c r="V474" s="82"/>
      <c r="W474" s="88"/>
      <c r="X474" s="82"/>
      <c r="Y474" s="89"/>
      <c r="Z474" s="82"/>
      <c r="AA474" s="220"/>
      <c r="AB474" s="241"/>
      <c r="AC474" s="241"/>
      <c r="AD474" s="241"/>
      <c r="AE474" s="82"/>
      <c r="AF474" s="82"/>
      <c r="AG474" s="90"/>
      <c r="AH474" s="90"/>
      <c r="AI474" s="90" t="s">
        <v>1867</v>
      </c>
      <c r="AJ474" s="90"/>
      <c r="AK474" s="82" t="s">
        <v>47</v>
      </c>
      <c r="AL474" s="82" t="str" cm="1">
        <f t="array" aca="1" ref="AL474" ca="1">_xlfn.IFS(
 AND($AK474&lt;&gt;"", M474&lt;&gt;0, M474&lt;=EDATE(TODAY(),2)),"도래",
 AND($AK474&lt;&gt;"", M474&lt;&gt;0, M474&lt;=EDATE(TODAY(),3)),"예정",
 AND($AK474&lt;&gt;"", M474&lt;&gt;0, M474&lt;=EDATE(TODAY(),6)),"관심",
 TRUE,""
)</f>
        <v/>
      </c>
      <c r="AM474" s="198">
        <f t="shared" si="18"/>
        <v>1</v>
      </c>
    </row>
    <row r="475" spans="1:39" ht="18" customHeight="1">
      <c r="A475" s="81"/>
      <c r="B475" s="205" t="str">
        <f>_xlfn.LET(_xlpm.var,◆관리정보!B475,IF(_xlpm.var&lt;&gt;0,_xlpm.var,""))</f>
        <v>미진빌딩</v>
      </c>
      <c r="C475" s="82">
        <f>_xlfn.LET(_xlpm.var,◆관리정보!C475,IF(_xlpm.var&lt;&gt;0,_xlpm.var,""))</f>
        <v>102</v>
      </c>
      <c r="D475" s="83" t="s">
        <v>1868</v>
      </c>
      <c r="E475" s="84" t="str">
        <f t="shared" si="17"/>
        <v>미진빌딩102</v>
      </c>
      <c r="F475" s="87">
        <v>46112</v>
      </c>
      <c r="G475" s="229"/>
      <c r="H475" s="229"/>
      <c r="I475" s="229"/>
      <c r="J475" s="229"/>
      <c r="K475" s="218"/>
      <c r="L475" s="87">
        <v>44317</v>
      </c>
      <c r="M475" s="87">
        <v>47118</v>
      </c>
      <c r="N475" s="82" t="s">
        <v>1869</v>
      </c>
      <c r="O475" s="82" t="s">
        <v>1870</v>
      </c>
      <c r="P475" s="241">
        <v>150000000</v>
      </c>
      <c r="Q475" s="241">
        <v>6300000</v>
      </c>
      <c r="R475" s="82" t="s">
        <v>1818</v>
      </c>
      <c r="S475" s="241">
        <v>270000</v>
      </c>
      <c r="T475" s="82" t="s">
        <v>157</v>
      </c>
      <c r="U475" s="241"/>
      <c r="V475" s="82"/>
      <c r="W475" s="88"/>
      <c r="X475" s="82"/>
      <c r="Y475" s="89"/>
      <c r="Z475" s="82"/>
      <c r="AA475" s="220"/>
      <c r="AB475" s="241"/>
      <c r="AC475" s="241"/>
      <c r="AD475" s="241"/>
      <c r="AE475" s="82"/>
      <c r="AF475" s="82"/>
      <c r="AG475" s="90"/>
      <c r="AH475" s="90"/>
      <c r="AI475" s="90"/>
      <c r="AJ475" s="90"/>
      <c r="AK475" s="82" t="s">
        <v>47</v>
      </c>
      <c r="AL475" s="82" t="str" cm="1">
        <f t="array" aca="1" ref="AL475" ca="1">_xlfn.IFS(
 AND($AK475&lt;&gt;"", M475&lt;&gt;0, M475&lt;=EDATE(TODAY(),2)),"도래",
 AND($AK475&lt;&gt;"", M475&lt;&gt;0, M475&lt;=EDATE(TODAY(),3)),"예정",
 AND($AK475&lt;&gt;"", M475&lt;&gt;0, M475&lt;=EDATE(TODAY(),6)),"관심",
 TRUE,""
)</f>
        <v/>
      </c>
      <c r="AM475" s="198">
        <f t="shared" si="18"/>
        <v>1</v>
      </c>
    </row>
    <row r="476" spans="1:39" ht="18" customHeight="1">
      <c r="A476" s="81"/>
      <c r="B476" s="205" t="str">
        <f>_xlfn.LET(_xlpm.var,◆관리정보!B476,IF(_xlpm.var&lt;&gt;0,_xlpm.var,""))</f>
        <v>미진빌딩</v>
      </c>
      <c r="C476" s="82">
        <f>_xlfn.LET(_xlpm.var,◆관리정보!C476,IF(_xlpm.var&lt;&gt;0,_xlpm.var,""))</f>
        <v>103</v>
      </c>
      <c r="D476" s="83" t="s">
        <v>1871</v>
      </c>
      <c r="E476" s="84" t="str">
        <f t="shared" ref="E476:E506" si="19">_xlfn.CONCAT(B476,C476)</f>
        <v>미진빌딩103</v>
      </c>
      <c r="F476" s="87">
        <v>46112</v>
      </c>
      <c r="G476" s="229"/>
      <c r="H476" s="229"/>
      <c r="I476" s="229"/>
      <c r="J476" s="229"/>
      <c r="K476" s="218"/>
      <c r="L476" s="87">
        <v>41579</v>
      </c>
      <c r="M476" s="87">
        <v>46752</v>
      </c>
      <c r="N476" s="82" t="s">
        <v>1872</v>
      </c>
      <c r="O476" s="82" t="s">
        <v>1873</v>
      </c>
      <c r="P476" s="241">
        <v>200000000</v>
      </c>
      <c r="Q476" s="241">
        <v>8820000</v>
      </c>
      <c r="R476" s="82" t="s">
        <v>1818</v>
      </c>
      <c r="S476" s="241">
        <v>300000</v>
      </c>
      <c r="T476" s="82" t="s">
        <v>157</v>
      </c>
      <c r="U476" s="241"/>
      <c r="V476" s="82"/>
      <c r="W476" s="88"/>
      <c r="X476" s="82"/>
      <c r="Y476" s="89"/>
      <c r="Z476" s="82"/>
      <c r="AA476" s="220"/>
      <c r="AB476" s="241"/>
      <c r="AC476" s="241"/>
      <c r="AD476" s="241"/>
      <c r="AE476" s="82"/>
      <c r="AF476" s="82"/>
      <c r="AG476" s="90"/>
      <c r="AH476" s="90"/>
      <c r="AI476" s="90" t="s">
        <v>1874</v>
      </c>
      <c r="AJ476" s="90"/>
      <c r="AK476" s="82" t="s">
        <v>47</v>
      </c>
      <c r="AL476" s="82" t="str" cm="1">
        <f t="array" aca="1" ref="AL476" ca="1">_xlfn.IFS(
 AND($AK476&lt;&gt;"", M476&lt;&gt;0, M476&lt;=EDATE(TODAY(),2)),"도래",
 AND($AK476&lt;&gt;"", M476&lt;&gt;0, M476&lt;=EDATE(TODAY(),3)),"예정",
 AND($AK476&lt;&gt;"", M476&lt;&gt;0, M476&lt;=EDATE(TODAY(),6)),"관심",
 TRUE,""
)</f>
        <v/>
      </c>
      <c r="AM476" s="198">
        <f t="shared" si="18"/>
        <v>1</v>
      </c>
    </row>
    <row r="477" spans="1:39" ht="18" customHeight="1">
      <c r="A477" s="81"/>
      <c r="B477" s="205" t="str">
        <f>_xlfn.LET(_xlpm.var,◆관리정보!B477,IF(_xlpm.var&lt;&gt;0,_xlpm.var,""))</f>
        <v>미진빌딩</v>
      </c>
      <c r="C477" s="82">
        <f>_xlfn.LET(_xlpm.var,◆관리정보!C477,IF(_xlpm.var&lt;&gt;0,_xlpm.var,""))</f>
        <v>201</v>
      </c>
      <c r="D477" s="83" t="s">
        <v>1875</v>
      </c>
      <c r="E477" s="84" t="str">
        <f t="shared" si="19"/>
        <v>미진빌딩201</v>
      </c>
      <c r="F477" s="87">
        <v>45658</v>
      </c>
      <c r="G477" s="229">
        <v>38424000</v>
      </c>
      <c r="H477" s="229"/>
      <c r="I477" s="229"/>
      <c r="J477" s="229"/>
      <c r="K477" s="218"/>
      <c r="L477" s="87">
        <v>43831</v>
      </c>
      <c r="M477" s="87">
        <v>46752</v>
      </c>
      <c r="N477" s="82" t="s">
        <v>1876</v>
      </c>
      <c r="O477" s="82" t="s">
        <v>1877</v>
      </c>
      <c r="P477" s="241">
        <v>50000000</v>
      </c>
      <c r="Q477" s="241">
        <v>3360000</v>
      </c>
      <c r="R477" s="82" t="s">
        <v>1818</v>
      </c>
      <c r="S477" s="241">
        <v>300000</v>
      </c>
      <c r="T477" s="82" t="s">
        <v>157</v>
      </c>
      <c r="U477" s="241"/>
      <c r="V477" s="82"/>
      <c r="W477" s="88"/>
      <c r="X477" s="82"/>
      <c r="Y477" s="89"/>
      <c r="Z477" s="82"/>
      <c r="AA477" s="220"/>
      <c r="AB477" s="241"/>
      <c r="AC477" s="241"/>
      <c r="AD477" s="241"/>
      <c r="AE477" s="82"/>
      <c r="AF477" s="82"/>
      <c r="AG477" s="90"/>
      <c r="AH477" s="90"/>
      <c r="AI477" s="90"/>
      <c r="AJ477" s="90"/>
      <c r="AK477" s="82" t="s">
        <v>47</v>
      </c>
      <c r="AL477" s="82" t="str" cm="1">
        <f t="array" aca="1" ref="AL477" ca="1">_xlfn.IFS(
 AND($AK477&lt;&gt;"", M477&lt;&gt;0, M477&lt;=EDATE(TODAY(),2)),"도래",
 AND($AK477&lt;&gt;"", M477&lt;&gt;0, M477&lt;=EDATE(TODAY(),3)),"예정",
 AND($AK477&lt;&gt;"", M477&lt;&gt;0, M477&lt;=EDATE(TODAY(),6)),"관심",
 TRUE,""
)</f>
        <v/>
      </c>
      <c r="AM477" s="198">
        <f t="shared" si="18"/>
        <v>1</v>
      </c>
    </row>
    <row r="478" spans="1:39" ht="18" customHeight="1">
      <c r="A478" s="81"/>
      <c r="B478" s="205" t="str">
        <f>_xlfn.LET(_xlpm.var,◆관리정보!B478,IF(_xlpm.var&lt;&gt;0,_xlpm.var,""))</f>
        <v>미진빌딩</v>
      </c>
      <c r="C478" s="82">
        <f>_xlfn.LET(_xlpm.var,◆관리정보!C478,IF(_xlpm.var&lt;&gt;0,_xlpm.var,""))</f>
        <v>202</v>
      </c>
      <c r="D478" s="83" t="s">
        <v>1878</v>
      </c>
      <c r="E478" s="84" t="str">
        <f t="shared" si="19"/>
        <v>미진빌딩202</v>
      </c>
      <c r="F478" s="87">
        <v>46112</v>
      </c>
      <c r="G478" s="229"/>
      <c r="H478" s="229"/>
      <c r="I478" s="229"/>
      <c r="J478" s="229"/>
      <c r="K478" s="218"/>
      <c r="L478" s="87">
        <v>44409</v>
      </c>
      <c r="M478" s="87">
        <v>47118</v>
      </c>
      <c r="N478" s="82" t="s">
        <v>1879</v>
      </c>
      <c r="O478" s="82" t="s">
        <v>1870</v>
      </c>
      <c r="P478" s="241">
        <v>70000000</v>
      </c>
      <c r="Q478" s="241">
        <v>4540000</v>
      </c>
      <c r="R478" s="82" t="s">
        <v>1818</v>
      </c>
      <c r="S478" s="241">
        <v>500000</v>
      </c>
      <c r="T478" s="82" t="s">
        <v>157</v>
      </c>
      <c r="U478" s="241"/>
      <c r="V478" s="82"/>
      <c r="W478" s="88"/>
      <c r="X478" s="82"/>
      <c r="Y478" s="89"/>
      <c r="Z478" s="82"/>
      <c r="AA478" s="220"/>
      <c r="AB478" s="241"/>
      <c r="AC478" s="241"/>
      <c r="AD478" s="241"/>
      <c r="AE478" s="82"/>
      <c r="AF478" s="82"/>
      <c r="AG478" s="90"/>
      <c r="AH478" s="90"/>
      <c r="AI478" s="90"/>
      <c r="AJ478" s="90"/>
      <c r="AK478" s="82" t="s">
        <v>47</v>
      </c>
      <c r="AL478" s="82" t="str" cm="1">
        <f t="array" aca="1" ref="AL478" ca="1">_xlfn.IFS(
 AND($AK478&lt;&gt;"", M478&lt;&gt;0, M478&lt;=EDATE(TODAY(),2)),"도래",
 AND($AK478&lt;&gt;"", M478&lt;&gt;0, M478&lt;=EDATE(TODAY(),3)),"예정",
 AND($AK478&lt;&gt;"", M478&lt;&gt;0, M478&lt;=EDATE(TODAY(),6)),"관심",
 TRUE,""
)</f>
        <v/>
      </c>
      <c r="AM478" s="198">
        <f t="shared" si="18"/>
        <v>1</v>
      </c>
    </row>
    <row r="479" spans="1:39" ht="18" customHeight="1">
      <c r="A479" s="81"/>
      <c r="B479" s="262" t="str">
        <f>_xlfn.LET(_xlpm.var,◆관리정보!B479,IF(_xlpm.var&lt;&gt;0,_xlpm.var,""))</f>
        <v>미진빌딩</v>
      </c>
      <c r="C479" s="263" t="str">
        <f>_xlfn.LET(_xlpm.var,◆관리정보!C479,IF(_xlpm.var&lt;&gt;0,_xlpm.var,""))</f>
        <v>3층</v>
      </c>
      <c r="D479" s="91" t="s">
        <v>1798</v>
      </c>
      <c r="E479" s="84" t="str">
        <f t="shared" si="19"/>
        <v>미진빌딩3층</v>
      </c>
      <c r="F479" s="87"/>
      <c r="G479" s="229"/>
      <c r="H479" s="229"/>
      <c r="I479" s="229"/>
      <c r="J479" s="229"/>
      <c r="K479" s="218"/>
      <c r="L479" s="87"/>
      <c r="M479" s="87"/>
      <c r="N479" s="82"/>
      <c r="O479" s="82"/>
      <c r="P479" s="241"/>
      <c r="Q479" s="241"/>
      <c r="R479" s="82"/>
      <c r="S479" s="241"/>
      <c r="T479" s="82"/>
      <c r="U479" s="241"/>
      <c r="V479" s="82"/>
      <c r="W479" s="88"/>
      <c r="X479" s="82"/>
      <c r="Y479" s="89"/>
      <c r="Z479" s="82"/>
      <c r="AA479" s="220"/>
      <c r="AB479" s="241"/>
      <c r="AC479" s="241"/>
      <c r="AD479" s="241"/>
      <c r="AE479" s="82"/>
      <c r="AF479" s="82"/>
      <c r="AG479" s="90"/>
      <c r="AH479" s="90"/>
      <c r="AI479" s="90"/>
      <c r="AJ479" s="90"/>
      <c r="AK479" s="82" t="s">
        <v>47</v>
      </c>
      <c r="AL479" s="82" t="str" cm="1">
        <f t="array" aca="1" ref="AL479" ca="1">_xlfn.IFS(
 AND($AK479&lt;&gt;"", M479&lt;&gt;0, M479&lt;=EDATE(TODAY(),2)),"도래",
 AND($AK479&lt;&gt;"", M479&lt;&gt;0, M479&lt;=EDATE(TODAY(),3)),"예정",
 AND($AK479&lt;&gt;"", M479&lt;&gt;0, M479&lt;=EDATE(TODAY(),6)),"관심",
 TRUE,""
)</f>
        <v/>
      </c>
      <c r="AM479" s="198">
        <f t="shared" si="18"/>
        <v>0</v>
      </c>
    </row>
    <row r="480" spans="1:39" ht="18" customHeight="1">
      <c r="A480" s="81"/>
      <c r="B480" s="205" t="str">
        <f>_xlfn.LET(_xlpm.var,◆관리정보!B480,IF(_xlpm.var&lt;&gt;0,_xlpm.var,""))</f>
        <v>미진빌딩</v>
      </c>
      <c r="C480" s="82" t="str">
        <f>_xlfn.LET(_xlpm.var,◆관리정보!C480,IF(_xlpm.var&lt;&gt;0,_xlpm.var,""))</f>
        <v>4층</v>
      </c>
      <c r="D480" s="83" t="s">
        <v>1880</v>
      </c>
      <c r="E480" s="84" t="str">
        <f t="shared" si="19"/>
        <v>미진빌딩4층</v>
      </c>
      <c r="F480" s="87">
        <v>46112</v>
      </c>
      <c r="G480" s="229"/>
      <c r="H480" s="229"/>
      <c r="I480" s="229"/>
      <c r="J480" s="229"/>
      <c r="K480" s="218"/>
      <c r="L480" s="87">
        <v>45838</v>
      </c>
      <c r="M480" s="87">
        <v>46567</v>
      </c>
      <c r="N480" s="82" t="s">
        <v>1881</v>
      </c>
      <c r="O480" s="82" t="s">
        <v>1882</v>
      </c>
      <c r="P480" s="241">
        <v>100000000</v>
      </c>
      <c r="Q480" s="241">
        <v>7000000</v>
      </c>
      <c r="R480" s="82" t="s">
        <v>1818</v>
      </c>
      <c r="S480" s="241">
        <v>1800000</v>
      </c>
      <c r="T480" s="82" t="s">
        <v>157</v>
      </c>
      <c r="U480" s="241"/>
      <c r="V480" s="82"/>
      <c r="W480" s="88"/>
      <c r="X480" s="82"/>
      <c r="Y480" s="89"/>
      <c r="Z480" s="82"/>
      <c r="AA480" s="220"/>
      <c r="AB480" s="241"/>
      <c r="AC480" s="241"/>
      <c r="AD480" s="241"/>
      <c r="AE480" s="82"/>
      <c r="AF480" s="82"/>
      <c r="AG480" s="90"/>
      <c r="AH480" s="90"/>
      <c r="AI480" s="90"/>
      <c r="AJ480" s="90"/>
      <c r="AK480" s="82" t="s">
        <v>47</v>
      </c>
      <c r="AL480" s="82" t="str" cm="1">
        <f t="array" aca="1" ref="AL480" ca="1">_xlfn.IFS(
 AND($AK480&lt;&gt;"", M480&lt;&gt;0, M480&lt;=EDATE(TODAY(),2)),"도래",
 AND($AK480&lt;&gt;"", M480&lt;&gt;0, M480&lt;=EDATE(TODAY(),3)),"예정",
 AND($AK480&lt;&gt;"", M480&lt;&gt;0, M480&lt;=EDATE(TODAY(),6)),"관심",
 TRUE,""
)</f>
        <v/>
      </c>
      <c r="AM480" s="198">
        <f t="shared" si="18"/>
        <v>30</v>
      </c>
    </row>
    <row r="481" spans="1:39" ht="18" customHeight="1">
      <c r="A481" s="81"/>
      <c r="B481" s="237" t="str">
        <f>_xlfn.LET(_xlpm.var,◆관리정보!B481,IF(_xlpm.var&lt;&gt;0,_xlpm.var,""))</f>
        <v>미진빌딩</v>
      </c>
      <c r="C481" s="238" t="str">
        <f>_xlfn.LET(_xlpm.var,◆관리정보!C481,IF(_xlpm.var&lt;&gt;0,_xlpm.var,""))</f>
        <v>5층</v>
      </c>
      <c r="D481" s="239" t="s">
        <v>195</v>
      </c>
      <c r="E481" s="84" t="str">
        <f t="shared" si="19"/>
        <v>미진빌딩5층</v>
      </c>
      <c r="F481" s="87"/>
      <c r="G481" s="229"/>
      <c r="H481" s="229"/>
      <c r="I481" s="229"/>
      <c r="J481" s="229"/>
      <c r="K481" s="218"/>
      <c r="L481" s="87"/>
      <c r="M481" s="87"/>
      <c r="N481" s="82"/>
      <c r="O481" s="82"/>
      <c r="P481" s="241"/>
      <c r="Q481" s="241"/>
      <c r="R481" s="82"/>
      <c r="S481" s="241"/>
      <c r="T481" s="82"/>
      <c r="U481" s="241"/>
      <c r="V481" s="82"/>
      <c r="W481" s="88"/>
      <c r="X481" s="82"/>
      <c r="Y481" s="89"/>
      <c r="Z481" s="82"/>
      <c r="AA481" s="220"/>
      <c r="AB481" s="241"/>
      <c r="AC481" s="241"/>
      <c r="AD481" s="241"/>
      <c r="AE481" s="82"/>
      <c r="AF481" s="82"/>
      <c r="AG481" s="90"/>
      <c r="AH481" s="90"/>
      <c r="AI481" s="90"/>
      <c r="AJ481" s="90"/>
      <c r="AK481" s="82" t="s">
        <v>47</v>
      </c>
      <c r="AL481" s="82" t="str" cm="1">
        <f t="array" aca="1" ref="AL481" ca="1">_xlfn.IFS(
 AND($AK481&lt;&gt;"", M481&lt;&gt;0, M481&lt;=EDATE(TODAY(),2)),"도래",
 AND($AK481&lt;&gt;"", M481&lt;&gt;0, M481&lt;=EDATE(TODAY(),3)),"예정",
 AND($AK481&lt;&gt;"", M481&lt;&gt;0, M481&lt;=EDATE(TODAY(),6)),"관심",
 TRUE,""
)</f>
        <v/>
      </c>
      <c r="AM481" s="198">
        <f t="shared" si="18"/>
        <v>0</v>
      </c>
    </row>
    <row r="482" spans="1:39" ht="18" customHeight="1">
      <c r="A482" s="81"/>
      <c r="B482" s="205" t="str">
        <f>_xlfn.LET(_xlpm.var,◆관리정보!B482,IF(_xlpm.var&lt;&gt;0,_xlpm.var,""))</f>
        <v>유석빌딩</v>
      </c>
      <c r="C482" s="82" t="str">
        <f>_xlfn.LET(_xlpm.var,◆관리정보!C482,IF(_xlpm.var&lt;&gt;0,_xlpm.var,""))</f>
        <v>B01</v>
      </c>
      <c r="D482" s="83" t="s">
        <v>1883</v>
      </c>
      <c r="E482" s="84" t="str">
        <f t="shared" si="19"/>
        <v>유석빌딩B01</v>
      </c>
      <c r="F482" s="87"/>
      <c r="G482" s="229"/>
      <c r="H482" s="229"/>
      <c r="I482" s="229"/>
      <c r="J482" s="229"/>
      <c r="K482" s="218"/>
      <c r="L482" s="87">
        <v>45468</v>
      </c>
      <c r="M482" s="359">
        <v>46197</v>
      </c>
      <c r="N482" s="82" t="s">
        <v>1884</v>
      </c>
      <c r="O482" s="82" t="s">
        <v>1885</v>
      </c>
      <c r="P482" s="241">
        <v>60000000</v>
      </c>
      <c r="Q482" s="241">
        <v>3800000</v>
      </c>
      <c r="R482" s="82" t="s">
        <v>157</v>
      </c>
      <c r="S482" s="241"/>
      <c r="T482" s="82"/>
      <c r="U482" s="241"/>
      <c r="V482" s="82"/>
      <c r="W482" s="88"/>
      <c r="X482" s="82"/>
      <c r="Y482" s="89"/>
      <c r="Z482" s="82"/>
      <c r="AA482" s="220"/>
      <c r="AB482" s="241"/>
      <c r="AC482" s="241"/>
      <c r="AD482" s="241"/>
      <c r="AE482" s="82"/>
      <c r="AF482" s="82"/>
      <c r="AG482" s="90"/>
      <c r="AH482" s="90"/>
      <c r="AI482" s="90"/>
      <c r="AJ482" s="90"/>
      <c r="AK482" s="82" t="s">
        <v>47</v>
      </c>
      <c r="AL482" s="82" t="str" cm="1">
        <f t="array" aca="1" ref="AL482" ca="1">_xlfn.IFS(
 AND($AK482&lt;&gt;"", M482&lt;&gt;0, M482&lt;=EDATE(TODAY(),2)),"도래",
 AND($AK482&lt;&gt;"", M482&lt;&gt;0, M482&lt;=EDATE(TODAY(),3)),"예정",
 AND($AK482&lt;&gt;"", M482&lt;&gt;0, M482&lt;=EDATE(TODAY(),6)),"관심",
 TRUE,""
)</f>
        <v>관심</v>
      </c>
      <c r="AM482" s="198">
        <v>25</v>
      </c>
    </row>
    <row r="483" spans="1:39" ht="18" customHeight="1">
      <c r="A483" s="81"/>
      <c r="B483" s="205" t="str">
        <f>_xlfn.LET(_xlpm.var,◆관리정보!B483,IF(_xlpm.var&lt;&gt;0,_xlpm.var,""))</f>
        <v>유석빌딩</v>
      </c>
      <c r="C483" s="82">
        <f>_xlfn.LET(_xlpm.var,◆관리정보!C483,IF(_xlpm.var&lt;&gt;0,_xlpm.var,""))</f>
        <v>101</v>
      </c>
      <c r="D483" s="83" t="s">
        <v>1886</v>
      </c>
      <c r="E483" s="84" t="str">
        <f t="shared" si="19"/>
        <v>유석빌딩101</v>
      </c>
      <c r="F483" s="87"/>
      <c r="G483" s="229"/>
      <c r="H483" s="229"/>
      <c r="I483" s="229"/>
      <c r="J483" s="229"/>
      <c r="K483" s="218"/>
      <c r="L483" s="87">
        <v>45703</v>
      </c>
      <c r="M483" s="87">
        <v>46433</v>
      </c>
      <c r="N483" s="82" t="s">
        <v>1887</v>
      </c>
      <c r="O483" s="82" t="s">
        <v>1888</v>
      </c>
      <c r="P483" s="241">
        <v>100000000</v>
      </c>
      <c r="Q483" s="241">
        <v>7300000</v>
      </c>
      <c r="R483" s="82" t="s">
        <v>157</v>
      </c>
      <c r="S483" s="241"/>
      <c r="T483" s="82"/>
      <c r="U483" s="241"/>
      <c r="V483" s="82"/>
      <c r="W483" s="88"/>
      <c r="X483" s="82"/>
      <c r="Y483" s="89"/>
      <c r="Z483" s="82"/>
      <c r="AA483" s="220"/>
      <c r="AB483" s="241"/>
      <c r="AC483" s="241"/>
      <c r="AD483" s="241"/>
      <c r="AE483" s="82"/>
      <c r="AF483" s="82"/>
      <c r="AG483" s="90"/>
      <c r="AH483" s="90"/>
      <c r="AI483" s="90"/>
      <c r="AJ483" s="90"/>
      <c r="AK483" s="82" t="s">
        <v>47</v>
      </c>
      <c r="AL483" s="82" t="str" cm="1">
        <f t="array" aca="1" ref="AL483" ca="1">_xlfn.IFS(
 AND($AK483&lt;&gt;"", M483&lt;&gt;0, M483&lt;=EDATE(TODAY(),2)),"도래",
 AND($AK483&lt;&gt;"", M483&lt;&gt;0, M483&lt;=EDATE(TODAY(),3)),"예정",
 AND($AK483&lt;&gt;"", M483&lt;&gt;0, M483&lt;=EDATE(TODAY(),6)),"관심",
 TRUE,""
)</f>
        <v/>
      </c>
      <c r="AM483" s="198">
        <v>15</v>
      </c>
    </row>
    <row r="484" spans="1:39" ht="18" customHeight="1">
      <c r="A484" s="81"/>
      <c r="B484" s="343" t="str">
        <f>_xlfn.LET(_xlpm.var,◆관리정보!B484,IF(_xlpm.var&lt;&gt;0,_xlpm.var,""))</f>
        <v>유석빌딩</v>
      </c>
      <c r="C484" s="344">
        <f>_xlfn.LET(_xlpm.var,◆관리정보!C484,IF(_xlpm.var&lt;&gt;0,_xlpm.var,""))</f>
        <v>102</v>
      </c>
      <c r="D484" s="345" t="s">
        <v>1889</v>
      </c>
      <c r="E484" s="84" t="str">
        <f t="shared" si="19"/>
        <v>유석빌딩102</v>
      </c>
      <c r="F484" s="87"/>
      <c r="G484" s="229"/>
      <c r="H484" s="229"/>
      <c r="I484" s="229"/>
      <c r="J484" s="229"/>
      <c r="K484" s="218"/>
      <c r="L484" s="87">
        <v>45589</v>
      </c>
      <c r="M484" s="87">
        <v>46318</v>
      </c>
      <c r="N484" s="82" t="s">
        <v>1890</v>
      </c>
      <c r="O484" s="82"/>
      <c r="P484" s="241">
        <v>8000000</v>
      </c>
      <c r="Q484" s="241">
        <v>0</v>
      </c>
      <c r="R484" s="82"/>
      <c r="S484" s="241"/>
      <c r="T484" s="82"/>
      <c r="U484" s="241"/>
      <c r="V484" s="82"/>
      <c r="W484" s="88"/>
      <c r="X484" s="82"/>
      <c r="Y484" s="89"/>
      <c r="Z484" s="82"/>
      <c r="AA484" s="90"/>
      <c r="AB484" s="241"/>
      <c r="AC484" s="241"/>
      <c r="AD484" s="241"/>
      <c r="AE484" s="82"/>
      <c r="AF484" s="82"/>
      <c r="AG484" s="90"/>
      <c r="AH484" s="90"/>
      <c r="AI484" s="90"/>
      <c r="AJ484" s="90"/>
      <c r="AK484" s="82" t="s">
        <v>47</v>
      </c>
      <c r="AL484" s="82" t="str" cm="1">
        <f t="array" aca="1" ref="AL484" ca="1">_xlfn.IFS(
 AND($AK484&lt;&gt;"", M484&lt;&gt;0, M484&lt;=EDATE(TODAY(),2)),"도래",
 AND($AK484&lt;&gt;"", M484&lt;&gt;0, M484&lt;=EDATE(TODAY(),3)),"예정",
 AND($AK484&lt;&gt;"", M484&lt;&gt;0, M484&lt;=EDATE(TODAY(),6)),"관심",
 TRUE,""
)</f>
        <v/>
      </c>
      <c r="AM484" s="198">
        <v>24</v>
      </c>
    </row>
    <row r="485" spans="1:39" ht="18" customHeight="1">
      <c r="A485" s="81"/>
      <c r="B485" s="205" t="str">
        <f>_xlfn.LET(_xlpm.var,◆관리정보!B485,IF(_xlpm.var&lt;&gt;0,_xlpm.var,""))</f>
        <v>유석빌딩</v>
      </c>
      <c r="C485" s="82" t="str">
        <f>_xlfn.LET(_xlpm.var,◆관리정보!C485,IF(_xlpm.var&lt;&gt;0,_xlpm.var,""))</f>
        <v>2층</v>
      </c>
      <c r="D485" s="83" t="s">
        <v>1891</v>
      </c>
      <c r="E485" s="84" t="str">
        <f t="shared" si="19"/>
        <v>유석빌딩2층</v>
      </c>
      <c r="F485" s="87"/>
      <c r="G485" s="229"/>
      <c r="H485" s="229"/>
      <c r="I485" s="229"/>
      <c r="J485" s="229"/>
      <c r="K485" s="218"/>
      <c r="L485" s="87">
        <v>45726</v>
      </c>
      <c r="M485" s="87">
        <v>46455</v>
      </c>
      <c r="N485" s="82" t="s">
        <v>1892</v>
      </c>
      <c r="O485" s="82" t="s">
        <v>1893</v>
      </c>
      <c r="P485" s="241">
        <v>60000000</v>
      </c>
      <c r="Q485" s="241">
        <v>4000000</v>
      </c>
      <c r="R485" s="82" t="s">
        <v>157</v>
      </c>
      <c r="S485" s="241"/>
      <c r="T485" s="82"/>
      <c r="U485" s="241"/>
      <c r="V485" s="82"/>
      <c r="W485" s="88"/>
      <c r="X485" s="82"/>
      <c r="Y485" s="89"/>
      <c r="Z485" s="82"/>
      <c r="AA485" s="90"/>
      <c r="AB485" s="241"/>
      <c r="AC485" s="241"/>
      <c r="AD485" s="241"/>
      <c r="AE485" s="82"/>
      <c r="AF485" s="82"/>
      <c r="AG485" s="90"/>
      <c r="AH485" s="90"/>
      <c r="AI485" s="90" t="s">
        <v>1894</v>
      </c>
      <c r="AJ485" s="90"/>
      <c r="AK485" s="82" t="s">
        <v>47</v>
      </c>
      <c r="AL485" s="82" t="str" cm="1">
        <f t="array" aca="1" ref="AL485" ca="1">_xlfn.IFS(
 AND($AK485&lt;&gt;"", M485&lt;&gt;0, M485&lt;=EDATE(TODAY(),2)),"도래",
 AND($AK485&lt;&gt;"", M485&lt;&gt;0, M485&lt;=EDATE(TODAY(),3)),"예정",
 AND($AK485&lt;&gt;"", M485&lt;&gt;0, M485&lt;=EDATE(TODAY(),6)),"관심",
 TRUE,""
)</f>
        <v/>
      </c>
      <c r="AM485" s="198">
        <v>10</v>
      </c>
    </row>
    <row r="486" spans="1:39" ht="18" customHeight="1">
      <c r="A486" s="81"/>
      <c r="B486" s="205" t="str">
        <f>_xlfn.LET(_xlpm.var,◆관리정보!B486,IF(_xlpm.var&lt;&gt;0,_xlpm.var,""))</f>
        <v>유석빌딩</v>
      </c>
      <c r="C486" s="82" t="str">
        <f>_xlfn.LET(_xlpm.var,◆관리정보!C486,IF(_xlpm.var&lt;&gt;0,_xlpm.var,""))</f>
        <v>3층</v>
      </c>
      <c r="D486" s="83" t="s">
        <v>1895</v>
      </c>
      <c r="E486" s="84" t="str">
        <f t="shared" si="19"/>
        <v>유석빌딩3층</v>
      </c>
      <c r="F486" s="87"/>
      <c r="G486" s="229"/>
      <c r="H486" s="229"/>
      <c r="I486" s="229"/>
      <c r="J486" s="229"/>
      <c r="K486" s="218"/>
      <c r="L486" s="87">
        <v>45818</v>
      </c>
      <c r="M486" s="87">
        <v>46547</v>
      </c>
      <c r="N486" s="82" t="s">
        <v>1896</v>
      </c>
      <c r="O486" s="82" t="s">
        <v>1897</v>
      </c>
      <c r="P486" s="241">
        <v>35000000</v>
      </c>
      <c r="Q486" s="241">
        <v>2800000</v>
      </c>
      <c r="R486" s="82" t="s">
        <v>157</v>
      </c>
      <c r="S486" s="241"/>
      <c r="T486" s="82"/>
      <c r="U486" s="241"/>
      <c r="V486" s="82"/>
      <c r="W486" s="88"/>
      <c r="X486" s="82"/>
      <c r="Y486" s="89"/>
      <c r="Z486" s="82"/>
      <c r="AA486" s="90"/>
      <c r="AB486" s="241"/>
      <c r="AC486" s="241"/>
      <c r="AD486" s="241"/>
      <c r="AE486" s="82"/>
      <c r="AF486" s="82"/>
      <c r="AG486" s="90"/>
      <c r="AH486" s="90"/>
      <c r="AI486" s="90"/>
      <c r="AJ486" s="90"/>
      <c r="AK486" s="82" t="s">
        <v>47</v>
      </c>
      <c r="AL486" s="82" t="str" cm="1">
        <f t="array" aca="1" ref="AL486" ca="1">_xlfn.IFS(
 AND($AK486&lt;&gt;"", M486&lt;&gt;0, M486&lt;=EDATE(TODAY(),2)),"도래",
 AND($AK486&lt;&gt;"", M486&lt;&gt;0, M486&lt;=EDATE(TODAY(),3)),"예정",
 AND($AK486&lt;&gt;"", M486&lt;&gt;0, M486&lt;=EDATE(TODAY(),6)),"관심",
 TRUE,""
)</f>
        <v/>
      </c>
      <c r="AM486" s="198">
        <v>10</v>
      </c>
    </row>
    <row r="487" spans="1:39" ht="18" customHeight="1">
      <c r="A487" s="81"/>
      <c r="B487" s="262" t="str">
        <f>_xlfn.LET(_xlpm.var,◆관리정보!B487,IF(_xlpm.var&lt;&gt;0,_xlpm.var,""))</f>
        <v>유석빌딩</v>
      </c>
      <c r="C487" s="263">
        <f>_xlfn.LET(_xlpm.var,◆관리정보!C487,IF(_xlpm.var&lt;&gt;0,_xlpm.var,""))</f>
        <v>401</v>
      </c>
      <c r="D487" s="91" t="s">
        <v>1898</v>
      </c>
      <c r="E487" s="84" t="str">
        <f t="shared" si="19"/>
        <v>유석빌딩401</v>
      </c>
      <c r="F487" s="87"/>
      <c r="G487" s="229"/>
      <c r="H487" s="229"/>
      <c r="I487" s="229"/>
      <c r="J487" s="229"/>
      <c r="K487" s="218"/>
      <c r="L487" s="87">
        <v>46101</v>
      </c>
      <c r="M487" s="87">
        <v>46832</v>
      </c>
      <c r="N487" s="82" t="s">
        <v>1899</v>
      </c>
      <c r="O487" s="82" t="s">
        <v>1900</v>
      </c>
      <c r="P487" s="241">
        <v>30000000</v>
      </c>
      <c r="Q487" s="241">
        <v>850000</v>
      </c>
      <c r="R487" s="82" t="s">
        <v>157</v>
      </c>
      <c r="S487" s="241"/>
      <c r="T487" s="82"/>
      <c r="U487" s="241"/>
      <c r="V487" s="82"/>
      <c r="W487" s="88"/>
      <c r="X487" s="82"/>
      <c r="Y487" s="89"/>
      <c r="Z487" s="82"/>
      <c r="AA487" s="90"/>
      <c r="AB487" s="241"/>
      <c r="AC487" s="241"/>
      <c r="AD487" s="241"/>
      <c r="AE487" s="82" t="s">
        <v>1901</v>
      </c>
      <c r="AF487" s="82" t="s">
        <v>1902</v>
      </c>
      <c r="AG487" s="90"/>
      <c r="AH487" s="90"/>
      <c r="AI487" s="90" t="s">
        <v>1903</v>
      </c>
      <c r="AJ487" s="90"/>
      <c r="AK487" s="82" t="s">
        <v>47</v>
      </c>
      <c r="AL487" s="82" t="str" cm="1">
        <f t="array" aca="1" ref="AL487" ca="1">_xlfn.IFS(
 AND($AK487&lt;&gt;"", M487&lt;&gt;0, M487&lt;=EDATE(TODAY(),2)),"도래",
 AND($AK487&lt;&gt;"", M487&lt;&gt;0, M487&lt;=EDATE(TODAY(),3)),"예정",
 AND($AK487&lt;&gt;"", M487&lt;&gt;0, M487&lt;=EDATE(TODAY(),6)),"관심",
 TRUE,""
)</f>
        <v/>
      </c>
      <c r="AM487" s="198">
        <v>20</v>
      </c>
    </row>
    <row r="488" spans="1:39" ht="18" customHeight="1">
      <c r="A488" s="81"/>
      <c r="B488" s="237" t="str">
        <f>_xlfn.LET(_xlpm.var,◆관리정보!B488,IF(_xlpm.var&lt;&gt;0,_xlpm.var,""))</f>
        <v>유석빌딩</v>
      </c>
      <c r="C488" s="238">
        <f>_xlfn.LET(_xlpm.var,◆관리정보!C488,IF(_xlpm.var&lt;&gt;0,_xlpm.var,""))</f>
        <v>402</v>
      </c>
      <c r="D488" s="239" t="s">
        <v>195</v>
      </c>
      <c r="E488" s="84" t="str">
        <f t="shared" si="19"/>
        <v>유석빌딩402</v>
      </c>
      <c r="F488" s="87"/>
      <c r="G488" s="229"/>
      <c r="H488" s="229"/>
      <c r="I488" s="229"/>
      <c r="J488" s="229"/>
      <c r="K488" s="218"/>
      <c r="L488" s="87"/>
      <c r="M488" s="87"/>
      <c r="N488" s="82" t="s">
        <v>1904</v>
      </c>
      <c r="O488" s="82"/>
      <c r="P488" s="261"/>
      <c r="Q488" s="261"/>
      <c r="R488" s="82"/>
      <c r="S488" s="261"/>
      <c r="T488" s="82"/>
      <c r="U488" s="261"/>
      <c r="V488" s="82"/>
      <c r="W488" s="338"/>
      <c r="X488" s="82"/>
      <c r="Y488" s="339"/>
      <c r="Z488" s="82"/>
      <c r="AA488" s="90"/>
      <c r="AB488" s="261"/>
      <c r="AC488" s="261"/>
      <c r="AD488" s="261"/>
      <c r="AE488" s="82"/>
      <c r="AF488" s="82"/>
      <c r="AG488" s="90"/>
      <c r="AH488" s="90"/>
      <c r="AI488" s="90"/>
      <c r="AJ488" s="90"/>
      <c r="AK488" s="82" t="s">
        <v>47</v>
      </c>
      <c r="AL488" s="82" t="str" cm="1">
        <f t="array" aca="1" ref="AL488" ca="1">_xlfn.IFS(
 AND($AK488&lt;&gt;"", M488&lt;&gt;0, M488&lt;=EDATE(TODAY(),2)),"도래",
 AND($AK488&lt;&gt;"", M488&lt;&gt;0, M488&lt;=EDATE(TODAY(),3)),"예정",
 AND($AK488&lt;&gt;"", M488&lt;&gt;0, M488&lt;=EDATE(TODAY(),6)),"관심",
 TRUE,""
)</f>
        <v/>
      </c>
      <c r="AM488" s="198">
        <v>0</v>
      </c>
    </row>
    <row r="489" spans="1:39" ht="18" customHeight="1">
      <c r="A489" s="81"/>
      <c r="B489" s="205" t="str">
        <f>_xlfn.LET(_xlpm.var,◆관리정보!B489,IF(_xlpm.var&lt;&gt;0,_xlpm.var,""))</f>
        <v>에이스빌딩</v>
      </c>
      <c r="C489" s="82" t="str">
        <f>_xlfn.LET(_xlpm.var,◆관리정보!C489,IF(_xlpm.var&lt;&gt;0,_xlpm.var,""))</f>
        <v>B01</v>
      </c>
      <c r="D489" s="83" t="s">
        <v>1905</v>
      </c>
      <c r="E489" s="84" t="str">
        <f t="shared" si="19"/>
        <v>에이스빌딩B01</v>
      </c>
      <c r="F489" s="87">
        <v>46096</v>
      </c>
      <c r="G489" s="229"/>
      <c r="H489" s="229"/>
      <c r="I489" s="229"/>
      <c r="J489" s="229">
        <f>590502+5906</f>
        <v>596408</v>
      </c>
      <c r="K489" s="218"/>
      <c r="L489" s="316">
        <v>45465</v>
      </c>
      <c r="M489" s="316">
        <v>46102</v>
      </c>
      <c r="N489" s="82" t="s">
        <v>1906</v>
      </c>
      <c r="O489" s="82" t="s">
        <v>1907</v>
      </c>
      <c r="P489" s="241">
        <v>10000000</v>
      </c>
      <c r="Q489" s="241">
        <v>2652500</v>
      </c>
      <c r="R489" s="82" t="s">
        <v>1908</v>
      </c>
      <c r="S489" s="241" t="s">
        <v>1909</v>
      </c>
      <c r="T489" s="82"/>
      <c r="U489" s="241"/>
      <c r="V489" s="82"/>
      <c r="W489" s="88"/>
      <c r="X489" s="82"/>
      <c r="Y489" s="89"/>
      <c r="Z489" s="82"/>
      <c r="AA489" s="90"/>
      <c r="AB489" s="241"/>
      <c r="AC489" s="241"/>
      <c r="AD489" s="241"/>
      <c r="AE489" s="82"/>
      <c r="AF489" s="82"/>
      <c r="AG489" s="90"/>
      <c r="AH489" s="90"/>
      <c r="AI489" s="331" t="s">
        <v>1910</v>
      </c>
      <c r="AJ489" s="90"/>
      <c r="AK489" s="82" t="s">
        <v>47</v>
      </c>
      <c r="AL489" s="82" t="str" cm="1">
        <f t="array" aca="1" ref="AL489" ca="1">_xlfn.IFS(
 AND($AK489&lt;&gt;"", M489&lt;&gt;0, M489&lt;=EDATE(TODAY(),2)),"도래",
 AND($AK489&lt;&gt;"", M489&lt;&gt;0, M489&lt;=EDATE(TODAY(),3)),"예정",
 AND($AK489&lt;&gt;"", M489&lt;&gt;0, M489&lt;=EDATE(TODAY(),6)),"관심",
 TRUE,""
)</f>
        <v>도래</v>
      </c>
      <c r="AM489" s="198">
        <v>22</v>
      </c>
    </row>
    <row r="490" spans="1:39" ht="18" customHeight="1">
      <c r="A490" s="81"/>
      <c r="B490" s="205" t="str">
        <f>_xlfn.LET(_xlpm.var,◆관리정보!B490,IF(_xlpm.var&lt;&gt;0,_xlpm.var,""))</f>
        <v>에이스빌딩</v>
      </c>
      <c r="C490" s="82" t="str">
        <f>_xlfn.LET(_xlpm.var,◆관리정보!C490,IF(_xlpm.var&lt;&gt;0,_xlpm.var,""))</f>
        <v>1층</v>
      </c>
      <c r="D490" s="83" t="s">
        <v>1911</v>
      </c>
      <c r="E490" s="84" t="str">
        <f t="shared" si="19"/>
        <v>에이스빌딩1층</v>
      </c>
      <c r="F490" s="87">
        <v>46127</v>
      </c>
      <c r="G490" s="229"/>
      <c r="H490" s="229"/>
      <c r="I490" s="229"/>
      <c r="J490" s="229"/>
      <c r="K490" s="218"/>
      <c r="L490" s="87">
        <v>45627</v>
      </c>
      <c r="M490" s="87">
        <v>46356</v>
      </c>
      <c r="N490" s="82" t="s">
        <v>1912</v>
      </c>
      <c r="O490" s="82" t="s">
        <v>1913</v>
      </c>
      <c r="P490" s="241">
        <v>80000000</v>
      </c>
      <c r="Q490" s="241">
        <v>7350000</v>
      </c>
      <c r="R490" s="82" t="s">
        <v>1914</v>
      </c>
      <c r="S490" s="241" t="s">
        <v>1909</v>
      </c>
      <c r="T490" s="82"/>
      <c r="U490" s="241"/>
      <c r="V490" s="82"/>
      <c r="W490" s="88"/>
      <c r="X490" s="82"/>
      <c r="Y490" s="89"/>
      <c r="Z490" s="82"/>
      <c r="AA490" s="90"/>
      <c r="AB490" s="241"/>
      <c r="AC490" s="241"/>
      <c r="AD490" s="241"/>
      <c r="AE490" s="82"/>
      <c r="AF490" s="82"/>
      <c r="AG490" s="90"/>
      <c r="AH490" s="90"/>
      <c r="AI490" s="331" t="s">
        <v>1915</v>
      </c>
      <c r="AJ490" s="90"/>
      <c r="AK490" s="82" t="s">
        <v>47</v>
      </c>
      <c r="AL490" s="82" t="str" cm="1">
        <f t="array" aca="1" ref="AL490" ca="1">_xlfn.IFS(
 AND($AK490&lt;&gt;"", M490&lt;&gt;0, M490&lt;=EDATE(TODAY(),2)),"도래",
 AND($AK490&lt;&gt;"", M490&lt;&gt;0, M490&lt;=EDATE(TODAY(),3)),"예정",
 AND($AK490&lt;&gt;"", M490&lt;&gt;0, M490&lt;=EDATE(TODAY(),6)),"관심",
 TRUE,""
)</f>
        <v/>
      </c>
      <c r="AM490" s="198">
        <v>1</v>
      </c>
    </row>
    <row r="491" spans="1:39" ht="18" customHeight="1">
      <c r="A491" s="81"/>
      <c r="B491" s="205" t="str">
        <f>_xlfn.LET(_xlpm.var,◆관리정보!B491,IF(_xlpm.var&lt;&gt;0,_xlpm.var,""))</f>
        <v>에이스빌딩</v>
      </c>
      <c r="C491" s="82" t="str">
        <f>_xlfn.LET(_xlpm.var,◆관리정보!C491,IF(_xlpm.var&lt;&gt;0,_xlpm.var,""))</f>
        <v>2층</v>
      </c>
      <c r="D491" s="83" t="s">
        <v>1916</v>
      </c>
      <c r="E491" s="84" t="str">
        <f t="shared" si="19"/>
        <v>에이스빌딩2층</v>
      </c>
      <c r="F491" s="87">
        <v>46127</v>
      </c>
      <c r="G491" s="229"/>
      <c r="H491" s="229"/>
      <c r="I491" s="229"/>
      <c r="J491" s="229"/>
      <c r="K491" s="218"/>
      <c r="L491" s="87">
        <v>45691</v>
      </c>
      <c r="M491" s="87">
        <v>46420</v>
      </c>
      <c r="N491" s="82" t="s">
        <v>1917</v>
      </c>
      <c r="O491" s="82" t="s">
        <v>1918</v>
      </c>
      <c r="P491" s="241">
        <v>100000000</v>
      </c>
      <c r="Q491" s="241">
        <v>4000000</v>
      </c>
      <c r="R491" s="82" t="s">
        <v>1914</v>
      </c>
      <c r="S491" s="241" t="s">
        <v>1909</v>
      </c>
      <c r="T491" s="82"/>
      <c r="U491" s="241"/>
      <c r="V491" s="82"/>
      <c r="W491" s="88"/>
      <c r="X491" s="82"/>
      <c r="Y491" s="89"/>
      <c r="Z491" s="82"/>
      <c r="AA491" s="90"/>
      <c r="AB491" s="241"/>
      <c r="AC491" s="241"/>
      <c r="AD491" s="241"/>
      <c r="AE491" s="82"/>
      <c r="AF491" s="82"/>
      <c r="AG491" s="90"/>
      <c r="AH491" s="90"/>
      <c r="AI491" s="332"/>
      <c r="AJ491" s="90"/>
      <c r="AK491" s="82" t="s">
        <v>47</v>
      </c>
      <c r="AL491" s="82" t="str" cm="1">
        <f t="array" aca="1" ref="AL491" ca="1">_xlfn.IFS(
 AND($AK491&lt;&gt;"", M491&lt;&gt;0, M491&lt;=EDATE(TODAY(),2)),"도래",
 AND($AK491&lt;&gt;"", M491&lt;&gt;0, M491&lt;=EDATE(TODAY(),3)),"예정",
 AND($AK491&lt;&gt;"", M491&lt;&gt;0, M491&lt;=EDATE(TODAY(),6)),"관심",
 TRUE,""
)</f>
        <v/>
      </c>
      <c r="AM491" s="198">
        <v>3</v>
      </c>
    </row>
    <row r="492" spans="1:39" ht="18" customHeight="1">
      <c r="A492" s="81"/>
      <c r="B492" s="205" t="str">
        <f>_xlfn.LET(_xlpm.var,◆관리정보!B492,IF(_xlpm.var&lt;&gt;0,_xlpm.var,""))</f>
        <v>에이스빌딩</v>
      </c>
      <c r="C492" s="82" t="str">
        <f>_xlfn.LET(_xlpm.var,◆관리정보!C492,IF(_xlpm.var&lt;&gt;0,_xlpm.var,""))</f>
        <v>3층</v>
      </c>
      <c r="D492" s="83" t="s">
        <v>1919</v>
      </c>
      <c r="E492" s="84" t="str">
        <f t="shared" si="19"/>
        <v>에이스빌딩3층</v>
      </c>
      <c r="F492" s="87">
        <v>46127</v>
      </c>
      <c r="G492" s="229"/>
      <c r="H492" s="229"/>
      <c r="I492" s="229"/>
      <c r="J492" s="229"/>
      <c r="K492" s="218"/>
      <c r="L492" s="87">
        <v>45691</v>
      </c>
      <c r="M492" s="87">
        <v>46420</v>
      </c>
      <c r="N492" s="82" t="s">
        <v>1920</v>
      </c>
      <c r="O492" s="82" t="s">
        <v>1921</v>
      </c>
      <c r="P492" s="241">
        <v>50000000</v>
      </c>
      <c r="Q492" s="241">
        <v>4000000</v>
      </c>
      <c r="R492" s="82" t="s">
        <v>1914</v>
      </c>
      <c r="S492" s="241" t="s">
        <v>1909</v>
      </c>
      <c r="T492" s="82"/>
      <c r="U492" s="241"/>
      <c r="V492" s="82"/>
      <c r="W492" s="88"/>
      <c r="X492" s="82"/>
      <c r="Y492" s="89"/>
      <c r="Z492" s="82"/>
      <c r="AA492" s="90"/>
      <c r="AB492" s="241"/>
      <c r="AC492" s="241"/>
      <c r="AD492" s="241"/>
      <c r="AE492" s="82"/>
      <c r="AF492" s="82"/>
      <c r="AG492" s="90"/>
      <c r="AH492" s="90"/>
      <c r="AI492" s="332"/>
      <c r="AJ492" s="90"/>
      <c r="AK492" s="82" t="s">
        <v>47</v>
      </c>
      <c r="AL492" s="82" t="str" cm="1">
        <f t="array" aca="1" ref="AL492" ca="1">_xlfn.IFS(
 AND($AK492&lt;&gt;"", M492&lt;&gt;0, M492&lt;=EDATE(TODAY(),2)),"도래",
 AND($AK492&lt;&gt;"", M492&lt;&gt;0, M492&lt;=EDATE(TODAY(),3)),"예정",
 AND($AK492&lt;&gt;"", M492&lt;&gt;0, M492&lt;=EDATE(TODAY(),6)),"관심",
 TRUE,""
)</f>
        <v/>
      </c>
      <c r="AM492" s="198">
        <v>3</v>
      </c>
    </row>
    <row r="493" spans="1:39" ht="18" customHeight="1">
      <c r="A493" s="81"/>
      <c r="B493" s="205" t="str">
        <f>_xlfn.LET(_xlpm.var,◆관리정보!B493,IF(_xlpm.var&lt;&gt;0,_xlpm.var,""))</f>
        <v>에이스빌딩</v>
      </c>
      <c r="C493" s="82" t="str">
        <f>_xlfn.LET(_xlpm.var,◆관리정보!C493,IF(_xlpm.var&lt;&gt;0,_xlpm.var,""))</f>
        <v>4층</v>
      </c>
      <c r="D493" s="83" t="s">
        <v>1922</v>
      </c>
      <c r="E493" s="84" t="str">
        <f t="shared" si="19"/>
        <v>에이스빌딩4층</v>
      </c>
      <c r="F493" s="87">
        <v>46127</v>
      </c>
      <c r="G493" s="229"/>
      <c r="H493" s="229"/>
      <c r="I493" s="229"/>
      <c r="J493" s="229"/>
      <c r="K493" s="218"/>
      <c r="L493" s="87">
        <v>45691</v>
      </c>
      <c r="M493" s="87">
        <v>46420</v>
      </c>
      <c r="N493" s="82" t="s">
        <v>1923</v>
      </c>
      <c r="O493" s="82" t="s">
        <v>1924</v>
      </c>
      <c r="P493" s="241">
        <v>50000000</v>
      </c>
      <c r="Q493" s="241">
        <v>3500000</v>
      </c>
      <c r="R493" s="82" t="s">
        <v>1914</v>
      </c>
      <c r="S493" s="241" t="s">
        <v>1909</v>
      </c>
      <c r="T493" s="82"/>
      <c r="U493" s="241"/>
      <c r="V493" s="82"/>
      <c r="W493" s="88"/>
      <c r="X493" s="82"/>
      <c r="Y493" s="89"/>
      <c r="Z493" s="82"/>
      <c r="AA493" s="90"/>
      <c r="AB493" s="241"/>
      <c r="AC493" s="241"/>
      <c r="AD493" s="241"/>
      <c r="AE493" s="82"/>
      <c r="AF493" s="82"/>
      <c r="AG493" s="90"/>
      <c r="AH493" s="90"/>
      <c r="AI493" s="332"/>
      <c r="AJ493" s="90"/>
      <c r="AK493" s="82" t="s">
        <v>47</v>
      </c>
      <c r="AL493" s="82" t="str" cm="1">
        <f t="array" aca="1" ref="AL493" ca="1">_xlfn.IFS(
 AND($AK493&lt;&gt;"", M493&lt;&gt;0, M493&lt;=EDATE(TODAY(),2)),"도래",
 AND($AK493&lt;&gt;"", M493&lt;&gt;0, M493&lt;=EDATE(TODAY(),3)),"예정",
 AND($AK493&lt;&gt;"", M493&lt;&gt;0, M493&lt;=EDATE(TODAY(),6)),"관심",
 TRUE,""
)</f>
        <v/>
      </c>
      <c r="AM493" s="198">
        <v>3</v>
      </c>
    </row>
    <row r="494" spans="1:39" ht="18" customHeight="1">
      <c r="A494" s="81"/>
      <c r="B494" s="242" t="str">
        <f>_xlfn.LET(_xlpm.var,◆관리정보!B494,IF(_xlpm.var&lt;&gt;0,_xlpm.var,""))</f>
        <v>에이스빌딩</v>
      </c>
      <c r="C494" s="243" t="str">
        <f>_xlfn.LET(_xlpm.var,◆관리정보!C494,IF(_xlpm.var&lt;&gt;0,_xlpm.var,""))</f>
        <v>5층</v>
      </c>
      <c r="D494" s="244" t="s">
        <v>209</v>
      </c>
      <c r="E494" s="84" t="str">
        <f t="shared" si="19"/>
        <v>에이스빌딩5층</v>
      </c>
      <c r="F494" s="87"/>
      <c r="G494" s="229"/>
      <c r="H494" s="229"/>
      <c r="I494" s="229"/>
      <c r="J494" s="229"/>
      <c r="K494" s="218"/>
      <c r="L494" s="87"/>
      <c r="M494" s="87"/>
      <c r="N494" s="82" t="s">
        <v>1925</v>
      </c>
      <c r="O494" s="82"/>
      <c r="P494" s="241"/>
      <c r="Q494" s="241"/>
      <c r="R494" s="82"/>
      <c r="S494" s="241"/>
      <c r="T494" s="82"/>
      <c r="U494" s="241"/>
      <c r="V494" s="82"/>
      <c r="W494" s="88"/>
      <c r="X494" s="82"/>
      <c r="Y494" s="89"/>
      <c r="Z494" s="82"/>
      <c r="AA494" s="90"/>
      <c r="AB494" s="241"/>
      <c r="AC494" s="241"/>
      <c r="AD494" s="241"/>
      <c r="AE494" s="82"/>
      <c r="AF494" s="82"/>
      <c r="AG494" s="90"/>
      <c r="AH494" s="90"/>
      <c r="AI494" s="332"/>
      <c r="AJ494" s="90"/>
      <c r="AK494" s="82" t="s">
        <v>47</v>
      </c>
      <c r="AL494" s="82" t="str" cm="1">
        <f t="array" aca="1" ref="AL494" ca="1">_xlfn.IFS(
 AND($AK494&lt;&gt;"", M494&lt;&gt;0, M494&lt;=EDATE(TODAY(),2)),"도래",
 AND($AK494&lt;&gt;"", M494&lt;&gt;0, M494&lt;=EDATE(TODAY(),3)),"예정",
 AND($AK494&lt;&gt;"", M494&lt;&gt;0, M494&lt;=EDATE(TODAY(),6)),"관심",
 TRUE,""
)</f>
        <v/>
      </c>
      <c r="AM494" s="198">
        <v>0</v>
      </c>
    </row>
    <row r="495" spans="1:39" ht="18" customHeight="1">
      <c r="A495" s="81"/>
      <c r="B495" s="205" t="str">
        <f>_xlfn.LET(_xlpm.var,◆관리정보!B495,IF(_xlpm.var&lt;&gt;0,_xlpm.var,""))</f>
        <v>에이스빌딩</v>
      </c>
      <c r="C495" s="82" t="str">
        <f>_xlfn.LET(_xlpm.var,◆관리정보!C495,IF(_xlpm.var&lt;&gt;0,_xlpm.var,""))</f>
        <v>6층</v>
      </c>
      <c r="D495" s="83" t="s">
        <v>1926</v>
      </c>
      <c r="E495" s="84" t="str">
        <f t="shared" si="19"/>
        <v>에이스빌딩6층</v>
      </c>
      <c r="F495" s="87">
        <v>46127</v>
      </c>
      <c r="G495" s="229"/>
      <c r="H495" s="229"/>
      <c r="I495" s="229"/>
      <c r="J495" s="229"/>
      <c r="K495" s="218"/>
      <c r="L495" s="87">
        <v>45174</v>
      </c>
      <c r="M495" s="87">
        <v>45904</v>
      </c>
      <c r="N495" s="82" t="s">
        <v>1927</v>
      </c>
      <c r="O495" s="82" t="s">
        <v>1928</v>
      </c>
      <c r="P495" s="241">
        <v>50000000</v>
      </c>
      <c r="Q495" s="241">
        <v>3500000</v>
      </c>
      <c r="R495" s="82" t="s">
        <v>1929</v>
      </c>
      <c r="S495" s="241" t="s">
        <v>1909</v>
      </c>
      <c r="T495" s="82"/>
      <c r="U495" s="241"/>
      <c r="V495" s="82"/>
      <c r="W495" s="88"/>
      <c r="X495" s="82"/>
      <c r="Y495" s="89"/>
      <c r="Z495" s="82"/>
      <c r="AA495" s="90"/>
      <c r="AB495" s="241"/>
      <c r="AC495" s="241"/>
      <c r="AD495" s="241"/>
      <c r="AE495" s="82"/>
      <c r="AF495" s="82"/>
      <c r="AG495" s="90"/>
      <c r="AH495" s="90"/>
      <c r="AI495" s="332"/>
      <c r="AJ495" s="90"/>
      <c r="AK495" s="82" t="s">
        <v>47</v>
      </c>
      <c r="AL495" s="82" t="str" cm="1">
        <f t="array" aca="1" ref="AL495" ca="1">_xlfn.IFS(
 AND($AK495&lt;&gt;"", M495&lt;&gt;0, M495&lt;=EDATE(TODAY(),2)),"도래",
 AND($AK495&lt;&gt;"", M495&lt;&gt;0, M495&lt;=EDATE(TODAY(),3)),"예정",
 AND($AK495&lt;&gt;"", M495&lt;&gt;0, M495&lt;=EDATE(TODAY(),6)),"관심",
 TRUE,""
)</f>
        <v>도래</v>
      </c>
      <c r="AM495" s="198">
        <v>5</v>
      </c>
    </row>
    <row r="496" spans="1:39" ht="18" customHeight="1">
      <c r="A496" s="81"/>
      <c r="B496" s="392" t="str">
        <f>_xlfn.LET(_xlpm.var,◆관리정보!B496,IF(_xlpm.var&lt;&gt;0,_xlpm.var,""))</f>
        <v>에이스빌딩</v>
      </c>
      <c r="C496" s="393" t="str">
        <f>_xlfn.LET(_xlpm.var,◆관리정보!C496,IF(_xlpm.var&lt;&gt;0,_xlpm.var,""))</f>
        <v>7층</v>
      </c>
      <c r="D496" s="394" t="s">
        <v>1930</v>
      </c>
      <c r="E496" s="84" t="str">
        <f t="shared" si="19"/>
        <v>에이스빌딩7층</v>
      </c>
      <c r="F496" s="87">
        <v>46096</v>
      </c>
      <c r="G496" s="229">
        <f>4180000-1180000</f>
        <v>3000000</v>
      </c>
      <c r="H496" s="229"/>
      <c r="I496" s="229">
        <v>4180000</v>
      </c>
      <c r="J496" s="229"/>
      <c r="K496" s="218"/>
      <c r="L496" s="87">
        <v>45301</v>
      </c>
      <c r="M496" s="87">
        <v>46031</v>
      </c>
      <c r="N496" s="82" t="s">
        <v>1931</v>
      </c>
      <c r="O496" s="82" t="s">
        <v>1932</v>
      </c>
      <c r="P496" s="241">
        <v>50000000</v>
      </c>
      <c r="Q496" s="241">
        <v>3800000</v>
      </c>
      <c r="R496" s="82" t="s">
        <v>1933</v>
      </c>
      <c r="S496" s="241" t="s">
        <v>1909</v>
      </c>
      <c r="T496" s="82"/>
      <c r="U496" s="241"/>
      <c r="V496" s="82"/>
      <c r="W496" s="88"/>
      <c r="X496" s="82"/>
      <c r="Y496" s="89"/>
      <c r="Z496" s="82"/>
      <c r="AA496" s="90"/>
      <c r="AB496" s="241"/>
      <c r="AC496" s="241"/>
      <c r="AD496" s="241"/>
      <c r="AE496" s="82"/>
      <c r="AF496" s="82"/>
      <c r="AG496" s="90"/>
      <c r="AH496" s="90"/>
      <c r="AI496" s="332" t="s">
        <v>1934</v>
      </c>
      <c r="AJ496" s="90"/>
      <c r="AK496" s="82" t="s">
        <v>47</v>
      </c>
      <c r="AL496" s="82" t="str" cm="1">
        <f t="array" aca="1" ref="AL496" ca="1">_xlfn.IFS(
 AND($AK496&lt;&gt;"", M496&lt;&gt;0, M496&lt;=EDATE(TODAY(),2)),"도래",
 AND($AK496&lt;&gt;"", M496&lt;&gt;0, M496&lt;=EDATE(TODAY(),3)),"예정",
 AND($AK496&lt;&gt;"", M496&lt;&gt;0, M496&lt;=EDATE(TODAY(),6)),"관심",
 TRUE,""
)</f>
        <v>도래</v>
      </c>
      <c r="AM496" s="198">
        <v>10</v>
      </c>
    </row>
    <row r="497" spans="1:39" ht="18" customHeight="1">
      <c r="A497" s="81"/>
      <c r="B497" s="205" t="str">
        <f>_xlfn.LET(_xlpm.var,◆관리정보!B497,IF(_xlpm.var&lt;&gt;0,_xlpm.var,""))</f>
        <v>에이스빌딩</v>
      </c>
      <c r="C497" s="82" t="str">
        <f>_xlfn.LET(_xlpm.var,◆관리정보!C497,IF(_xlpm.var&lt;&gt;0,_xlpm.var,""))</f>
        <v>8층</v>
      </c>
      <c r="D497" s="83" t="s">
        <v>1935</v>
      </c>
      <c r="E497" s="84" t="str">
        <f t="shared" si="19"/>
        <v>에이스빌딩8층</v>
      </c>
      <c r="F497" s="87">
        <v>46127</v>
      </c>
      <c r="G497" s="229"/>
      <c r="H497" s="229"/>
      <c r="I497" s="229"/>
      <c r="J497" s="229"/>
      <c r="K497" s="218"/>
      <c r="L497" s="87">
        <v>45691</v>
      </c>
      <c r="M497" s="87">
        <v>47516</v>
      </c>
      <c r="N497" s="82" t="s">
        <v>1936</v>
      </c>
      <c r="O497" s="82" t="s">
        <v>1937</v>
      </c>
      <c r="P497" s="241">
        <v>1150000000</v>
      </c>
      <c r="Q497" s="241" t="s">
        <v>482</v>
      </c>
      <c r="R497" s="82"/>
      <c r="S497" s="241" t="s">
        <v>1909</v>
      </c>
      <c r="T497" s="82"/>
      <c r="U497" s="241"/>
      <c r="V497" s="82"/>
      <c r="W497" s="88"/>
      <c r="X497" s="82"/>
      <c r="Y497" s="89"/>
      <c r="Z497" s="82"/>
      <c r="AA497" s="90"/>
      <c r="AB497" s="241"/>
      <c r="AC497" s="241"/>
      <c r="AD497" s="241"/>
      <c r="AE497" s="82"/>
      <c r="AF497" s="82"/>
      <c r="AG497" s="90"/>
      <c r="AH497" s="90"/>
      <c r="AI497" s="332" t="s">
        <v>1938</v>
      </c>
      <c r="AJ497" s="90"/>
      <c r="AK497" s="82" t="s">
        <v>47</v>
      </c>
      <c r="AL497" s="82" t="str" cm="1">
        <f t="array" aca="1" ref="AL497" ca="1">_xlfn.IFS(
 AND($AK497&lt;&gt;"", M497&lt;&gt;0, M497&lt;=EDATE(TODAY(),2)),"도래",
 AND($AK497&lt;&gt;"", M497&lt;&gt;0, M497&lt;=EDATE(TODAY(),3)),"예정",
 AND($AK497&lt;&gt;"", M497&lt;&gt;0, M497&lt;=EDATE(TODAY(),6)),"관심",
 TRUE,""
)</f>
        <v/>
      </c>
      <c r="AM497" s="198">
        <v>3</v>
      </c>
    </row>
    <row r="498" spans="1:39" ht="18" customHeight="1">
      <c r="A498" s="81"/>
      <c r="B498" s="205" t="str">
        <f>_xlfn.LET(_xlpm.var,◆관리정보!B498,IF(_xlpm.var&lt;&gt;0,_xlpm.var,""))</f>
        <v>에이스빌딩</v>
      </c>
      <c r="C498" s="82" t="str">
        <f>_xlfn.LET(_xlpm.var,◆관리정보!C498,IF(_xlpm.var&lt;&gt;0,_xlpm.var,""))</f>
        <v>9층</v>
      </c>
      <c r="D498" s="83" t="s">
        <v>1935</v>
      </c>
      <c r="E498" s="84" t="str">
        <f t="shared" si="19"/>
        <v>에이스빌딩9층</v>
      </c>
      <c r="F498" s="87">
        <v>46127</v>
      </c>
      <c r="G498" s="229"/>
      <c r="H498" s="229"/>
      <c r="I498" s="229"/>
      <c r="J498" s="229"/>
      <c r="K498" s="218"/>
      <c r="L498" s="87">
        <v>45691</v>
      </c>
      <c r="M498" s="87">
        <v>47516</v>
      </c>
      <c r="N498" s="82" t="s">
        <v>1939</v>
      </c>
      <c r="O498" s="82" t="s">
        <v>1940</v>
      </c>
      <c r="P498" s="241"/>
      <c r="Q498" s="241"/>
      <c r="R498" s="82"/>
      <c r="S498" s="241" t="s">
        <v>1909</v>
      </c>
      <c r="T498" s="82"/>
      <c r="U498" s="241"/>
      <c r="V498" s="82"/>
      <c r="W498" s="88"/>
      <c r="X498" s="82"/>
      <c r="Y498" s="89"/>
      <c r="Z498" s="82"/>
      <c r="AA498" s="90"/>
      <c r="AB498" s="241"/>
      <c r="AC498" s="241"/>
      <c r="AD498" s="241"/>
      <c r="AE498" s="82"/>
      <c r="AF498" s="82"/>
      <c r="AG498" s="90"/>
      <c r="AH498" s="90"/>
      <c r="AI498" s="332"/>
      <c r="AJ498" s="90"/>
      <c r="AK498" s="82" t="s">
        <v>47</v>
      </c>
      <c r="AL498" s="82" t="str" cm="1">
        <f t="array" aca="1" ref="AL498" ca="1">_xlfn.IFS(
 AND($AK498&lt;&gt;"", M498&lt;&gt;0, M498&lt;=EDATE(TODAY(),2)),"도래",
 AND($AK498&lt;&gt;"", M498&lt;&gt;0, M498&lt;=EDATE(TODAY(),3)),"예정",
 AND($AK498&lt;&gt;"", M498&lt;&gt;0, M498&lt;=EDATE(TODAY(),6)),"관심",
 TRUE,""
)</f>
        <v/>
      </c>
      <c r="AM498" s="198">
        <v>3</v>
      </c>
    </row>
    <row r="499" spans="1:39" ht="18" customHeight="1">
      <c r="A499" s="81"/>
      <c r="B499" s="205" t="str">
        <f>_xlfn.LET(_xlpm.var,◆관리정보!B499,IF(_xlpm.var&lt;&gt;0,_xlpm.var,""))</f>
        <v>에이스빌딩</v>
      </c>
      <c r="C499" s="82" t="str">
        <f>_xlfn.LET(_xlpm.var,◆관리정보!C499,IF(_xlpm.var&lt;&gt;0,_xlpm.var,""))</f>
        <v>옥상1</v>
      </c>
      <c r="D499" s="83" t="s">
        <v>1941</v>
      </c>
      <c r="E499" s="84" t="str">
        <f t="shared" si="19"/>
        <v>에이스빌딩옥상1</v>
      </c>
      <c r="F499" s="87"/>
      <c r="G499" s="229"/>
      <c r="H499" s="229"/>
      <c r="I499" s="229"/>
      <c r="J499" s="229"/>
      <c r="K499" s="218"/>
      <c r="L499" s="87">
        <v>45691</v>
      </c>
      <c r="M499" s="87">
        <v>46420</v>
      </c>
      <c r="N499" s="82" t="s">
        <v>1942</v>
      </c>
      <c r="O499" s="82" t="s">
        <v>1943</v>
      </c>
      <c r="P499" s="241"/>
      <c r="Q499" s="241" t="s">
        <v>1944</v>
      </c>
      <c r="R499" s="82"/>
      <c r="S499" s="241"/>
      <c r="T499" s="82"/>
      <c r="U499" s="241"/>
      <c r="V499" s="82"/>
      <c r="W499" s="88"/>
      <c r="X499" s="82"/>
      <c r="Y499" s="89"/>
      <c r="Z499" s="82"/>
      <c r="AA499" s="90"/>
      <c r="AB499" s="241"/>
      <c r="AC499" s="241"/>
      <c r="AD499" s="241"/>
      <c r="AE499" s="82"/>
      <c r="AF499" s="82"/>
      <c r="AG499" s="90"/>
      <c r="AH499" s="90"/>
      <c r="AI499" s="332"/>
      <c r="AJ499" s="90"/>
      <c r="AK499" s="82" t="s">
        <v>47</v>
      </c>
      <c r="AL499" s="82" t="str" cm="1">
        <f t="array" aca="1" ref="AL499" ca="1">_xlfn.IFS(
 AND($AK499&lt;&gt;"", M499&lt;&gt;0, M499&lt;=EDATE(TODAY(),2)),"도래",
 AND($AK499&lt;&gt;"", M499&lt;&gt;0, M499&lt;=EDATE(TODAY(),3)),"예정",
 AND($AK499&lt;&gt;"", M499&lt;&gt;0, M499&lt;=EDATE(TODAY(),6)),"관심",
 TRUE,""
)</f>
        <v/>
      </c>
      <c r="AM499" s="198">
        <v>3</v>
      </c>
    </row>
    <row r="500" spans="1:39" ht="18" customHeight="1">
      <c r="A500" s="81"/>
      <c r="B500" s="205" t="str">
        <f>_xlfn.LET(_xlpm.var,◆관리정보!B500,IF(_xlpm.var&lt;&gt;0,_xlpm.var,""))</f>
        <v>에이스빌딩</v>
      </c>
      <c r="C500" s="82" t="str">
        <f>_xlfn.LET(_xlpm.var,◆관리정보!C500,IF(_xlpm.var&lt;&gt;0,_xlpm.var,""))</f>
        <v>옥상2</v>
      </c>
      <c r="D500" s="83" t="s">
        <v>1945</v>
      </c>
      <c r="E500" s="84" t="str">
        <f t="shared" si="19"/>
        <v>에이스빌딩옥상2</v>
      </c>
      <c r="F500" s="87"/>
      <c r="G500" s="229"/>
      <c r="H500" s="229"/>
      <c r="I500" s="229"/>
      <c r="J500" s="229"/>
      <c r="K500" s="218"/>
      <c r="L500" s="87">
        <v>45839</v>
      </c>
      <c r="M500" s="87">
        <v>46568</v>
      </c>
      <c r="N500" s="82" t="s">
        <v>1946</v>
      </c>
      <c r="O500" s="82" t="s">
        <v>1773</v>
      </c>
      <c r="P500" s="241"/>
      <c r="Q500" s="241" t="s">
        <v>1947</v>
      </c>
      <c r="R500" s="82"/>
      <c r="S500" s="241"/>
      <c r="T500" s="82"/>
      <c r="U500" s="241"/>
      <c r="V500" s="82"/>
      <c r="W500" s="88"/>
      <c r="X500" s="82"/>
      <c r="Y500" s="89"/>
      <c r="Z500" s="82"/>
      <c r="AA500" s="90"/>
      <c r="AB500" s="241"/>
      <c r="AC500" s="241"/>
      <c r="AD500" s="241"/>
      <c r="AE500" s="82"/>
      <c r="AF500" s="82"/>
      <c r="AG500" s="90"/>
      <c r="AH500" s="90"/>
      <c r="AI500" s="332"/>
      <c r="AJ500" s="90"/>
      <c r="AK500" s="82" t="s">
        <v>47</v>
      </c>
      <c r="AL500" s="82" t="str" cm="1">
        <f t="array" aca="1" ref="AL500" ca="1">_xlfn.IFS(
 AND($AK500&lt;&gt;"", M500&lt;&gt;0, M500&lt;=EDATE(TODAY(),2)),"도래",
 AND($AK500&lt;&gt;"", M500&lt;&gt;0, M500&lt;=EDATE(TODAY(),3)),"예정",
 AND($AK500&lt;&gt;"", M500&lt;&gt;0, M500&lt;=EDATE(TODAY(),6)),"관심",
 TRUE,""
)</f>
        <v/>
      </c>
      <c r="AM500" s="198">
        <v>1</v>
      </c>
    </row>
    <row r="501" spans="1:39" ht="18" customHeight="1">
      <c r="A501" s="81"/>
      <c r="B501" s="363" t="str">
        <f>_xlfn.LET(_xlpm.var,◆관리정보!B501,IF(_xlpm.var&lt;&gt;0,_xlpm.var,""))</f>
        <v>평해빌딩</v>
      </c>
      <c r="C501" s="364" t="str">
        <f>_xlfn.LET(_xlpm.var,◆관리정보!C501,IF(_xlpm.var&lt;&gt;0,_xlpm.var,""))</f>
        <v>B01</v>
      </c>
      <c r="D501" s="365" t="s">
        <v>1948</v>
      </c>
      <c r="E501" s="84" t="str">
        <f t="shared" si="19"/>
        <v>평해빌딩B01</v>
      </c>
      <c r="F501" s="87">
        <v>46096</v>
      </c>
      <c r="G501" s="229"/>
      <c r="H501" s="229"/>
      <c r="I501" s="229">
        <v>1980000</v>
      </c>
      <c r="J501" s="229"/>
      <c r="K501" s="218"/>
      <c r="L501" s="87">
        <v>43570</v>
      </c>
      <c r="M501" s="87">
        <v>43935</v>
      </c>
      <c r="N501" s="82" t="s">
        <v>1949</v>
      </c>
      <c r="O501" s="82" t="s">
        <v>1950</v>
      </c>
      <c r="P501" s="241">
        <v>0</v>
      </c>
      <c r="Q501" s="241">
        <v>1800000</v>
      </c>
      <c r="R501" s="82" t="s">
        <v>40</v>
      </c>
      <c r="S501" s="241">
        <v>0</v>
      </c>
      <c r="T501" s="82"/>
      <c r="U501" s="241"/>
      <c r="V501" s="82"/>
      <c r="W501" s="88"/>
      <c r="X501" s="82"/>
      <c r="Y501" s="89"/>
      <c r="Z501" s="82"/>
      <c r="AA501" s="90"/>
      <c r="AB501" s="241"/>
      <c r="AC501" s="241"/>
      <c r="AD501" s="241"/>
      <c r="AE501" s="82"/>
      <c r="AF501" s="82"/>
      <c r="AG501" s="90"/>
      <c r="AH501" s="90"/>
      <c r="AI501" s="332" t="s">
        <v>1951</v>
      </c>
      <c r="AJ501" s="90"/>
      <c r="AK501" s="82" t="s">
        <v>47</v>
      </c>
      <c r="AL501" s="82" t="str" cm="1">
        <f t="array" aca="1" ref="AL501" ca="1">_xlfn.IFS(
 AND($AK501&lt;&gt;"", M501&lt;&gt;0, M501&lt;=EDATE(TODAY(),2)),"도래",
 AND($AK501&lt;&gt;"", M501&lt;&gt;0, M501&lt;=EDATE(TODAY(),3)),"예정",
 AND($AK501&lt;&gt;"", M501&lt;&gt;0, M501&lt;=EDATE(TODAY(),6)),"관심",
 TRUE,""
)</f>
        <v>도래</v>
      </c>
      <c r="AM501" s="198">
        <f>DAY(L501)</f>
        <v>15</v>
      </c>
    </row>
    <row r="502" spans="1:39" ht="18" customHeight="1">
      <c r="A502" s="81"/>
      <c r="B502" s="363" t="str">
        <f>_xlfn.LET(_xlpm.var,◆관리정보!B502,IF(_xlpm.var&lt;&gt;0,_xlpm.var,""))</f>
        <v>평해빌딩</v>
      </c>
      <c r="C502" s="364" t="str">
        <f>_xlfn.LET(_xlpm.var,◆관리정보!C502,IF(_xlpm.var&lt;&gt;0,_xlpm.var,""))</f>
        <v>B02</v>
      </c>
      <c r="D502" s="365" t="s">
        <v>1952</v>
      </c>
      <c r="E502" s="84" t="str">
        <f t="shared" si="19"/>
        <v>평해빌딩B02</v>
      </c>
      <c r="F502" s="87">
        <v>46097</v>
      </c>
      <c r="G502" s="229"/>
      <c r="H502" s="229"/>
      <c r="I502" s="229">
        <v>2200000</v>
      </c>
      <c r="J502" s="229"/>
      <c r="K502" s="218"/>
      <c r="L502" s="87">
        <v>43206</v>
      </c>
      <c r="M502" s="87">
        <v>43570</v>
      </c>
      <c r="N502" s="82" t="s">
        <v>1949</v>
      </c>
      <c r="O502" s="82" t="s">
        <v>1950</v>
      </c>
      <c r="P502" s="241">
        <v>0</v>
      </c>
      <c r="Q502" s="241">
        <v>2000000</v>
      </c>
      <c r="R502" s="82" t="s">
        <v>40</v>
      </c>
      <c r="S502" s="241">
        <v>0</v>
      </c>
      <c r="T502" s="82"/>
      <c r="U502" s="241"/>
      <c r="V502" s="82"/>
      <c r="W502" s="88"/>
      <c r="X502" s="82"/>
      <c r="Y502" s="89"/>
      <c r="Z502" s="82"/>
      <c r="AA502" s="90"/>
      <c r="AB502" s="241"/>
      <c r="AC502" s="241"/>
      <c r="AD502" s="241"/>
      <c r="AE502" s="82"/>
      <c r="AF502" s="82"/>
      <c r="AG502" s="90"/>
      <c r="AH502" s="90"/>
      <c r="AI502" s="332" t="s">
        <v>1951</v>
      </c>
      <c r="AJ502" s="90"/>
      <c r="AK502" s="82" t="s">
        <v>47</v>
      </c>
      <c r="AL502" s="82" t="str" cm="1">
        <f t="array" aca="1" ref="AL502" ca="1">_xlfn.IFS(
 AND($AK502&lt;&gt;"", M502&lt;&gt;0, M502&lt;=EDATE(TODAY(),2)),"도래",
 AND($AK502&lt;&gt;"", M502&lt;&gt;0, M502&lt;=EDATE(TODAY(),3)),"예정",
 AND($AK502&lt;&gt;"", M502&lt;&gt;0, M502&lt;=EDATE(TODAY(),6)),"관심",
 TRUE,""
)</f>
        <v>도래</v>
      </c>
      <c r="AM502" s="198">
        <f>DAY(L502)</f>
        <v>16</v>
      </c>
    </row>
    <row r="503" spans="1:39" ht="18" customHeight="1">
      <c r="A503" s="81"/>
      <c r="B503" s="337" t="str">
        <f>_xlfn.LET(_xlpm.var,◆관리정보!B503,IF(_xlpm.var&lt;&gt;0,_xlpm.var,""))</f>
        <v>평해빌딩</v>
      </c>
      <c r="C503" s="264">
        <f>_xlfn.LET(_xlpm.var,◆관리정보!C503,IF(_xlpm.var&lt;&gt;0,_xlpm.var,""))</f>
        <v>101</v>
      </c>
      <c r="D503" s="83" t="s">
        <v>1953</v>
      </c>
      <c r="E503" s="84" t="str">
        <f t="shared" si="19"/>
        <v>평해빌딩101</v>
      </c>
      <c r="F503" s="87">
        <v>46101</v>
      </c>
      <c r="G503" s="229"/>
      <c r="H503" s="229"/>
      <c r="I503" s="229">
        <v>4895000</v>
      </c>
      <c r="J503" s="229"/>
      <c r="K503" s="218"/>
      <c r="L503" s="87">
        <v>43605</v>
      </c>
      <c r="M503" s="316">
        <v>44335</v>
      </c>
      <c r="N503" s="82" t="s">
        <v>1954</v>
      </c>
      <c r="O503" s="82" t="s">
        <v>1955</v>
      </c>
      <c r="P503" s="241">
        <v>30000000</v>
      </c>
      <c r="Q503" s="241">
        <v>4200000</v>
      </c>
      <c r="R503" s="82" t="s">
        <v>157</v>
      </c>
      <c r="S503" s="241">
        <v>250000</v>
      </c>
      <c r="T503" s="82"/>
      <c r="U503" s="241"/>
      <c r="V503" s="82"/>
      <c r="W503" s="88"/>
      <c r="X503" s="82"/>
      <c r="Y503" s="89"/>
      <c r="Z503" s="82"/>
      <c r="AA503" s="90"/>
      <c r="AB503" s="241"/>
      <c r="AC503" s="241"/>
      <c r="AD503" s="241"/>
      <c r="AE503" s="82"/>
      <c r="AF503" s="82"/>
      <c r="AG503" s="90"/>
      <c r="AH503" s="90"/>
      <c r="AI503" s="332" t="s">
        <v>1956</v>
      </c>
      <c r="AJ503" s="90"/>
      <c r="AK503" s="82" t="s">
        <v>47</v>
      </c>
      <c r="AL503" s="82" t="str" cm="1">
        <f t="array" aca="1" ref="AL503" ca="1">_xlfn.IFS(
 AND($AK503&lt;&gt;"", M503&lt;&gt;0, M503&lt;=EDATE(TODAY(),2)),"도래",
 AND($AK503&lt;&gt;"", M503&lt;&gt;0, M503&lt;=EDATE(TODAY(),3)),"예정",
 AND($AK503&lt;&gt;"", M503&lt;&gt;0, M503&lt;=EDATE(TODAY(),6)),"관심",
 TRUE,""
)</f>
        <v>도래</v>
      </c>
      <c r="AM503" s="198">
        <f>DAY(L503)</f>
        <v>20</v>
      </c>
    </row>
    <row r="504" spans="1:39" ht="18" customHeight="1">
      <c r="A504" s="81"/>
      <c r="B504" s="242" t="str">
        <f>_xlfn.LET(_xlpm.var,◆관리정보!B504,IF(_xlpm.var&lt;&gt;0,_xlpm.var,""))</f>
        <v>평해빌딩</v>
      </c>
      <c r="C504" s="243">
        <f>_xlfn.LET(_xlpm.var,◆관리정보!C504,IF(_xlpm.var&lt;&gt;0,_xlpm.var,""))</f>
        <v>102</v>
      </c>
      <c r="D504" s="244"/>
      <c r="E504" s="84" t="str">
        <f t="shared" si="19"/>
        <v>평해빌딩102</v>
      </c>
      <c r="F504" s="87"/>
      <c r="G504" s="229"/>
      <c r="H504" s="229"/>
      <c r="I504" s="229"/>
      <c r="J504" s="229"/>
      <c r="K504" s="218"/>
      <c r="L504" s="87"/>
      <c r="M504" s="87"/>
      <c r="N504" s="82"/>
      <c r="O504" s="82"/>
      <c r="P504" s="241"/>
      <c r="Q504" s="241"/>
      <c r="R504" s="82"/>
      <c r="S504" s="360"/>
      <c r="T504" s="82"/>
      <c r="U504" s="241"/>
      <c r="V504" s="82"/>
      <c r="W504" s="88"/>
      <c r="X504" s="82"/>
      <c r="Y504" s="89"/>
      <c r="Z504" s="82"/>
      <c r="AA504" s="90"/>
      <c r="AB504" s="241"/>
      <c r="AC504" s="241"/>
      <c r="AD504" s="241"/>
      <c r="AE504" s="82"/>
      <c r="AF504" s="82"/>
      <c r="AG504" s="90"/>
      <c r="AH504" s="90"/>
      <c r="AI504" s="90"/>
      <c r="AJ504" s="90"/>
      <c r="AK504" s="82" t="s">
        <v>47</v>
      </c>
      <c r="AL504" s="82" t="str" cm="1">
        <f t="array" aca="1" ref="AL504" ca="1">_xlfn.IFS(
 AND($AK504&lt;&gt;"", M504&lt;&gt;0, M504&lt;=EDATE(TODAY(),2)),"도래",
 AND($AK504&lt;&gt;"", M504&lt;&gt;0, M504&lt;=EDATE(TODAY(),3)),"예정",
 AND($AK504&lt;&gt;"", M504&lt;&gt;0, M504&lt;=EDATE(TODAY(),6)),"관심",
 TRUE,""
)</f>
        <v/>
      </c>
      <c r="AM504" s="198">
        <f>DAY(L504)</f>
        <v>0</v>
      </c>
    </row>
    <row r="505" spans="1:39" ht="18" customHeight="1">
      <c r="A505" s="81"/>
      <c r="B505" s="337" t="str">
        <f>_xlfn.LET(_xlpm.var,◆관리정보!B505,IF(_xlpm.var&lt;&gt;0,_xlpm.var,""))</f>
        <v>평해빌딩</v>
      </c>
      <c r="C505" s="264" t="str">
        <f>_xlfn.LET(_xlpm.var,◆관리정보!C505,IF(_xlpm.var&lt;&gt;0,_xlpm.var,""))</f>
        <v>2-3층</v>
      </c>
      <c r="D505" s="361" t="s">
        <v>1957</v>
      </c>
      <c r="E505" s="84" t="str">
        <f t="shared" si="19"/>
        <v>평해빌딩2-3층</v>
      </c>
      <c r="F505" s="87">
        <v>46106</v>
      </c>
      <c r="G505" s="229"/>
      <c r="H505" s="229"/>
      <c r="I505" s="229"/>
      <c r="J505" s="229"/>
      <c r="K505" s="218"/>
      <c r="L505" s="87">
        <v>45347</v>
      </c>
      <c r="M505" s="87">
        <v>46442</v>
      </c>
      <c r="N505" s="82" t="s">
        <v>1958</v>
      </c>
      <c r="O505" s="82" t="s">
        <v>1959</v>
      </c>
      <c r="P505" s="241">
        <v>70000000</v>
      </c>
      <c r="Q505" s="241">
        <v>6300000</v>
      </c>
      <c r="R505" s="82" t="s">
        <v>40</v>
      </c>
      <c r="S505" s="360">
        <v>400000</v>
      </c>
      <c r="T505" s="82"/>
      <c r="U505" s="241"/>
      <c r="V505" s="82"/>
      <c r="W505" s="88"/>
      <c r="X505" s="82"/>
      <c r="Y505" s="89"/>
      <c r="Z505" s="82"/>
      <c r="AA505" s="90"/>
      <c r="AB505" s="241"/>
      <c r="AC505" s="241"/>
      <c r="AD505" s="241"/>
      <c r="AE505" s="82"/>
      <c r="AF505" s="82"/>
      <c r="AG505" s="90"/>
      <c r="AH505" s="90"/>
      <c r="AI505" s="90" t="s">
        <v>1960</v>
      </c>
      <c r="AJ505" s="90"/>
      <c r="AK505" s="82" t="s">
        <v>47</v>
      </c>
      <c r="AL505" s="82" t="str" cm="1">
        <f t="array" aca="1" ref="AL505" ca="1">_xlfn.IFS(
 AND($AK505&lt;&gt;"", M505&lt;&gt;0, M505&lt;=EDATE(TODAY(),2)),"도래",
 AND($AK505&lt;&gt;"", M505&lt;&gt;0, M505&lt;=EDATE(TODAY(),3)),"예정",
 AND($AK505&lt;&gt;"", M505&lt;&gt;0, M505&lt;=EDATE(TODAY(),6)),"관심",
 TRUE,""
)</f>
        <v/>
      </c>
      <c r="AM505" s="198">
        <f>DAY(L505)</f>
        <v>25</v>
      </c>
    </row>
    <row r="506" spans="1:39" ht="18" customHeight="1">
      <c r="A506" s="81"/>
      <c r="B506" s="242" t="str">
        <f>_xlfn.LET(_xlpm.var,◆관리정보!B506,IF(_xlpm.var&lt;&gt;0,_xlpm.var,""))</f>
        <v>평해빌딩</v>
      </c>
      <c r="C506" s="243" t="str">
        <f>_xlfn.LET(_xlpm.var,◆관리정보!C506,IF(_xlpm.var&lt;&gt;0,_xlpm.var,""))</f>
        <v>4층</v>
      </c>
      <c r="D506" s="362"/>
      <c r="E506" s="84" t="str">
        <f t="shared" si="19"/>
        <v>평해빌딩4층</v>
      </c>
      <c r="F506" s="87"/>
      <c r="G506" s="229"/>
      <c r="H506" s="229"/>
      <c r="I506" s="229"/>
      <c r="J506" s="229"/>
      <c r="K506" s="218"/>
      <c r="L506" s="87"/>
      <c r="M506" s="87"/>
      <c r="N506" s="82"/>
      <c r="O506" s="82"/>
      <c r="P506" s="241"/>
      <c r="Q506" s="241"/>
      <c r="R506" s="82"/>
      <c r="S506" s="241"/>
      <c r="T506" s="82"/>
      <c r="U506" s="241"/>
      <c r="V506" s="82"/>
      <c r="W506" s="88"/>
      <c r="X506" s="82"/>
      <c r="Y506" s="89"/>
      <c r="Z506" s="82"/>
      <c r="AA506" s="90"/>
      <c r="AB506" s="241"/>
      <c r="AC506" s="241"/>
      <c r="AD506" s="241"/>
      <c r="AE506" s="82"/>
      <c r="AF506" s="82"/>
      <c r="AG506" s="90"/>
      <c r="AH506" s="90"/>
      <c r="AI506" s="90"/>
      <c r="AJ506" s="90"/>
      <c r="AK506" s="82" t="s">
        <v>47</v>
      </c>
      <c r="AL506" s="82" t="str" cm="1">
        <f t="array" aca="1" ref="AL506" ca="1">_xlfn.IFS(
 AND($AK506&lt;&gt;"", M506&lt;&gt;0, M506&lt;=EDATE(TODAY(),2)),"도래",
 AND($AK506&lt;&gt;"", M506&lt;&gt;0, M506&lt;=EDATE(TODAY(),3)),"예정",
 AND($AK506&lt;&gt;"", M506&lt;&gt;0, M506&lt;=EDATE(TODAY(),6)),"관심",
 TRUE,""
)</f>
        <v/>
      </c>
      <c r="AM506" s="198">
        <f>DAY(L506)</f>
        <v>0</v>
      </c>
    </row>
    <row r="507" spans="1:39" ht="18" customHeight="1">
      <c r="A507" s="81"/>
      <c r="B507" s="205" t="str">
        <f>_xlfn.LET(_xlpm.var,◆관리정보!B507,IF(_xlpm.var&lt;&gt;0,_xlpm.var,""))</f>
        <v/>
      </c>
      <c r="C507" s="82" t="str">
        <f>_xlfn.LET(_xlpm.var,◆관리정보!C507,IF(_xlpm.var&lt;&gt;0,_xlpm.var,""))</f>
        <v/>
      </c>
      <c r="D507" s="83"/>
      <c r="E507" s="84" t="str">
        <f t="shared" ref="E507:E515" si="20">_xlfn.CONCAT(B507,C507)</f>
        <v/>
      </c>
      <c r="F507" s="87"/>
      <c r="G507" s="229"/>
      <c r="H507" s="229"/>
      <c r="I507" s="229"/>
      <c r="J507" s="229"/>
      <c r="K507" s="218"/>
      <c r="L507" s="87"/>
      <c r="M507" s="87"/>
      <c r="N507" s="82"/>
      <c r="O507" s="82"/>
      <c r="P507" s="241"/>
      <c r="Q507" s="241"/>
      <c r="R507" s="82"/>
      <c r="S507" s="241"/>
      <c r="T507" s="82"/>
      <c r="U507" s="241"/>
      <c r="V507" s="82"/>
      <c r="W507" s="88"/>
      <c r="X507" s="82"/>
      <c r="Y507" s="89"/>
      <c r="Z507" s="82"/>
      <c r="AA507" s="90"/>
      <c r="AB507" s="241"/>
      <c r="AC507" s="241"/>
      <c r="AD507" s="241"/>
      <c r="AE507" s="82"/>
      <c r="AF507" s="82"/>
      <c r="AG507" s="90"/>
      <c r="AH507" s="90"/>
      <c r="AI507" s="90"/>
      <c r="AJ507" s="90"/>
      <c r="AK507" s="82"/>
      <c r="AL507" s="82" t="str" cm="1">
        <f t="array" aca="1" ref="AL507" ca="1">_xlfn.IFS(
 AND($AK507&lt;&gt;"", M507&lt;&gt;0, M507&lt;=EDATE(TODAY(),2)),"도래",
 AND($AK507&lt;&gt;"", M507&lt;&gt;0, M507&lt;=EDATE(TODAY(),3)),"예정",
 AND($AK507&lt;&gt;"", M507&lt;&gt;0, M507&lt;=EDATE(TODAY(),6)),"관심",
 TRUE,""
)</f>
        <v/>
      </c>
      <c r="AM507" s="86"/>
    </row>
    <row r="508" spans="1:39" ht="18" customHeight="1">
      <c r="A508" s="81"/>
      <c r="B508" s="205" t="str">
        <f>_xlfn.LET(_xlpm.var,◆관리정보!B508,IF(_xlpm.var&lt;&gt;0,_xlpm.var,""))</f>
        <v/>
      </c>
      <c r="C508" s="82" t="str">
        <f>_xlfn.LET(_xlpm.var,◆관리정보!C508,IF(_xlpm.var&lt;&gt;0,_xlpm.var,""))</f>
        <v/>
      </c>
      <c r="D508" s="83"/>
      <c r="E508" s="84" t="str">
        <f t="shared" si="20"/>
        <v/>
      </c>
      <c r="F508" s="87"/>
      <c r="G508" s="229"/>
      <c r="H508" s="229"/>
      <c r="I508" s="229"/>
      <c r="J508" s="229"/>
      <c r="K508" s="218"/>
      <c r="L508" s="87"/>
      <c r="M508" s="87"/>
      <c r="N508" s="82"/>
      <c r="O508" s="82"/>
      <c r="P508" s="241"/>
      <c r="Q508" s="241"/>
      <c r="R508" s="82"/>
      <c r="S508" s="241"/>
      <c r="T508" s="82"/>
      <c r="U508" s="241"/>
      <c r="V508" s="82"/>
      <c r="W508" s="88"/>
      <c r="X508" s="82"/>
      <c r="Y508" s="89"/>
      <c r="Z508" s="82"/>
      <c r="AA508" s="90"/>
      <c r="AB508" s="241"/>
      <c r="AC508" s="241"/>
      <c r="AD508" s="241"/>
      <c r="AE508" s="82"/>
      <c r="AF508" s="82"/>
      <c r="AG508" s="90"/>
      <c r="AH508" s="90"/>
      <c r="AI508" s="90"/>
      <c r="AJ508" s="90"/>
      <c r="AK508" s="82"/>
      <c r="AL508" s="82" t="str" cm="1">
        <f t="array" aca="1" ref="AL508" ca="1">_xlfn.IFS(
 AND($AK508&lt;&gt;"", M508&lt;&gt;0, M508&lt;=EDATE(TODAY(),2)),"도래",
 AND($AK508&lt;&gt;"", M508&lt;&gt;0, M508&lt;=EDATE(TODAY(),3)),"예정",
 AND($AK508&lt;&gt;"", M508&lt;&gt;0, M508&lt;=EDATE(TODAY(),6)),"관심",
 TRUE,""
)</f>
        <v/>
      </c>
      <c r="AM508" s="86"/>
    </row>
    <row r="509" spans="1:39" ht="18" customHeight="1">
      <c r="A509" s="81"/>
      <c r="B509" s="205" t="str">
        <f>_xlfn.LET(_xlpm.var,◆관리정보!B509,IF(_xlpm.var&lt;&gt;0,_xlpm.var,""))</f>
        <v/>
      </c>
      <c r="C509" s="82" t="str">
        <f>_xlfn.LET(_xlpm.var,◆관리정보!C509,IF(_xlpm.var&lt;&gt;0,_xlpm.var,""))</f>
        <v/>
      </c>
      <c r="D509" s="83"/>
      <c r="E509" s="84" t="str">
        <f t="shared" si="20"/>
        <v/>
      </c>
      <c r="F509" s="87"/>
      <c r="G509" s="229"/>
      <c r="H509" s="229"/>
      <c r="I509" s="229"/>
      <c r="J509" s="229"/>
      <c r="K509" s="218"/>
      <c r="L509" s="87"/>
      <c r="M509" s="87"/>
      <c r="N509" s="82"/>
      <c r="O509" s="82"/>
      <c r="P509" s="241"/>
      <c r="Q509" s="241"/>
      <c r="R509" s="82"/>
      <c r="S509" s="241"/>
      <c r="T509" s="82"/>
      <c r="U509" s="241"/>
      <c r="V509" s="82"/>
      <c r="W509" s="88"/>
      <c r="X509" s="82"/>
      <c r="Y509" s="89"/>
      <c r="Z509" s="82"/>
      <c r="AA509" s="90"/>
      <c r="AB509" s="241"/>
      <c r="AC509" s="241"/>
      <c r="AD509" s="241"/>
      <c r="AE509" s="82"/>
      <c r="AF509" s="82"/>
      <c r="AG509" s="90"/>
      <c r="AH509" s="90"/>
      <c r="AI509" s="90"/>
      <c r="AJ509" s="90"/>
      <c r="AK509" s="82"/>
      <c r="AL509" s="82" t="str" cm="1">
        <f t="array" aca="1" ref="AL509" ca="1">_xlfn.IFS(
 AND($AK509&lt;&gt;"", M509&lt;&gt;0, M509&lt;=EDATE(TODAY(),2)),"도래",
 AND($AK509&lt;&gt;"", M509&lt;&gt;0, M509&lt;=EDATE(TODAY(),3)),"예정",
 AND($AK509&lt;&gt;"", M509&lt;&gt;0, M509&lt;=EDATE(TODAY(),6)),"관심",
 TRUE,""
)</f>
        <v/>
      </c>
      <c r="AM509" s="86"/>
    </row>
    <row r="510" spans="1:39" ht="18" customHeight="1">
      <c r="A510" s="81"/>
      <c r="B510" s="205" t="str">
        <f>_xlfn.LET(_xlpm.var,◆관리정보!B510,IF(_xlpm.var&lt;&gt;0,_xlpm.var,""))</f>
        <v/>
      </c>
      <c r="C510" s="82" t="str">
        <f>_xlfn.LET(_xlpm.var,◆관리정보!C510,IF(_xlpm.var&lt;&gt;0,_xlpm.var,""))</f>
        <v/>
      </c>
      <c r="D510" s="83"/>
      <c r="E510" s="84" t="str">
        <f t="shared" si="20"/>
        <v/>
      </c>
      <c r="F510" s="87"/>
      <c r="G510" s="229"/>
      <c r="H510" s="229"/>
      <c r="I510" s="229"/>
      <c r="J510" s="229"/>
      <c r="K510" s="218"/>
      <c r="L510" s="87"/>
      <c r="M510" s="87"/>
      <c r="N510" s="82"/>
      <c r="O510" s="82"/>
      <c r="P510" s="241"/>
      <c r="Q510" s="241"/>
      <c r="R510" s="82"/>
      <c r="S510" s="241"/>
      <c r="T510" s="82"/>
      <c r="U510" s="241"/>
      <c r="V510" s="82"/>
      <c r="W510" s="88"/>
      <c r="X510" s="82"/>
      <c r="Y510" s="89"/>
      <c r="Z510" s="82"/>
      <c r="AA510" s="90"/>
      <c r="AB510" s="241"/>
      <c r="AC510" s="241"/>
      <c r="AD510" s="241"/>
      <c r="AE510" s="82"/>
      <c r="AF510" s="82"/>
      <c r="AG510" s="90"/>
      <c r="AH510" s="90"/>
      <c r="AI510" s="90"/>
      <c r="AJ510" s="90"/>
      <c r="AK510" s="82"/>
      <c r="AL510" s="82" t="str" cm="1">
        <f t="array" aca="1" ref="AL510" ca="1">_xlfn.IFS(
 AND($AK510&lt;&gt;"", M510&lt;&gt;0, M510&lt;=EDATE(TODAY(),2)),"도래",
 AND($AK510&lt;&gt;"", M510&lt;&gt;0, M510&lt;=EDATE(TODAY(),3)),"예정",
 AND($AK510&lt;&gt;"", M510&lt;&gt;0, M510&lt;=EDATE(TODAY(),6)),"관심",
 TRUE,""
)</f>
        <v/>
      </c>
      <c r="AM510" s="86"/>
    </row>
    <row r="511" spans="1:39" ht="18" customHeight="1">
      <c r="A511" s="81"/>
      <c r="B511" s="205" t="str">
        <f>_xlfn.LET(_xlpm.var,◆관리정보!B511,IF(_xlpm.var&lt;&gt;0,_xlpm.var,""))</f>
        <v/>
      </c>
      <c r="C511" s="82" t="str">
        <f>_xlfn.LET(_xlpm.var,◆관리정보!C511,IF(_xlpm.var&lt;&gt;0,_xlpm.var,""))</f>
        <v/>
      </c>
      <c r="D511" s="83"/>
      <c r="E511" s="84" t="str">
        <f t="shared" si="20"/>
        <v/>
      </c>
      <c r="F511" s="87"/>
      <c r="G511" s="229"/>
      <c r="H511" s="229"/>
      <c r="I511" s="229"/>
      <c r="J511" s="229"/>
      <c r="K511" s="218"/>
      <c r="L511" s="87"/>
      <c r="M511" s="87"/>
      <c r="N511" s="82"/>
      <c r="O511" s="82"/>
      <c r="P511" s="241"/>
      <c r="Q511" s="241"/>
      <c r="R511" s="82"/>
      <c r="S511" s="241"/>
      <c r="T511" s="82"/>
      <c r="U511" s="241"/>
      <c r="V511" s="82"/>
      <c r="W511" s="88"/>
      <c r="X511" s="82"/>
      <c r="Y511" s="89"/>
      <c r="Z511" s="82"/>
      <c r="AA511" s="90"/>
      <c r="AB511" s="241"/>
      <c r="AC511" s="241"/>
      <c r="AD511" s="241"/>
      <c r="AE511" s="82"/>
      <c r="AF511" s="82"/>
      <c r="AG511" s="90"/>
      <c r="AH511" s="90"/>
      <c r="AI511" s="90"/>
      <c r="AJ511" s="90"/>
      <c r="AK511" s="82"/>
      <c r="AL511" s="82" t="str" cm="1">
        <f t="array" aca="1" ref="AL511" ca="1">_xlfn.IFS(
 AND($AK511&lt;&gt;"", M511&lt;&gt;0, M511&lt;=EDATE(TODAY(),2)),"도래",
 AND($AK511&lt;&gt;"", M511&lt;&gt;0, M511&lt;=EDATE(TODAY(),3)),"예정",
 AND($AK511&lt;&gt;"", M511&lt;&gt;0, M511&lt;=EDATE(TODAY(),6)),"관심",
 TRUE,""
)</f>
        <v/>
      </c>
      <c r="AM511" s="86"/>
    </row>
    <row r="512" spans="1:39" ht="18" customHeight="1">
      <c r="A512" s="81"/>
      <c r="B512" s="205" t="str">
        <f>_xlfn.LET(_xlpm.var,◆관리정보!B512,IF(_xlpm.var&lt;&gt;0,_xlpm.var,""))</f>
        <v/>
      </c>
      <c r="C512" s="82" t="str">
        <f>_xlfn.LET(_xlpm.var,◆관리정보!C512,IF(_xlpm.var&lt;&gt;0,_xlpm.var,""))</f>
        <v/>
      </c>
      <c r="D512" s="83"/>
      <c r="E512" s="84" t="str">
        <f t="shared" si="20"/>
        <v/>
      </c>
      <c r="F512" s="87"/>
      <c r="G512" s="229"/>
      <c r="H512" s="229"/>
      <c r="I512" s="229"/>
      <c r="J512" s="229"/>
      <c r="K512" s="218"/>
      <c r="L512" s="87"/>
      <c r="M512" s="87"/>
      <c r="N512" s="82"/>
      <c r="O512" s="82"/>
      <c r="P512" s="241"/>
      <c r="Q512" s="241"/>
      <c r="R512" s="82"/>
      <c r="S512" s="241"/>
      <c r="T512" s="82"/>
      <c r="U512" s="241"/>
      <c r="V512" s="82"/>
      <c r="W512" s="88"/>
      <c r="X512" s="82"/>
      <c r="Y512" s="89"/>
      <c r="Z512" s="82"/>
      <c r="AA512" s="90"/>
      <c r="AB512" s="241"/>
      <c r="AC512" s="241"/>
      <c r="AD512" s="241"/>
      <c r="AE512" s="82"/>
      <c r="AF512" s="82"/>
      <c r="AG512" s="90"/>
      <c r="AH512" s="90"/>
      <c r="AI512" s="90"/>
      <c r="AJ512" s="90"/>
      <c r="AK512" s="82"/>
      <c r="AL512" s="82" t="str" cm="1">
        <f t="array" aca="1" ref="AL512" ca="1">_xlfn.IFS(
 AND($AK512&lt;&gt;"", M512&lt;&gt;0, M512&lt;=EDATE(TODAY(),2)),"도래",
 AND($AK512&lt;&gt;"", M512&lt;&gt;0, M512&lt;=EDATE(TODAY(),3)),"예정",
 AND($AK512&lt;&gt;"", M512&lt;&gt;0, M512&lt;=EDATE(TODAY(),6)),"관심",
 TRUE,""
)</f>
        <v/>
      </c>
      <c r="AM512" s="86"/>
    </row>
    <row r="513" spans="1:39" ht="18" customHeight="1">
      <c r="A513" s="81"/>
      <c r="B513" s="205" t="str">
        <f>_xlfn.LET(_xlpm.var,◆관리정보!B513,IF(_xlpm.var&lt;&gt;0,_xlpm.var,""))</f>
        <v/>
      </c>
      <c r="C513" s="82" t="str">
        <f>_xlfn.LET(_xlpm.var,◆관리정보!C513,IF(_xlpm.var&lt;&gt;0,_xlpm.var,""))</f>
        <v/>
      </c>
      <c r="D513" s="83"/>
      <c r="E513" s="84" t="str">
        <f t="shared" si="20"/>
        <v/>
      </c>
      <c r="F513" s="87"/>
      <c r="G513" s="229"/>
      <c r="H513" s="229"/>
      <c r="I513" s="229"/>
      <c r="J513" s="229"/>
      <c r="K513" s="218"/>
      <c r="L513" s="87"/>
      <c r="M513" s="87"/>
      <c r="N513" s="82"/>
      <c r="O513" s="82"/>
      <c r="P513" s="241"/>
      <c r="Q513" s="241"/>
      <c r="R513" s="82"/>
      <c r="S513" s="241"/>
      <c r="T513" s="82"/>
      <c r="U513" s="241"/>
      <c r="V513" s="82"/>
      <c r="W513" s="88"/>
      <c r="X513" s="82"/>
      <c r="Y513" s="89"/>
      <c r="Z513" s="82"/>
      <c r="AA513" s="90"/>
      <c r="AB513" s="241"/>
      <c r="AC513" s="241"/>
      <c r="AD513" s="241"/>
      <c r="AE513" s="82"/>
      <c r="AF513" s="82"/>
      <c r="AG513" s="90"/>
      <c r="AH513" s="90"/>
      <c r="AI513" s="90"/>
      <c r="AJ513" s="90"/>
      <c r="AK513" s="82"/>
      <c r="AL513" s="82" t="str" cm="1">
        <f t="array" aca="1" ref="AL513" ca="1">_xlfn.IFS(
 AND($AK513&lt;&gt;"", M513&lt;&gt;0, M513&lt;=EDATE(TODAY(),2)),"도래",
 AND($AK513&lt;&gt;"", M513&lt;&gt;0, M513&lt;=EDATE(TODAY(),3)),"예정",
 AND($AK513&lt;&gt;"", M513&lt;&gt;0, M513&lt;=EDATE(TODAY(),6)),"관심",
 TRUE,""
)</f>
        <v/>
      </c>
      <c r="AM513" s="86"/>
    </row>
    <row r="514" spans="1:39" ht="18" customHeight="1">
      <c r="A514" s="81"/>
      <c r="B514" s="205" t="str">
        <f>_xlfn.LET(_xlpm.var,◆관리정보!B514,IF(_xlpm.var&lt;&gt;0,_xlpm.var,""))</f>
        <v/>
      </c>
      <c r="C514" s="82" t="str">
        <f>_xlfn.LET(_xlpm.var,◆관리정보!C514,IF(_xlpm.var&lt;&gt;0,_xlpm.var,""))</f>
        <v/>
      </c>
      <c r="D514" s="83"/>
      <c r="E514" s="84" t="str">
        <f t="shared" si="20"/>
        <v/>
      </c>
      <c r="F514" s="87"/>
      <c r="G514" s="229"/>
      <c r="H514" s="229"/>
      <c r="I514" s="229"/>
      <c r="J514" s="229"/>
      <c r="K514" s="218"/>
      <c r="L514" s="87"/>
      <c r="M514" s="87"/>
      <c r="N514" s="82"/>
      <c r="O514" s="82"/>
      <c r="P514" s="241"/>
      <c r="Q514" s="241"/>
      <c r="R514" s="82"/>
      <c r="S514" s="241"/>
      <c r="T514" s="82"/>
      <c r="U514" s="241"/>
      <c r="V514" s="82"/>
      <c r="W514" s="88"/>
      <c r="X514" s="82"/>
      <c r="Y514" s="89"/>
      <c r="Z514" s="82"/>
      <c r="AA514" s="90"/>
      <c r="AB514" s="241"/>
      <c r="AC514" s="241"/>
      <c r="AD514" s="241"/>
      <c r="AE514" s="82"/>
      <c r="AF514" s="82"/>
      <c r="AG514" s="90"/>
      <c r="AH514" s="90"/>
      <c r="AI514" s="90"/>
      <c r="AJ514" s="90"/>
      <c r="AK514" s="82"/>
      <c r="AL514" s="82" t="str" cm="1">
        <f t="array" aca="1" ref="AL514" ca="1">_xlfn.IFS(
 AND($AK514&lt;&gt;"", M514&lt;&gt;0, M514&lt;=EDATE(TODAY(),2)),"도래",
 AND($AK514&lt;&gt;"", M514&lt;&gt;0, M514&lt;=EDATE(TODAY(),3)),"예정",
 AND($AK514&lt;&gt;"", M514&lt;&gt;0, M514&lt;=EDATE(TODAY(),6)),"관심",
 TRUE,""
)</f>
        <v/>
      </c>
      <c r="AM514" s="86"/>
    </row>
    <row r="515" spans="1:39" ht="18" customHeight="1">
      <c r="A515" s="81"/>
      <c r="B515" s="205" t="str">
        <f>_xlfn.LET(_xlpm.var,◆관리정보!B515,IF(_xlpm.var&lt;&gt;0,_xlpm.var,""))</f>
        <v/>
      </c>
      <c r="C515" s="82" t="str">
        <f>_xlfn.LET(_xlpm.var,◆관리정보!C515,IF(_xlpm.var&lt;&gt;0,_xlpm.var,""))</f>
        <v/>
      </c>
      <c r="D515" s="83"/>
      <c r="E515" s="84" t="str">
        <f t="shared" si="20"/>
        <v/>
      </c>
      <c r="F515" s="87"/>
      <c r="G515" s="229"/>
      <c r="H515" s="229"/>
      <c r="I515" s="229"/>
      <c r="J515" s="229"/>
      <c r="K515" s="218"/>
      <c r="L515" s="87"/>
      <c r="M515" s="87"/>
      <c r="N515" s="82"/>
      <c r="O515" s="82"/>
      <c r="P515" s="241"/>
      <c r="Q515" s="241"/>
      <c r="R515" s="82"/>
      <c r="S515" s="241"/>
      <c r="T515" s="82"/>
      <c r="U515" s="241"/>
      <c r="V515" s="82"/>
      <c r="W515" s="88"/>
      <c r="X515" s="82"/>
      <c r="Y515" s="89"/>
      <c r="Z515" s="82"/>
      <c r="AA515" s="90"/>
      <c r="AB515" s="241"/>
      <c r="AC515" s="241"/>
      <c r="AD515" s="241"/>
      <c r="AE515" s="82"/>
      <c r="AF515" s="82"/>
      <c r="AG515" s="90"/>
      <c r="AH515" s="90"/>
      <c r="AI515" s="90"/>
      <c r="AJ515" s="90"/>
      <c r="AK515" s="82"/>
      <c r="AL515" s="82" t="str" cm="1">
        <f t="array" aca="1" ref="AL515" ca="1">_xlfn.IFS(
 AND($AK515&lt;&gt;"", M515&lt;&gt;0, M515&lt;=EDATE(TODAY(),2)),"도래",
 AND($AK515&lt;&gt;"", M515&lt;&gt;0, M515&lt;=EDATE(TODAY(),3)),"예정",
 AND($AK515&lt;&gt;"", M515&lt;&gt;0, M515&lt;=EDATE(TODAY(),6)),"관심",
 TRUE,""
)</f>
        <v/>
      </c>
      <c r="AM515" s="86"/>
    </row>
    <row r="516" spans="1:39" ht="18" customHeight="1">
      <c r="A516" s="81"/>
      <c r="B516" s="205" t="str">
        <f>_xlfn.LET(_xlpm.var,◆관리정보!B516,IF(_xlpm.var&lt;&gt;0,_xlpm.var,""))</f>
        <v/>
      </c>
      <c r="C516" s="82" t="str">
        <f>_xlfn.LET(_xlpm.var,◆관리정보!C516,IF(_xlpm.var&lt;&gt;0,_xlpm.var,""))</f>
        <v/>
      </c>
      <c r="D516" s="83"/>
      <c r="E516" s="84" t="str">
        <f t="shared" ref="E516:E579" si="21">_xlfn.CONCAT(B516,C516)</f>
        <v/>
      </c>
      <c r="F516" s="87"/>
      <c r="G516" s="229"/>
      <c r="H516" s="229"/>
      <c r="I516" s="229"/>
      <c r="J516" s="229"/>
      <c r="K516" s="218"/>
      <c r="L516" s="87"/>
      <c r="M516" s="87"/>
      <c r="N516" s="82"/>
      <c r="O516" s="82"/>
      <c r="P516" s="241"/>
      <c r="Q516" s="241"/>
      <c r="R516" s="82"/>
      <c r="S516" s="241"/>
      <c r="T516" s="82"/>
      <c r="U516" s="241"/>
      <c r="V516" s="82"/>
      <c r="W516" s="88"/>
      <c r="X516" s="82"/>
      <c r="Y516" s="89"/>
      <c r="Z516" s="82"/>
      <c r="AA516" s="90"/>
      <c r="AB516" s="241"/>
      <c r="AC516" s="241"/>
      <c r="AD516" s="241"/>
      <c r="AE516" s="82"/>
      <c r="AF516" s="82"/>
      <c r="AG516" s="90"/>
      <c r="AH516" s="90"/>
      <c r="AI516" s="90"/>
      <c r="AJ516" s="90"/>
      <c r="AK516" s="82"/>
      <c r="AL516" s="82" t="str" cm="1">
        <f t="array" aca="1" ref="AL516" ca="1">_xlfn.IFS(
 AND($AK516&lt;&gt;"", M516&lt;&gt;0, M516&lt;=EDATE(TODAY(),2)),"도래",
 AND($AK516&lt;&gt;"", M516&lt;&gt;0, M516&lt;=EDATE(TODAY(),3)),"예정",
 AND($AK516&lt;&gt;"", M516&lt;&gt;0, M516&lt;=EDATE(TODAY(),6)),"관심",
 TRUE,""
)</f>
        <v/>
      </c>
      <c r="AM516" s="86"/>
    </row>
    <row r="517" spans="1:39" ht="18" customHeight="1">
      <c r="A517" s="81"/>
      <c r="B517" s="205" t="str">
        <f>_xlfn.LET(_xlpm.var,◆관리정보!B517,IF(_xlpm.var&lt;&gt;0,_xlpm.var,""))</f>
        <v/>
      </c>
      <c r="C517" s="82" t="str">
        <f>_xlfn.LET(_xlpm.var,◆관리정보!C517,IF(_xlpm.var&lt;&gt;0,_xlpm.var,""))</f>
        <v/>
      </c>
      <c r="D517" s="83"/>
      <c r="E517" s="84" t="str">
        <f t="shared" si="21"/>
        <v/>
      </c>
      <c r="F517" s="87"/>
      <c r="G517" s="229"/>
      <c r="H517" s="229"/>
      <c r="I517" s="229"/>
      <c r="J517" s="229"/>
      <c r="K517" s="218"/>
      <c r="L517" s="87"/>
      <c r="M517" s="87"/>
      <c r="N517" s="82"/>
      <c r="O517" s="82"/>
      <c r="P517" s="241"/>
      <c r="Q517" s="241"/>
      <c r="R517" s="82"/>
      <c r="S517" s="241"/>
      <c r="T517" s="82"/>
      <c r="U517" s="241"/>
      <c r="V517" s="82"/>
      <c r="W517" s="88"/>
      <c r="X517" s="82"/>
      <c r="Y517" s="89"/>
      <c r="Z517" s="82"/>
      <c r="AA517" s="90"/>
      <c r="AB517" s="241"/>
      <c r="AC517" s="241"/>
      <c r="AD517" s="241"/>
      <c r="AE517" s="82"/>
      <c r="AF517" s="82"/>
      <c r="AG517" s="90"/>
      <c r="AH517" s="90"/>
      <c r="AI517" s="90"/>
      <c r="AJ517" s="90"/>
      <c r="AK517" s="82"/>
      <c r="AL517" s="82" t="str" cm="1">
        <f t="array" aca="1" ref="AL517" ca="1">_xlfn.IFS(
 AND($AK517&lt;&gt;"", M517&lt;&gt;0, M517&lt;=EDATE(TODAY(),2)),"도래",
 AND($AK517&lt;&gt;"", M517&lt;&gt;0, M517&lt;=EDATE(TODAY(),3)),"예정",
 AND($AK517&lt;&gt;"", M517&lt;&gt;0, M517&lt;=EDATE(TODAY(),6)),"관심",
 TRUE,""
)</f>
        <v/>
      </c>
      <c r="AM517" s="86"/>
    </row>
    <row r="518" spans="1:39" ht="18" customHeight="1">
      <c r="A518" s="81"/>
      <c r="B518" s="205" t="str">
        <f>_xlfn.LET(_xlpm.var,◆관리정보!B518,IF(_xlpm.var&lt;&gt;0,_xlpm.var,""))</f>
        <v/>
      </c>
      <c r="C518" s="82" t="str">
        <f>_xlfn.LET(_xlpm.var,◆관리정보!C518,IF(_xlpm.var&lt;&gt;0,_xlpm.var,""))</f>
        <v/>
      </c>
      <c r="D518" s="83"/>
      <c r="E518" s="84" t="str">
        <f t="shared" si="21"/>
        <v/>
      </c>
      <c r="F518" s="87"/>
      <c r="G518" s="229"/>
      <c r="H518" s="229"/>
      <c r="I518" s="229"/>
      <c r="J518" s="229"/>
      <c r="K518" s="218"/>
      <c r="L518" s="87"/>
      <c r="M518" s="87"/>
      <c r="N518" s="82"/>
      <c r="O518" s="82"/>
      <c r="P518" s="241"/>
      <c r="Q518" s="241"/>
      <c r="R518" s="82"/>
      <c r="S518" s="241"/>
      <c r="T518" s="82"/>
      <c r="U518" s="241"/>
      <c r="V518" s="82"/>
      <c r="W518" s="88"/>
      <c r="X518" s="82"/>
      <c r="Y518" s="89"/>
      <c r="Z518" s="82"/>
      <c r="AA518" s="90"/>
      <c r="AB518" s="241"/>
      <c r="AC518" s="241"/>
      <c r="AD518" s="241"/>
      <c r="AE518" s="82"/>
      <c r="AF518" s="82"/>
      <c r="AG518" s="90"/>
      <c r="AH518" s="90"/>
      <c r="AI518" s="90"/>
      <c r="AJ518" s="90"/>
      <c r="AK518" s="82"/>
      <c r="AL518" s="82" t="str" cm="1">
        <f t="array" aca="1" ref="AL518" ca="1">_xlfn.IFS(
 AND($AK518&lt;&gt;"", M518&lt;&gt;0, M518&lt;=EDATE(TODAY(),2)),"도래",
 AND($AK518&lt;&gt;"", M518&lt;&gt;0, M518&lt;=EDATE(TODAY(),3)),"예정",
 AND($AK518&lt;&gt;"", M518&lt;&gt;0, M518&lt;=EDATE(TODAY(),6)),"관심",
 TRUE,""
)</f>
        <v/>
      </c>
      <c r="AM518" s="86"/>
    </row>
    <row r="519" spans="1:39" ht="18" customHeight="1">
      <c r="A519" s="81"/>
      <c r="B519" s="205" t="str">
        <f>_xlfn.LET(_xlpm.var,◆관리정보!B519,IF(_xlpm.var&lt;&gt;0,_xlpm.var,""))</f>
        <v/>
      </c>
      <c r="C519" s="82" t="str">
        <f>_xlfn.LET(_xlpm.var,◆관리정보!C519,IF(_xlpm.var&lt;&gt;0,_xlpm.var,""))</f>
        <v/>
      </c>
      <c r="D519" s="83"/>
      <c r="E519" s="84" t="str">
        <f t="shared" si="21"/>
        <v/>
      </c>
      <c r="F519" s="87"/>
      <c r="G519" s="229"/>
      <c r="H519" s="229"/>
      <c r="I519" s="229"/>
      <c r="J519" s="229"/>
      <c r="K519" s="218"/>
      <c r="L519" s="87"/>
      <c r="M519" s="87"/>
      <c r="N519" s="82"/>
      <c r="O519" s="82"/>
      <c r="P519" s="241"/>
      <c r="Q519" s="241"/>
      <c r="R519" s="82"/>
      <c r="S519" s="241"/>
      <c r="T519" s="82"/>
      <c r="U519" s="241"/>
      <c r="V519" s="82"/>
      <c r="W519" s="88"/>
      <c r="X519" s="82"/>
      <c r="Y519" s="89"/>
      <c r="Z519" s="82"/>
      <c r="AA519" s="90"/>
      <c r="AB519" s="241"/>
      <c r="AC519" s="241"/>
      <c r="AD519" s="241"/>
      <c r="AE519" s="82"/>
      <c r="AF519" s="82"/>
      <c r="AG519" s="90"/>
      <c r="AH519" s="90"/>
      <c r="AI519" s="90"/>
      <c r="AJ519" s="90"/>
      <c r="AK519" s="82"/>
      <c r="AL519" s="82" t="str" cm="1">
        <f t="array" aca="1" ref="AL519" ca="1">_xlfn.IFS(
 AND($AK519&lt;&gt;"", M519&lt;&gt;0, M519&lt;=EDATE(TODAY(),2)),"도래",
 AND($AK519&lt;&gt;"", M519&lt;&gt;0, M519&lt;=EDATE(TODAY(),3)),"예정",
 AND($AK519&lt;&gt;"", M519&lt;&gt;0, M519&lt;=EDATE(TODAY(),6)),"관심",
 TRUE,""
)</f>
        <v/>
      </c>
      <c r="AM519" s="86"/>
    </row>
    <row r="520" spans="1:39" ht="18" customHeight="1">
      <c r="A520" s="81"/>
      <c r="B520" s="205" t="str">
        <f>_xlfn.LET(_xlpm.var,◆관리정보!B520,IF(_xlpm.var&lt;&gt;0,_xlpm.var,""))</f>
        <v/>
      </c>
      <c r="C520" s="82" t="str">
        <f>_xlfn.LET(_xlpm.var,◆관리정보!C520,IF(_xlpm.var&lt;&gt;0,_xlpm.var,""))</f>
        <v/>
      </c>
      <c r="D520" s="83"/>
      <c r="E520" s="84" t="str">
        <f t="shared" si="21"/>
        <v/>
      </c>
      <c r="F520" s="87"/>
      <c r="G520" s="229"/>
      <c r="H520" s="229"/>
      <c r="I520" s="229"/>
      <c r="J520" s="229"/>
      <c r="K520" s="218"/>
      <c r="L520" s="87"/>
      <c r="M520" s="87"/>
      <c r="N520" s="82"/>
      <c r="O520" s="82"/>
      <c r="P520" s="241"/>
      <c r="Q520" s="241"/>
      <c r="R520" s="82"/>
      <c r="S520" s="241"/>
      <c r="T520" s="82"/>
      <c r="U520" s="241"/>
      <c r="V520" s="82"/>
      <c r="W520" s="88"/>
      <c r="X520" s="82"/>
      <c r="Y520" s="89"/>
      <c r="Z520" s="82"/>
      <c r="AA520" s="90"/>
      <c r="AB520" s="241"/>
      <c r="AC520" s="241"/>
      <c r="AD520" s="241"/>
      <c r="AE520" s="82"/>
      <c r="AF520" s="82"/>
      <c r="AG520" s="90"/>
      <c r="AH520" s="90"/>
      <c r="AI520" s="90"/>
      <c r="AJ520" s="90"/>
      <c r="AK520" s="82"/>
      <c r="AL520" s="82" t="str" cm="1">
        <f t="array" aca="1" ref="AL520" ca="1">_xlfn.IFS(
 AND($AK520&lt;&gt;"", M520&lt;&gt;0, M520&lt;=EDATE(TODAY(),2)),"도래",
 AND($AK520&lt;&gt;"", M520&lt;&gt;0, M520&lt;=EDATE(TODAY(),3)),"예정",
 AND($AK520&lt;&gt;"", M520&lt;&gt;0, M520&lt;=EDATE(TODAY(),6)),"관심",
 TRUE,""
)</f>
        <v/>
      </c>
      <c r="AM520" s="86"/>
    </row>
    <row r="521" spans="1:39" ht="18" customHeight="1">
      <c r="A521" s="81"/>
      <c r="B521" s="205" t="str">
        <f>_xlfn.LET(_xlpm.var,◆관리정보!B521,IF(_xlpm.var&lt;&gt;0,_xlpm.var,""))</f>
        <v/>
      </c>
      <c r="C521" s="82" t="str">
        <f>_xlfn.LET(_xlpm.var,◆관리정보!C521,IF(_xlpm.var&lt;&gt;0,_xlpm.var,""))</f>
        <v/>
      </c>
      <c r="D521" s="83"/>
      <c r="E521" s="84" t="str">
        <f t="shared" si="21"/>
        <v/>
      </c>
      <c r="F521" s="87"/>
      <c r="G521" s="229"/>
      <c r="H521" s="229"/>
      <c r="I521" s="229"/>
      <c r="J521" s="229"/>
      <c r="K521" s="218"/>
      <c r="L521" s="87"/>
      <c r="M521" s="87"/>
      <c r="N521" s="82"/>
      <c r="O521" s="82"/>
      <c r="P521" s="241"/>
      <c r="Q521" s="241"/>
      <c r="R521" s="82"/>
      <c r="S521" s="241"/>
      <c r="T521" s="82"/>
      <c r="U521" s="241"/>
      <c r="V521" s="82"/>
      <c r="W521" s="88"/>
      <c r="X521" s="82"/>
      <c r="Y521" s="89"/>
      <c r="Z521" s="82"/>
      <c r="AA521" s="90"/>
      <c r="AB521" s="241"/>
      <c r="AC521" s="241"/>
      <c r="AD521" s="241"/>
      <c r="AE521" s="82"/>
      <c r="AF521" s="82"/>
      <c r="AG521" s="90"/>
      <c r="AH521" s="90"/>
      <c r="AI521" s="90"/>
      <c r="AJ521" s="90"/>
      <c r="AK521" s="82"/>
      <c r="AL521" s="82" t="str" cm="1">
        <f t="array" aca="1" ref="AL521" ca="1">_xlfn.IFS(
 AND($AK521&lt;&gt;"", M521&lt;&gt;0, M521&lt;=EDATE(TODAY(),2)),"도래",
 AND($AK521&lt;&gt;"", M521&lt;&gt;0, M521&lt;=EDATE(TODAY(),3)),"예정",
 AND($AK521&lt;&gt;"", M521&lt;&gt;0, M521&lt;=EDATE(TODAY(),6)),"관심",
 TRUE,""
)</f>
        <v/>
      </c>
      <c r="AM521" s="86"/>
    </row>
    <row r="522" spans="1:39" ht="18" customHeight="1">
      <c r="A522" s="81"/>
      <c r="B522" s="205" t="str">
        <f>_xlfn.LET(_xlpm.var,◆관리정보!B522,IF(_xlpm.var&lt;&gt;0,_xlpm.var,""))</f>
        <v/>
      </c>
      <c r="C522" s="82" t="str">
        <f>_xlfn.LET(_xlpm.var,◆관리정보!C522,IF(_xlpm.var&lt;&gt;0,_xlpm.var,""))</f>
        <v/>
      </c>
      <c r="D522" s="83"/>
      <c r="E522" s="84" t="str">
        <f t="shared" si="21"/>
        <v/>
      </c>
      <c r="F522" s="87"/>
      <c r="G522" s="229"/>
      <c r="H522" s="229"/>
      <c r="I522" s="229"/>
      <c r="J522" s="229"/>
      <c r="K522" s="218"/>
      <c r="L522" s="87"/>
      <c r="M522" s="87"/>
      <c r="N522" s="82"/>
      <c r="O522" s="82"/>
      <c r="P522" s="241"/>
      <c r="Q522" s="241"/>
      <c r="R522" s="82"/>
      <c r="S522" s="241"/>
      <c r="T522" s="82"/>
      <c r="U522" s="241"/>
      <c r="V522" s="82"/>
      <c r="W522" s="88"/>
      <c r="X522" s="82"/>
      <c r="Y522" s="89"/>
      <c r="Z522" s="82"/>
      <c r="AA522" s="90"/>
      <c r="AB522" s="241"/>
      <c r="AC522" s="241"/>
      <c r="AD522" s="241"/>
      <c r="AE522" s="82"/>
      <c r="AF522" s="82"/>
      <c r="AG522" s="90"/>
      <c r="AH522" s="90"/>
      <c r="AI522" s="90"/>
      <c r="AJ522" s="90"/>
      <c r="AK522" s="82"/>
      <c r="AL522" s="82" t="str" cm="1">
        <f t="array" aca="1" ref="AL522" ca="1">_xlfn.IFS(
 AND($AK522&lt;&gt;"", M522&lt;&gt;0, M522&lt;=EDATE(TODAY(),2)),"도래",
 AND($AK522&lt;&gt;"", M522&lt;&gt;0, M522&lt;=EDATE(TODAY(),3)),"예정",
 AND($AK522&lt;&gt;"", M522&lt;&gt;0, M522&lt;=EDATE(TODAY(),6)),"관심",
 TRUE,""
)</f>
        <v/>
      </c>
      <c r="AM522" s="86"/>
    </row>
    <row r="523" spans="1:39" ht="18" customHeight="1">
      <c r="A523" s="81"/>
      <c r="B523" s="205" t="str">
        <f>_xlfn.LET(_xlpm.var,◆관리정보!B523,IF(_xlpm.var&lt;&gt;0,_xlpm.var,""))</f>
        <v/>
      </c>
      <c r="C523" s="82" t="str">
        <f>_xlfn.LET(_xlpm.var,◆관리정보!C523,IF(_xlpm.var&lt;&gt;0,_xlpm.var,""))</f>
        <v/>
      </c>
      <c r="D523" s="83"/>
      <c r="E523" s="84" t="str">
        <f t="shared" si="21"/>
        <v/>
      </c>
      <c r="F523" s="87"/>
      <c r="G523" s="229"/>
      <c r="H523" s="229"/>
      <c r="I523" s="229"/>
      <c r="J523" s="229"/>
      <c r="K523" s="218"/>
      <c r="L523" s="87"/>
      <c r="M523" s="87"/>
      <c r="N523" s="82"/>
      <c r="O523" s="82"/>
      <c r="P523" s="241"/>
      <c r="Q523" s="241"/>
      <c r="R523" s="82"/>
      <c r="S523" s="241"/>
      <c r="T523" s="82"/>
      <c r="U523" s="241"/>
      <c r="V523" s="82"/>
      <c r="W523" s="88"/>
      <c r="X523" s="82"/>
      <c r="Y523" s="89"/>
      <c r="Z523" s="82"/>
      <c r="AA523" s="90"/>
      <c r="AB523" s="241"/>
      <c r="AC523" s="241"/>
      <c r="AD523" s="241"/>
      <c r="AE523" s="82"/>
      <c r="AF523" s="82"/>
      <c r="AG523" s="90"/>
      <c r="AH523" s="90"/>
      <c r="AI523" s="90"/>
      <c r="AJ523" s="90"/>
      <c r="AK523" s="82"/>
      <c r="AL523" s="82" t="str" cm="1">
        <f t="array" aca="1" ref="AL523" ca="1">_xlfn.IFS(
 AND($AK523&lt;&gt;"", M523&lt;&gt;0, M523&lt;=EDATE(TODAY(),2)),"도래",
 AND($AK523&lt;&gt;"", M523&lt;&gt;0, M523&lt;=EDATE(TODAY(),3)),"예정",
 AND($AK523&lt;&gt;"", M523&lt;&gt;0, M523&lt;=EDATE(TODAY(),6)),"관심",
 TRUE,""
)</f>
        <v/>
      </c>
      <c r="AM523" s="86"/>
    </row>
    <row r="524" spans="1:39" ht="18" customHeight="1">
      <c r="A524" s="81"/>
      <c r="B524" s="205" t="str">
        <f>_xlfn.LET(_xlpm.var,◆관리정보!B524,IF(_xlpm.var&lt;&gt;0,_xlpm.var,""))</f>
        <v/>
      </c>
      <c r="C524" s="82" t="str">
        <f>_xlfn.LET(_xlpm.var,◆관리정보!C524,IF(_xlpm.var&lt;&gt;0,_xlpm.var,""))</f>
        <v/>
      </c>
      <c r="D524" s="83"/>
      <c r="E524" s="84" t="str">
        <f t="shared" si="21"/>
        <v/>
      </c>
      <c r="F524" s="87"/>
      <c r="G524" s="229"/>
      <c r="H524" s="229"/>
      <c r="I524" s="229"/>
      <c r="J524" s="229"/>
      <c r="K524" s="218"/>
      <c r="L524" s="87"/>
      <c r="M524" s="87"/>
      <c r="N524" s="82"/>
      <c r="O524" s="82"/>
      <c r="P524" s="241"/>
      <c r="Q524" s="241"/>
      <c r="R524" s="82"/>
      <c r="S524" s="241"/>
      <c r="T524" s="82"/>
      <c r="U524" s="241"/>
      <c r="V524" s="82"/>
      <c r="W524" s="88"/>
      <c r="X524" s="82"/>
      <c r="Y524" s="89"/>
      <c r="Z524" s="82"/>
      <c r="AA524" s="90"/>
      <c r="AB524" s="241"/>
      <c r="AC524" s="241"/>
      <c r="AD524" s="241"/>
      <c r="AE524" s="82"/>
      <c r="AF524" s="82"/>
      <c r="AG524" s="90"/>
      <c r="AH524" s="90"/>
      <c r="AI524" s="90"/>
      <c r="AJ524" s="90"/>
      <c r="AK524" s="82"/>
      <c r="AL524" s="82" t="str" cm="1">
        <f t="array" aca="1" ref="AL524" ca="1">_xlfn.IFS(
 AND($AK524&lt;&gt;"", M524&lt;&gt;0, M524&lt;=EDATE(TODAY(),2)),"도래",
 AND($AK524&lt;&gt;"", M524&lt;&gt;0, M524&lt;=EDATE(TODAY(),3)),"예정",
 AND($AK524&lt;&gt;"", M524&lt;&gt;0, M524&lt;=EDATE(TODAY(),6)),"관심",
 TRUE,""
)</f>
        <v/>
      </c>
      <c r="AM524" s="86"/>
    </row>
    <row r="525" spans="1:39" ht="18" customHeight="1">
      <c r="A525" s="81"/>
      <c r="B525" s="205" t="str">
        <f>_xlfn.LET(_xlpm.var,◆관리정보!B525,IF(_xlpm.var&lt;&gt;0,_xlpm.var,""))</f>
        <v/>
      </c>
      <c r="C525" s="82" t="str">
        <f>_xlfn.LET(_xlpm.var,◆관리정보!C525,IF(_xlpm.var&lt;&gt;0,_xlpm.var,""))</f>
        <v/>
      </c>
      <c r="D525" s="83"/>
      <c r="E525" s="84" t="str">
        <f t="shared" si="21"/>
        <v/>
      </c>
      <c r="F525" s="87"/>
      <c r="G525" s="229"/>
      <c r="H525" s="229"/>
      <c r="I525" s="229"/>
      <c r="J525" s="229"/>
      <c r="K525" s="218"/>
      <c r="L525" s="87"/>
      <c r="M525" s="87"/>
      <c r="N525" s="82"/>
      <c r="O525" s="82"/>
      <c r="P525" s="241"/>
      <c r="Q525" s="241"/>
      <c r="R525" s="82"/>
      <c r="S525" s="241"/>
      <c r="T525" s="82"/>
      <c r="U525" s="241"/>
      <c r="V525" s="82"/>
      <c r="W525" s="88"/>
      <c r="X525" s="82"/>
      <c r="Y525" s="89"/>
      <c r="Z525" s="82"/>
      <c r="AA525" s="90"/>
      <c r="AB525" s="241"/>
      <c r="AC525" s="241"/>
      <c r="AD525" s="241"/>
      <c r="AE525" s="82"/>
      <c r="AF525" s="82"/>
      <c r="AG525" s="90"/>
      <c r="AH525" s="90"/>
      <c r="AI525" s="90"/>
      <c r="AJ525" s="90"/>
      <c r="AK525" s="82"/>
      <c r="AL525" s="82" t="str" cm="1">
        <f t="array" aca="1" ref="AL525" ca="1">_xlfn.IFS(
 AND($AK525&lt;&gt;"", M525&lt;&gt;0, M525&lt;=EDATE(TODAY(),2)),"도래",
 AND($AK525&lt;&gt;"", M525&lt;&gt;0, M525&lt;=EDATE(TODAY(),3)),"예정",
 AND($AK525&lt;&gt;"", M525&lt;&gt;0, M525&lt;=EDATE(TODAY(),6)),"관심",
 TRUE,""
)</f>
        <v/>
      </c>
      <c r="AM525" s="86"/>
    </row>
    <row r="526" spans="1:39" ht="18" customHeight="1">
      <c r="A526" s="81"/>
      <c r="B526" s="205" t="str">
        <f>_xlfn.LET(_xlpm.var,◆관리정보!B526,IF(_xlpm.var&lt;&gt;0,_xlpm.var,""))</f>
        <v/>
      </c>
      <c r="C526" s="82" t="str">
        <f>_xlfn.LET(_xlpm.var,◆관리정보!C526,IF(_xlpm.var&lt;&gt;0,_xlpm.var,""))</f>
        <v/>
      </c>
      <c r="D526" s="83"/>
      <c r="E526" s="84" t="str">
        <f t="shared" si="21"/>
        <v/>
      </c>
      <c r="F526" s="87"/>
      <c r="G526" s="229"/>
      <c r="H526" s="229"/>
      <c r="I526" s="229"/>
      <c r="J526" s="229"/>
      <c r="K526" s="218"/>
      <c r="L526" s="87"/>
      <c r="M526" s="87"/>
      <c r="N526" s="82"/>
      <c r="O526" s="82"/>
      <c r="P526" s="241"/>
      <c r="Q526" s="241"/>
      <c r="R526" s="82"/>
      <c r="S526" s="241"/>
      <c r="T526" s="82"/>
      <c r="U526" s="241"/>
      <c r="V526" s="82"/>
      <c r="W526" s="88"/>
      <c r="X526" s="82"/>
      <c r="Y526" s="89"/>
      <c r="Z526" s="82"/>
      <c r="AA526" s="90"/>
      <c r="AB526" s="241"/>
      <c r="AC526" s="241"/>
      <c r="AD526" s="241"/>
      <c r="AE526" s="82"/>
      <c r="AF526" s="82"/>
      <c r="AG526" s="90"/>
      <c r="AH526" s="90"/>
      <c r="AI526" s="90"/>
      <c r="AJ526" s="90"/>
      <c r="AK526" s="82"/>
      <c r="AL526" s="82" t="str" cm="1">
        <f t="array" aca="1" ref="AL526" ca="1">_xlfn.IFS(
 AND($AK526&lt;&gt;"", M526&lt;&gt;0, M526&lt;=EDATE(TODAY(),2)),"도래",
 AND($AK526&lt;&gt;"", M526&lt;&gt;0, M526&lt;=EDATE(TODAY(),3)),"예정",
 AND($AK526&lt;&gt;"", M526&lt;&gt;0, M526&lt;=EDATE(TODAY(),6)),"관심",
 TRUE,""
)</f>
        <v/>
      </c>
      <c r="AM526" s="86"/>
    </row>
    <row r="527" spans="1:39" ht="18" customHeight="1">
      <c r="A527" s="81"/>
      <c r="B527" s="205" t="str">
        <f>_xlfn.LET(_xlpm.var,◆관리정보!B527,IF(_xlpm.var&lt;&gt;0,_xlpm.var,""))</f>
        <v/>
      </c>
      <c r="C527" s="82" t="str">
        <f>_xlfn.LET(_xlpm.var,◆관리정보!C527,IF(_xlpm.var&lt;&gt;0,_xlpm.var,""))</f>
        <v/>
      </c>
      <c r="D527" s="83"/>
      <c r="E527" s="84" t="str">
        <f t="shared" si="21"/>
        <v/>
      </c>
      <c r="F527" s="87"/>
      <c r="G527" s="229"/>
      <c r="H527" s="229"/>
      <c r="I527" s="229"/>
      <c r="J527" s="229"/>
      <c r="K527" s="218"/>
      <c r="L527" s="87"/>
      <c r="M527" s="87"/>
      <c r="N527" s="82"/>
      <c r="O527" s="82"/>
      <c r="P527" s="241"/>
      <c r="Q527" s="241"/>
      <c r="R527" s="82"/>
      <c r="S527" s="241"/>
      <c r="T527" s="82"/>
      <c r="U527" s="241"/>
      <c r="V527" s="82"/>
      <c r="W527" s="88"/>
      <c r="X527" s="82"/>
      <c r="Y527" s="89"/>
      <c r="Z527" s="82"/>
      <c r="AA527" s="90"/>
      <c r="AB527" s="241"/>
      <c r="AC527" s="241"/>
      <c r="AD527" s="241"/>
      <c r="AE527" s="82"/>
      <c r="AF527" s="82"/>
      <c r="AG527" s="90"/>
      <c r="AH527" s="90"/>
      <c r="AI527" s="90"/>
      <c r="AJ527" s="90"/>
      <c r="AK527" s="82"/>
      <c r="AL527" s="82" t="str" cm="1">
        <f t="array" aca="1" ref="AL527" ca="1">_xlfn.IFS(
 AND($AK527&lt;&gt;"", M527&lt;&gt;0, M527&lt;=EDATE(TODAY(),2)),"도래",
 AND($AK527&lt;&gt;"", M527&lt;&gt;0, M527&lt;=EDATE(TODAY(),3)),"예정",
 AND($AK527&lt;&gt;"", M527&lt;&gt;0, M527&lt;=EDATE(TODAY(),6)),"관심",
 TRUE,""
)</f>
        <v/>
      </c>
      <c r="AM527" s="86"/>
    </row>
    <row r="528" spans="1:39" ht="18" customHeight="1">
      <c r="A528" s="81"/>
      <c r="B528" s="205" t="str">
        <f>_xlfn.LET(_xlpm.var,◆관리정보!B528,IF(_xlpm.var&lt;&gt;0,_xlpm.var,""))</f>
        <v/>
      </c>
      <c r="C528" s="82" t="str">
        <f>_xlfn.LET(_xlpm.var,◆관리정보!C528,IF(_xlpm.var&lt;&gt;0,_xlpm.var,""))</f>
        <v/>
      </c>
      <c r="D528" s="83"/>
      <c r="E528" s="84" t="str">
        <f t="shared" si="21"/>
        <v/>
      </c>
      <c r="F528" s="87"/>
      <c r="G528" s="229"/>
      <c r="H528" s="229"/>
      <c r="I528" s="229"/>
      <c r="J528" s="229"/>
      <c r="K528" s="218"/>
      <c r="L528" s="87"/>
      <c r="M528" s="87"/>
      <c r="N528" s="82"/>
      <c r="O528" s="82"/>
      <c r="P528" s="241"/>
      <c r="Q528" s="241"/>
      <c r="R528" s="82"/>
      <c r="S528" s="241"/>
      <c r="T528" s="82"/>
      <c r="U528" s="241"/>
      <c r="V528" s="82"/>
      <c r="W528" s="88"/>
      <c r="X528" s="82"/>
      <c r="Y528" s="89"/>
      <c r="Z528" s="82"/>
      <c r="AA528" s="90"/>
      <c r="AB528" s="241"/>
      <c r="AC528" s="241"/>
      <c r="AD528" s="241"/>
      <c r="AE528" s="82"/>
      <c r="AF528" s="82"/>
      <c r="AG528" s="90"/>
      <c r="AH528" s="90"/>
      <c r="AI528" s="90"/>
      <c r="AJ528" s="90"/>
      <c r="AK528" s="82"/>
      <c r="AL528" s="82" t="str" cm="1">
        <f t="array" aca="1" ref="AL528" ca="1">_xlfn.IFS(
 AND($AK528&lt;&gt;"", M528&lt;&gt;0, M528&lt;=EDATE(TODAY(),2)),"도래",
 AND($AK528&lt;&gt;"", M528&lt;&gt;0, M528&lt;=EDATE(TODAY(),3)),"예정",
 AND($AK528&lt;&gt;"", M528&lt;&gt;0, M528&lt;=EDATE(TODAY(),6)),"관심",
 TRUE,""
)</f>
        <v/>
      </c>
      <c r="AM528" s="86"/>
    </row>
    <row r="529" spans="1:39" ht="18" customHeight="1">
      <c r="A529" s="81"/>
      <c r="B529" s="205" t="str">
        <f>_xlfn.LET(_xlpm.var,◆관리정보!B529,IF(_xlpm.var&lt;&gt;0,_xlpm.var,""))</f>
        <v/>
      </c>
      <c r="C529" s="82" t="str">
        <f>_xlfn.LET(_xlpm.var,◆관리정보!C529,IF(_xlpm.var&lt;&gt;0,_xlpm.var,""))</f>
        <v/>
      </c>
      <c r="D529" s="83"/>
      <c r="E529" s="84" t="str">
        <f t="shared" si="21"/>
        <v/>
      </c>
      <c r="F529" s="87"/>
      <c r="G529" s="229"/>
      <c r="H529" s="229"/>
      <c r="I529" s="229"/>
      <c r="J529" s="229"/>
      <c r="K529" s="218"/>
      <c r="L529" s="87"/>
      <c r="M529" s="87"/>
      <c r="N529" s="82"/>
      <c r="O529" s="82"/>
      <c r="P529" s="241"/>
      <c r="Q529" s="241"/>
      <c r="R529" s="82"/>
      <c r="S529" s="241"/>
      <c r="T529" s="82"/>
      <c r="U529" s="241"/>
      <c r="V529" s="82"/>
      <c r="W529" s="88"/>
      <c r="X529" s="82"/>
      <c r="Y529" s="89"/>
      <c r="Z529" s="82"/>
      <c r="AA529" s="90"/>
      <c r="AB529" s="241"/>
      <c r="AC529" s="241"/>
      <c r="AD529" s="241"/>
      <c r="AE529" s="82"/>
      <c r="AF529" s="82"/>
      <c r="AG529" s="90"/>
      <c r="AH529" s="90"/>
      <c r="AI529" s="90"/>
      <c r="AJ529" s="90"/>
      <c r="AK529" s="82"/>
      <c r="AL529" s="82" t="str" cm="1">
        <f t="array" aca="1" ref="AL529" ca="1">_xlfn.IFS(
 AND($AK529&lt;&gt;"", M529&lt;&gt;0, M529&lt;=EDATE(TODAY(),2)),"도래",
 AND($AK529&lt;&gt;"", M529&lt;&gt;0, M529&lt;=EDATE(TODAY(),3)),"예정",
 AND($AK529&lt;&gt;"", M529&lt;&gt;0, M529&lt;=EDATE(TODAY(),6)),"관심",
 TRUE,""
)</f>
        <v/>
      </c>
      <c r="AM529" s="86"/>
    </row>
    <row r="530" spans="1:39" ht="18" customHeight="1">
      <c r="A530" s="81"/>
      <c r="B530" s="205" t="str">
        <f>_xlfn.LET(_xlpm.var,◆관리정보!B530,IF(_xlpm.var&lt;&gt;0,_xlpm.var,""))</f>
        <v/>
      </c>
      <c r="C530" s="82" t="str">
        <f>_xlfn.LET(_xlpm.var,◆관리정보!C530,IF(_xlpm.var&lt;&gt;0,_xlpm.var,""))</f>
        <v/>
      </c>
      <c r="D530" s="83"/>
      <c r="E530" s="84" t="str">
        <f t="shared" si="21"/>
        <v/>
      </c>
      <c r="F530" s="87"/>
      <c r="G530" s="229"/>
      <c r="H530" s="229"/>
      <c r="I530" s="229"/>
      <c r="J530" s="229"/>
      <c r="K530" s="218"/>
      <c r="L530" s="87"/>
      <c r="M530" s="87"/>
      <c r="N530" s="82"/>
      <c r="O530" s="82"/>
      <c r="P530" s="241"/>
      <c r="Q530" s="241"/>
      <c r="R530" s="82"/>
      <c r="S530" s="241"/>
      <c r="T530" s="82"/>
      <c r="U530" s="241"/>
      <c r="V530" s="82"/>
      <c r="W530" s="88"/>
      <c r="X530" s="82"/>
      <c r="Y530" s="89"/>
      <c r="Z530" s="82"/>
      <c r="AA530" s="90"/>
      <c r="AB530" s="241"/>
      <c r="AC530" s="241"/>
      <c r="AD530" s="241"/>
      <c r="AE530" s="82"/>
      <c r="AF530" s="82"/>
      <c r="AG530" s="90"/>
      <c r="AH530" s="90"/>
      <c r="AI530" s="90"/>
      <c r="AJ530" s="90"/>
      <c r="AK530" s="82"/>
      <c r="AL530" s="82" t="str" cm="1">
        <f t="array" aca="1" ref="AL530" ca="1">_xlfn.IFS(
 AND($AK530&lt;&gt;"", M530&lt;&gt;0, M530&lt;=EDATE(TODAY(),2)),"도래",
 AND($AK530&lt;&gt;"", M530&lt;&gt;0, M530&lt;=EDATE(TODAY(),3)),"예정",
 AND($AK530&lt;&gt;"", M530&lt;&gt;0, M530&lt;=EDATE(TODAY(),6)),"관심",
 TRUE,""
)</f>
        <v/>
      </c>
      <c r="AM530" s="86"/>
    </row>
    <row r="531" spans="1:39" ht="18" customHeight="1">
      <c r="A531" s="81"/>
      <c r="B531" s="205" t="str">
        <f>_xlfn.LET(_xlpm.var,◆관리정보!B531,IF(_xlpm.var&lt;&gt;0,_xlpm.var,""))</f>
        <v/>
      </c>
      <c r="C531" s="82" t="str">
        <f>_xlfn.LET(_xlpm.var,◆관리정보!C531,IF(_xlpm.var&lt;&gt;0,_xlpm.var,""))</f>
        <v/>
      </c>
      <c r="D531" s="83"/>
      <c r="E531" s="84" t="str">
        <f t="shared" si="21"/>
        <v/>
      </c>
      <c r="F531" s="87"/>
      <c r="G531" s="229"/>
      <c r="H531" s="229"/>
      <c r="I531" s="229"/>
      <c r="J531" s="229"/>
      <c r="K531" s="218"/>
      <c r="L531" s="87"/>
      <c r="M531" s="87"/>
      <c r="N531" s="82"/>
      <c r="O531" s="82"/>
      <c r="P531" s="241"/>
      <c r="Q531" s="241"/>
      <c r="R531" s="82"/>
      <c r="S531" s="241"/>
      <c r="T531" s="82"/>
      <c r="U531" s="241"/>
      <c r="V531" s="82"/>
      <c r="W531" s="88"/>
      <c r="X531" s="82"/>
      <c r="Y531" s="89"/>
      <c r="Z531" s="82"/>
      <c r="AA531" s="90"/>
      <c r="AB531" s="241"/>
      <c r="AC531" s="241"/>
      <c r="AD531" s="241"/>
      <c r="AE531" s="82"/>
      <c r="AF531" s="82"/>
      <c r="AG531" s="90"/>
      <c r="AH531" s="90"/>
      <c r="AI531" s="90"/>
      <c r="AJ531" s="90"/>
      <c r="AK531" s="82"/>
      <c r="AL531" s="82" t="str" cm="1">
        <f t="array" aca="1" ref="AL531" ca="1">_xlfn.IFS(
 AND($AK531&lt;&gt;"", M531&lt;&gt;0, M531&lt;=EDATE(TODAY(),2)),"도래",
 AND($AK531&lt;&gt;"", M531&lt;&gt;0, M531&lt;=EDATE(TODAY(),3)),"예정",
 AND($AK531&lt;&gt;"", M531&lt;&gt;0, M531&lt;=EDATE(TODAY(),6)),"관심",
 TRUE,""
)</f>
        <v/>
      </c>
      <c r="AM531" s="86"/>
    </row>
    <row r="532" spans="1:39" ht="18" customHeight="1">
      <c r="A532" s="81"/>
      <c r="B532" s="205" t="str">
        <f>_xlfn.LET(_xlpm.var,◆관리정보!B532,IF(_xlpm.var&lt;&gt;0,_xlpm.var,""))</f>
        <v/>
      </c>
      <c r="C532" s="82" t="str">
        <f>_xlfn.LET(_xlpm.var,◆관리정보!C532,IF(_xlpm.var&lt;&gt;0,_xlpm.var,""))</f>
        <v/>
      </c>
      <c r="D532" s="83"/>
      <c r="E532" s="84" t="str">
        <f t="shared" si="21"/>
        <v/>
      </c>
      <c r="F532" s="87"/>
      <c r="G532" s="229"/>
      <c r="H532" s="229"/>
      <c r="I532" s="229"/>
      <c r="J532" s="229"/>
      <c r="K532" s="218"/>
      <c r="L532" s="87"/>
      <c r="M532" s="87"/>
      <c r="N532" s="82"/>
      <c r="O532" s="82"/>
      <c r="P532" s="241"/>
      <c r="Q532" s="241"/>
      <c r="R532" s="82"/>
      <c r="S532" s="241"/>
      <c r="T532" s="82"/>
      <c r="U532" s="241"/>
      <c r="V532" s="82"/>
      <c r="W532" s="88"/>
      <c r="X532" s="82"/>
      <c r="Y532" s="89"/>
      <c r="Z532" s="82"/>
      <c r="AA532" s="90"/>
      <c r="AB532" s="241"/>
      <c r="AC532" s="241"/>
      <c r="AD532" s="241"/>
      <c r="AE532" s="82"/>
      <c r="AF532" s="82"/>
      <c r="AG532" s="90"/>
      <c r="AH532" s="90"/>
      <c r="AI532" s="90"/>
      <c r="AJ532" s="90"/>
      <c r="AK532" s="82"/>
      <c r="AL532" s="82" t="str" cm="1">
        <f t="array" aca="1" ref="AL532" ca="1">_xlfn.IFS(
 AND($AK532&lt;&gt;"", M532&lt;&gt;0, M532&lt;=EDATE(TODAY(),2)),"도래",
 AND($AK532&lt;&gt;"", M532&lt;&gt;0, M532&lt;=EDATE(TODAY(),3)),"예정",
 AND($AK532&lt;&gt;"", M532&lt;&gt;0, M532&lt;=EDATE(TODAY(),6)),"관심",
 TRUE,""
)</f>
        <v/>
      </c>
      <c r="AM532" s="86"/>
    </row>
    <row r="533" spans="1:39" ht="18" customHeight="1">
      <c r="A533" s="81"/>
      <c r="B533" s="205" t="str">
        <f>_xlfn.LET(_xlpm.var,◆관리정보!B533,IF(_xlpm.var&lt;&gt;0,_xlpm.var,""))</f>
        <v/>
      </c>
      <c r="C533" s="82" t="str">
        <f>_xlfn.LET(_xlpm.var,◆관리정보!C533,IF(_xlpm.var&lt;&gt;0,_xlpm.var,""))</f>
        <v/>
      </c>
      <c r="D533" s="83"/>
      <c r="E533" s="84" t="str">
        <f t="shared" si="21"/>
        <v/>
      </c>
      <c r="F533" s="87"/>
      <c r="G533" s="229"/>
      <c r="H533" s="229"/>
      <c r="I533" s="229"/>
      <c r="J533" s="229"/>
      <c r="K533" s="218"/>
      <c r="L533" s="87"/>
      <c r="M533" s="87"/>
      <c r="N533" s="82"/>
      <c r="O533" s="82"/>
      <c r="P533" s="241"/>
      <c r="Q533" s="241"/>
      <c r="R533" s="82"/>
      <c r="S533" s="241"/>
      <c r="T533" s="82"/>
      <c r="U533" s="241"/>
      <c r="V533" s="82"/>
      <c r="W533" s="88"/>
      <c r="X533" s="82"/>
      <c r="Y533" s="89"/>
      <c r="Z533" s="82"/>
      <c r="AA533" s="90"/>
      <c r="AB533" s="241"/>
      <c r="AC533" s="241"/>
      <c r="AD533" s="241"/>
      <c r="AE533" s="82"/>
      <c r="AF533" s="82"/>
      <c r="AG533" s="90"/>
      <c r="AH533" s="90"/>
      <c r="AI533" s="90"/>
      <c r="AJ533" s="90"/>
      <c r="AK533" s="82"/>
      <c r="AL533" s="82" t="str" cm="1">
        <f t="array" aca="1" ref="AL533" ca="1">_xlfn.IFS(
 AND($AK533&lt;&gt;"", M533&lt;&gt;0, M533&lt;=EDATE(TODAY(),2)),"도래",
 AND($AK533&lt;&gt;"", M533&lt;&gt;0, M533&lt;=EDATE(TODAY(),3)),"예정",
 AND($AK533&lt;&gt;"", M533&lt;&gt;0, M533&lt;=EDATE(TODAY(),6)),"관심",
 TRUE,""
)</f>
        <v/>
      </c>
      <c r="AM533" s="86"/>
    </row>
    <row r="534" spans="1:39" ht="18" customHeight="1">
      <c r="A534" s="81"/>
      <c r="B534" s="205" t="str">
        <f>_xlfn.LET(_xlpm.var,◆관리정보!B534,IF(_xlpm.var&lt;&gt;0,_xlpm.var,""))</f>
        <v/>
      </c>
      <c r="C534" s="82" t="str">
        <f>_xlfn.LET(_xlpm.var,◆관리정보!C534,IF(_xlpm.var&lt;&gt;0,_xlpm.var,""))</f>
        <v/>
      </c>
      <c r="D534" s="83"/>
      <c r="E534" s="84" t="str">
        <f t="shared" si="21"/>
        <v/>
      </c>
      <c r="F534" s="87"/>
      <c r="G534" s="229"/>
      <c r="H534" s="229"/>
      <c r="I534" s="229"/>
      <c r="J534" s="229"/>
      <c r="K534" s="218"/>
      <c r="L534" s="87"/>
      <c r="M534" s="87"/>
      <c r="N534" s="82"/>
      <c r="O534" s="82"/>
      <c r="P534" s="241"/>
      <c r="Q534" s="241"/>
      <c r="R534" s="82"/>
      <c r="S534" s="241"/>
      <c r="T534" s="82"/>
      <c r="U534" s="241"/>
      <c r="V534" s="82"/>
      <c r="W534" s="88"/>
      <c r="X534" s="82"/>
      <c r="Y534" s="89"/>
      <c r="Z534" s="82"/>
      <c r="AA534" s="90"/>
      <c r="AB534" s="241"/>
      <c r="AC534" s="241"/>
      <c r="AD534" s="241"/>
      <c r="AE534" s="82"/>
      <c r="AF534" s="82"/>
      <c r="AG534" s="90"/>
      <c r="AH534" s="90"/>
      <c r="AI534" s="90"/>
      <c r="AJ534" s="90"/>
      <c r="AK534" s="82"/>
      <c r="AL534" s="82" t="str" cm="1">
        <f t="array" aca="1" ref="AL534" ca="1">_xlfn.IFS(
 AND($AK534&lt;&gt;"", M534&lt;&gt;0, M534&lt;=EDATE(TODAY(),2)),"도래",
 AND($AK534&lt;&gt;"", M534&lt;&gt;0, M534&lt;=EDATE(TODAY(),3)),"예정",
 AND($AK534&lt;&gt;"", M534&lt;&gt;0, M534&lt;=EDATE(TODAY(),6)),"관심",
 TRUE,""
)</f>
        <v/>
      </c>
      <c r="AM534" s="86"/>
    </row>
    <row r="535" spans="1:39" ht="18" customHeight="1">
      <c r="A535" s="81"/>
      <c r="B535" s="205" t="str">
        <f>_xlfn.LET(_xlpm.var,◆관리정보!B535,IF(_xlpm.var&lt;&gt;0,_xlpm.var,""))</f>
        <v/>
      </c>
      <c r="C535" s="82" t="str">
        <f>_xlfn.LET(_xlpm.var,◆관리정보!C535,IF(_xlpm.var&lt;&gt;0,_xlpm.var,""))</f>
        <v/>
      </c>
      <c r="D535" s="83"/>
      <c r="E535" s="84" t="str">
        <f t="shared" si="21"/>
        <v/>
      </c>
      <c r="F535" s="87"/>
      <c r="G535" s="229"/>
      <c r="H535" s="229"/>
      <c r="I535" s="229"/>
      <c r="J535" s="229"/>
      <c r="K535" s="218"/>
      <c r="L535" s="87"/>
      <c r="M535" s="87"/>
      <c r="N535" s="82"/>
      <c r="O535" s="82"/>
      <c r="P535" s="241"/>
      <c r="Q535" s="241"/>
      <c r="R535" s="82"/>
      <c r="S535" s="241"/>
      <c r="T535" s="82"/>
      <c r="U535" s="241"/>
      <c r="V535" s="82"/>
      <c r="W535" s="88"/>
      <c r="X535" s="82"/>
      <c r="Y535" s="89"/>
      <c r="Z535" s="82"/>
      <c r="AA535" s="90"/>
      <c r="AB535" s="241"/>
      <c r="AC535" s="241"/>
      <c r="AD535" s="241"/>
      <c r="AE535" s="82"/>
      <c r="AF535" s="82"/>
      <c r="AG535" s="90"/>
      <c r="AH535" s="90"/>
      <c r="AI535" s="90"/>
      <c r="AJ535" s="90"/>
      <c r="AK535" s="82"/>
      <c r="AL535" s="82" t="str" cm="1">
        <f t="array" aca="1" ref="AL535" ca="1">_xlfn.IFS(
 AND($AK535&lt;&gt;"", M535&lt;&gt;0, M535&lt;=EDATE(TODAY(),2)),"도래",
 AND($AK535&lt;&gt;"", M535&lt;&gt;0, M535&lt;=EDATE(TODAY(),3)),"예정",
 AND($AK535&lt;&gt;"", M535&lt;&gt;0, M535&lt;=EDATE(TODAY(),6)),"관심",
 TRUE,""
)</f>
        <v/>
      </c>
      <c r="AM535" s="86"/>
    </row>
    <row r="536" spans="1:39" ht="18" customHeight="1">
      <c r="A536" s="81"/>
      <c r="B536" s="205" t="str">
        <f>_xlfn.LET(_xlpm.var,◆관리정보!B536,IF(_xlpm.var&lt;&gt;0,_xlpm.var,""))</f>
        <v/>
      </c>
      <c r="C536" s="82" t="str">
        <f>_xlfn.LET(_xlpm.var,◆관리정보!C536,IF(_xlpm.var&lt;&gt;0,_xlpm.var,""))</f>
        <v/>
      </c>
      <c r="D536" s="83"/>
      <c r="E536" s="84" t="str">
        <f t="shared" si="21"/>
        <v/>
      </c>
      <c r="F536" s="87"/>
      <c r="G536" s="229"/>
      <c r="H536" s="229"/>
      <c r="I536" s="229"/>
      <c r="J536" s="229"/>
      <c r="K536" s="218"/>
      <c r="L536" s="87"/>
      <c r="M536" s="87"/>
      <c r="N536" s="82"/>
      <c r="O536" s="82"/>
      <c r="P536" s="241"/>
      <c r="Q536" s="241"/>
      <c r="R536" s="82"/>
      <c r="S536" s="241"/>
      <c r="T536" s="82"/>
      <c r="U536" s="241"/>
      <c r="V536" s="82"/>
      <c r="W536" s="88"/>
      <c r="X536" s="82"/>
      <c r="Y536" s="89"/>
      <c r="Z536" s="82"/>
      <c r="AA536" s="90"/>
      <c r="AB536" s="241"/>
      <c r="AC536" s="241"/>
      <c r="AD536" s="241"/>
      <c r="AE536" s="82"/>
      <c r="AF536" s="82"/>
      <c r="AG536" s="90"/>
      <c r="AH536" s="90"/>
      <c r="AI536" s="90"/>
      <c r="AJ536" s="90"/>
      <c r="AK536" s="82"/>
      <c r="AL536" s="82" t="str" cm="1">
        <f t="array" aca="1" ref="AL536" ca="1">_xlfn.IFS(
 AND($AK536&lt;&gt;"", M536&lt;&gt;0, M536&lt;=EDATE(TODAY(),2)),"도래",
 AND($AK536&lt;&gt;"", M536&lt;&gt;0, M536&lt;=EDATE(TODAY(),3)),"예정",
 AND($AK536&lt;&gt;"", M536&lt;&gt;0, M536&lt;=EDATE(TODAY(),6)),"관심",
 TRUE,""
)</f>
        <v/>
      </c>
      <c r="AM536" s="86"/>
    </row>
    <row r="537" spans="1:39" ht="18" customHeight="1">
      <c r="A537" s="81"/>
      <c r="B537" s="205" t="str">
        <f>_xlfn.LET(_xlpm.var,◆관리정보!B537,IF(_xlpm.var&lt;&gt;0,_xlpm.var,""))</f>
        <v/>
      </c>
      <c r="C537" s="82" t="str">
        <f>_xlfn.LET(_xlpm.var,◆관리정보!C537,IF(_xlpm.var&lt;&gt;0,_xlpm.var,""))</f>
        <v/>
      </c>
      <c r="D537" s="83"/>
      <c r="E537" s="84" t="str">
        <f t="shared" si="21"/>
        <v/>
      </c>
      <c r="F537" s="87"/>
      <c r="G537" s="229"/>
      <c r="H537" s="229"/>
      <c r="I537" s="229"/>
      <c r="J537" s="229"/>
      <c r="K537" s="218"/>
      <c r="L537" s="87"/>
      <c r="M537" s="87"/>
      <c r="N537" s="82"/>
      <c r="O537" s="82"/>
      <c r="P537" s="241"/>
      <c r="Q537" s="241"/>
      <c r="R537" s="82"/>
      <c r="S537" s="241"/>
      <c r="T537" s="82"/>
      <c r="U537" s="241"/>
      <c r="V537" s="82"/>
      <c r="W537" s="88"/>
      <c r="X537" s="82"/>
      <c r="Y537" s="89"/>
      <c r="Z537" s="82"/>
      <c r="AA537" s="90"/>
      <c r="AB537" s="241"/>
      <c r="AC537" s="241"/>
      <c r="AD537" s="241"/>
      <c r="AE537" s="82"/>
      <c r="AF537" s="82"/>
      <c r="AG537" s="90"/>
      <c r="AH537" s="90"/>
      <c r="AI537" s="90"/>
      <c r="AJ537" s="90"/>
      <c r="AK537" s="82"/>
      <c r="AL537" s="82" t="str" cm="1">
        <f t="array" aca="1" ref="AL537" ca="1">_xlfn.IFS(
 AND($AK537&lt;&gt;"", M537&lt;&gt;0, M537&lt;=EDATE(TODAY(),2)),"도래",
 AND($AK537&lt;&gt;"", M537&lt;&gt;0, M537&lt;=EDATE(TODAY(),3)),"예정",
 AND($AK537&lt;&gt;"", M537&lt;&gt;0, M537&lt;=EDATE(TODAY(),6)),"관심",
 TRUE,""
)</f>
        <v/>
      </c>
      <c r="AM537" s="86"/>
    </row>
    <row r="538" spans="1:39" ht="18" customHeight="1">
      <c r="A538" s="81"/>
      <c r="B538" s="205" t="str">
        <f>_xlfn.LET(_xlpm.var,◆관리정보!B538,IF(_xlpm.var&lt;&gt;0,_xlpm.var,""))</f>
        <v/>
      </c>
      <c r="C538" s="82" t="str">
        <f>_xlfn.LET(_xlpm.var,◆관리정보!C538,IF(_xlpm.var&lt;&gt;0,_xlpm.var,""))</f>
        <v/>
      </c>
      <c r="D538" s="83"/>
      <c r="E538" s="84" t="str">
        <f t="shared" si="21"/>
        <v/>
      </c>
      <c r="F538" s="87"/>
      <c r="G538" s="229"/>
      <c r="H538" s="229"/>
      <c r="I538" s="229"/>
      <c r="J538" s="229"/>
      <c r="K538" s="218"/>
      <c r="L538" s="87"/>
      <c r="M538" s="87"/>
      <c r="N538" s="82"/>
      <c r="O538" s="82"/>
      <c r="P538" s="241"/>
      <c r="Q538" s="241"/>
      <c r="R538" s="82"/>
      <c r="S538" s="241"/>
      <c r="T538" s="82"/>
      <c r="U538" s="241"/>
      <c r="V538" s="82"/>
      <c r="W538" s="88"/>
      <c r="X538" s="82"/>
      <c r="Y538" s="89"/>
      <c r="Z538" s="82"/>
      <c r="AA538" s="90"/>
      <c r="AB538" s="241"/>
      <c r="AC538" s="241"/>
      <c r="AD538" s="241"/>
      <c r="AE538" s="82"/>
      <c r="AF538" s="82"/>
      <c r="AG538" s="90"/>
      <c r="AH538" s="90"/>
      <c r="AI538" s="90"/>
      <c r="AJ538" s="90"/>
      <c r="AK538" s="82"/>
      <c r="AL538" s="82" t="str" cm="1">
        <f t="array" aca="1" ref="AL538" ca="1">_xlfn.IFS(
 AND($AK538&lt;&gt;"", M538&lt;&gt;0, M538&lt;=EDATE(TODAY(),2)),"도래",
 AND($AK538&lt;&gt;"", M538&lt;&gt;0, M538&lt;=EDATE(TODAY(),3)),"예정",
 AND($AK538&lt;&gt;"", M538&lt;&gt;0, M538&lt;=EDATE(TODAY(),6)),"관심",
 TRUE,""
)</f>
        <v/>
      </c>
      <c r="AM538" s="86"/>
    </row>
    <row r="539" spans="1:39" ht="18" customHeight="1">
      <c r="A539" s="81"/>
      <c r="B539" s="205" t="str">
        <f>_xlfn.LET(_xlpm.var,◆관리정보!B539,IF(_xlpm.var&lt;&gt;0,_xlpm.var,""))</f>
        <v/>
      </c>
      <c r="C539" s="82" t="str">
        <f>_xlfn.LET(_xlpm.var,◆관리정보!C539,IF(_xlpm.var&lt;&gt;0,_xlpm.var,""))</f>
        <v/>
      </c>
      <c r="D539" s="83"/>
      <c r="E539" s="84" t="str">
        <f t="shared" si="21"/>
        <v/>
      </c>
      <c r="F539" s="87"/>
      <c r="G539" s="229"/>
      <c r="H539" s="229"/>
      <c r="I539" s="229"/>
      <c r="J539" s="229"/>
      <c r="K539" s="218"/>
      <c r="L539" s="87"/>
      <c r="M539" s="87"/>
      <c r="N539" s="82"/>
      <c r="O539" s="82"/>
      <c r="P539" s="241"/>
      <c r="Q539" s="241"/>
      <c r="R539" s="82"/>
      <c r="S539" s="241"/>
      <c r="T539" s="82"/>
      <c r="U539" s="241"/>
      <c r="V539" s="82"/>
      <c r="W539" s="88"/>
      <c r="X539" s="82"/>
      <c r="Y539" s="89"/>
      <c r="Z539" s="82"/>
      <c r="AA539" s="90"/>
      <c r="AB539" s="241"/>
      <c r="AC539" s="241"/>
      <c r="AD539" s="241"/>
      <c r="AE539" s="82"/>
      <c r="AF539" s="82"/>
      <c r="AG539" s="90"/>
      <c r="AH539" s="90"/>
      <c r="AI539" s="90"/>
      <c r="AJ539" s="90"/>
      <c r="AK539" s="82"/>
      <c r="AL539" s="82" t="str" cm="1">
        <f t="array" aca="1" ref="AL539" ca="1">_xlfn.IFS(
 AND($AK539&lt;&gt;"", M539&lt;&gt;0, M539&lt;=EDATE(TODAY(),2)),"도래",
 AND($AK539&lt;&gt;"", M539&lt;&gt;0, M539&lt;=EDATE(TODAY(),3)),"예정",
 AND($AK539&lt;&gt;"", M539&lt;&gt;0, M539&lt;=EDATE(TODAY(),6)),"관심",
 TRUE,""
)</f>
        <v/>
      </c>
      <c r="AM539" s="86"/>
    </row>
    <row r="540" spans="1:39" ht="18" customHeight="1">
      <c r="A540" s="81"/>
      <c r="B540" s="205" t="str">
        <f>_xlfn.LET(_xlpm.var,◆관리정보!B540,IF(_xlpm.var&lt;&gt;0,_xlpm.var,""))</f>
        <v/>
      </c>
      <c r="C540" s="82" t="str">
        <f>_xlfn.LET(_xlpm.var,◆관리정보!C540,IF(_xlpm.var&lt;&gt;0,_xlpm.var,""))</f>
        <v/>
      </c>
      <c r="D540" s="83"/>
      <c r="E540" s="84" t="str">
        <f t="shared" si="21"/>
        <v/>
      </c>
      <c r="F540" s="87"/>
      <c r="G540" s="229"/>
      <c r="H540" s="229"/>
      <c r="I540" s="229"/>
      <c r="J540" s="229"/>
      <c r="K540" s="218"/>
      <c r="L540" s="87"/>
      <c r="M540" s="87"/>
      <c r="N540" s="82"/>
      <c r="O540" s="82"/>
      <c r="P540" s="241"/>
      <c r="Q540" s="241"/>
      <c r="R540" s="82"/>
      <c r="S540" s="241"/>
      <c r="T540" s="82"/>
      <c r="U540" s="241"/>
      <c r="V540" s="82"/>
      <c r="W540" s="88"/>
      <c r="X540" s="82"/>
      <c r="Y540" s="89"/>
      <c r="Z540" s="82"/>
      <c r="AA540" s="90"/>
      <c r="AB540" s="241"/>
      <c r="AC540" s="241"/>
      <c r="AD540" s="241"/>
      <c r="AE540" s="82"/>
      <c r="AF540" s="82"/>
      <c r="AG540" s="90"/>
      <c r="AH540" s="90"/>
      <c r="AI540" s="90"/>
      <c r="AJ540" s="90"/>
      <c r="AK540" s="82"/>
      <c r="AL540" s="82" t="str" cm="1">
        <f t="array" aca="1" ref="AL540" ca="1">_xlfn.IFS(
 AND($AK540&lt;&gt;"", M540&lt;&gt;0, M540&lt;=EDATE(TODAY(),2)),"도래",
 AND($AK540&lt;&gt;"", M540&lt;&gt;0, M540&lt;=EDATE(TODAY(),3)),"예정",
 AND($AK540&lt;&gt;"", M540&lt;&gt;0, M540&lt;=EDATE(TODAY(),6)),"관심",
 TRUE,""
)</f>
        <v/>
      </c>
      <c r="AM540" s="86"/>
    </row>
    <row r="541" spans="1:39" ht="18" customHeight="1">
      <c r="A541" s="81"/>
      <c r="B541" s="205" t="str">
        <f>_xlfn.LET(_xlpm.var,◆관리정보!B541,IF(_xlpm.var&lt;&gt;0,_xlpm.var,""))</f>
        <v/>
      </c>
      <c r="C541" s="82" t="str">
        <f>_xlfn.LET(_xlpm.var,◆관리정보!C541,IF(_xlpm.var&lt;&gt;0,_xlpm.var,""))</f>
        <v/>
      </c>
      <c r="D541" s="83"/>
      <c r="E541" s="84" t="str">
        <f t="shared" si="21"/>
        <v/>
      </c>
      <c r="F541" s="87"/>
      <c r="G541" s="229"/>
      <c r="H541" s="229"/>
      <c r="I541" s="229"/>
      <c r="J541" s="229"/>
      <c r="K541" s="218"/>
      <c r="L541" s="87"/>
      <c r="M541" s="87"/>
      <c r="N541" s="82"/>
      <c r="O541" s="82"/>
      <c r="P541" s="241"/>
      <c r="Q541" s="241"/>
      <c r="R541" s="82"/>
      <c r="S541" s="241"/>
      <c r="T541" s="82"/>
      <c r="U541" s="241"/>
      <c r="V541" s="82"/>
      <c r="W541" s="88"/>
      <c r="X541" s="82"/>
      <c r="Y541" s="89"/>
      <c r="Z541" s="82"/>
      <c r="AA541" s="90"/>
      <c r="AB541" s="241"/>
      <c r="AC541" s="241"/>
      <c r="AD541" s="241"/>
      <c r="AE541" s="82"/>
      <c r="AF541" s="82"/>
      <c r="AG541" s="90"/>
      <c r="AH541" s="90"/>
      <c r="AI541" s="90"/>
      <c r="AJ541" s="90"/>
      <c r="AK541" s="82"/>
      <c r="AL541" s="82" t="str" cm="1">
        <f t="array" aca="1" ref="AL541" ca="1">_xlfn.IFS(
 AND($AK541&lt;&gt;"", M541&lt;&gt;0, M541&lt;=EDATE(TODAY(),2)),"도래",
 AND($AK541&lt;&gt;"", M541&lt;&gt;0, M541&lt;=EDATE(TODAY(),3)),"예정",
 AND($AK541&lt;&gt;"", M541&lt;&gt;0, M541&lt;=EDATE(TODAY(),6)),"관심",
 TRUE,""
)</f>
        <v/>
      </c>
      <c r="AM541" s="86"/>
    </row>
    <row r="542" spans="1:39" ht="18" customHeight="1">
      <c r="A542" s="81"/>
      <c r="B542" s="205" t="str">
        <f>_xlfn.LET(_xlpm.var,◆관리정보!B542,IF(_xlpm.var&lt;&gt;0,_xlpm.var,""))</f>
        <v/>
      </c>
      <c r="C542" s="82" t="str">
        <f>_xlfn.LET(_xlpm.var,◆관리정보!C542,IF(_xlpm.var&lt;&gt;0,_xlpm.var,""))</f>
        <v/>
      </c>
      <c r="D542" s="83"/>
      <c r="E542" s="84" t="str">
        <f t="shared" si="21"/>
        <v/>
      </c>
      <c r="F542" s="87"/>
      <c r="G542" s="229"/>
      <c r="H542" s="229"/>
      <c r="I542" s="229"/>
      <c r="J542" s="229"/>
      <c r="K542" s="218"/>
      <c r="L542" s="87"/>
      <c r="M542" s="87"/>
      <c r="N542" s="82"/>
      <c r="O542" s="82"/>
      <c r="P542" s="241"/>
      <c r="Q542" s="241"/>
      <c r="R542" s="82"/>
      <c r="S542" s="241"/>
      <c r="T542" s="82"/>
      <c r="U542" s="241"/>
      <c r="V542" s="82"/>
      <c r="W542" s="88"/>
      <c r="X542" s="82"/>
      <c r="Y542" s="89"/>
      <c r="Z542" s="82"/>
      <c r="AA542" s="90"/>
      <c r="AB542" s="241"/>
      <c r="AC542" s="241"/>
      <c r="AD542" s="241"/>
      <c r="AE542" s="82"/>
      <c r="AF542" s="82"/>
      <c r="AG542" s="90"/>
      <c r="AH542" s="90"/>
      <c r="AI542" s="90"/>
      <c r="AJ542" s="90"/>
      <c r="AK542" s="82"/>
      <c r="AL542" s="82" t="str" cm="1">
        <f t="array" aca="1" ref="AL542" ca="1">_xlfn.IFS(
 AND($AK542&lt;&gt;"", M542&lt;&gt;0, M542&lt;=EDATE(TODAY(),2)),"도래",
 AND($AK542&lt;&gt;"", M542&lt;&gt;0, M542&lt;=EDATE(TODAY(),3)),"예정",
 AND($AK542&lt;&gt;"", M542&lt;&gt;0, M542&lt;=EDATE(TODAY(),6)),"관심",
 TRUE,""
)</f>
        <v/>
      </c>
      <c r="AM542" s="86"/>
    </row>
    <row r="543" spans="1:39" ht="18" customHeight="1">
      <c r="A543" s="81"/>
      <c r="B543" s="205" t="str">
        <f>_xlfn.LET(_xlpm.var,◆관리정보!B543,IF(_xlpm.var&lt;&gt;0,_xlpm.var,""))</f>
        <v/>
      </c>
      <c r="C543" s="82" t="str">
        <f>_xlfn.LET(_xlpm.var,◆관리정보!C543,IF(_xlpm.var&lt;&gt;0,_xlpm.var,""))</f>
        <v/>
      </c>
      <c r="D543" s="83"/>
      <c r="E543" s="84" t="str">
        <f t="shared" si="21"/>
        <v/>
      </c>
      <c r="F543" s="87"/>
      <c r="G543" s="229"/>
      <c r="H543" s="229"/>
      <c r="I543" s="229"/>
      <c r="J543" s="229"/>
      <c r="K543" s="218"/>
      <c r="L543" s="87"/>
      <c r="M543" s="87"/>
      <c r="N543" s="82"/>
      <c r="O543" s="82"/>
      <c r="P543" s="241"/>
      <c r="Q543" s="241"/>
      <c r="R543" s="82"/>
      <c r="S543" s="241"/>
      <c r="T543" s="82"/>
      <c r="U543" s="241"/>
      <c r="V543" s="82"/>
      <c r="W543" s="88"/>
      <c r="X543" s="82"/>
      <c r="Y543" s="89"/>
      <c r="Z543" s="82"/>
      <c r="AA543" s="90"/>
      <c r="AB543" s="241"/>
      <c r="AC543" s="241"/>
      <c r="AD543" s="241"/>
      <c r="AE543" s="82"/>
      <c r="AF543" s="82"/>
      <c r="AG543" s="90"/>
      <c r="AH543" s="90"/>
      <c r="AI543" s="90"/>
      <c r="AJ543" s="90"/>
      <c r="AK543" s="82"/>
      <c r="AL543" s="82" t="str" cm="1">
        <f t="array" aca="1" ref="AL543" ca="1">_xlfn.IFS(
 AND($AK543&lt;&gt;"", M543&lt;&gt;0, M543&lt;=EDATE(TODAY(),2)),"도래",
 AND($AK543&lt;&gt;"", M543&lt;&gt;0, M543&lt;=EDATE(TODAY(),3)),"예정",
 AND($AK543&lt;&gt;"", M543&lt;&gt;0, M543&lt;=EDATE(TODAY(),6)),"관심",
 TRUE,""
)</f>
        <v/>
      </c>
      <c r="AM543" s="86"/>
    </row>
    <row r="544" spans="1:39" ht="18" customHeight="1">
      <c r="A544" s="81"/>
      <c r="B544" s="205" t="str">
        <f>_xlfn.LET(_xlpm.var,◆관리정보!B544,IF(_xlpm.var&lt;&gt;0,_xlpm.var,""))</f>
        <v/>
      </c>
      <c r="C544" s="82" t="str">
        <f>_xlfn.LET(_xlpm.var,◆관리정보!C544,IF(_xlpm.var&lt;&gt;0,_xlpm.var,""))</f>
        <v/>
      </c>
      <c r="D544" s="83"/>
      <c r="E544" s="84" t="str">
        <f t="shared" si="21"/>
        <v/>
      </c>
      <c r="F544" s="87"/>
      <c r="G544" s="229"/>
      <c r="H544" s="229"/>
      <c r="I544" s="229"/>
      <c r="J544" s="229"/>
      <c r="K544" s="218"/>
      <c r="L544" s="87"/>
      <c r="M544" s="87"/>
      <c r="N544" s="82"/>
      <c r="O544" s="82"/>
      <c r="P544" s="241"/>
      <c r="Q544" s="241"/>
      <c r="R544" s="82"/>
      <c r="S544" s="241"/>
      <c r="T544" s="82"/>
      <c r="U544" s="241"/>
      <c r="V544" s="82"/>
      <c r="W544" s="88"/>
      <c r="X544" s="82"/>
      <c r="Y544" s="89"/>
      <c r="Z544" s="82"/>
      <c r="AA544" s="90"/>
      <c r="AB544" s="241"/>
      <c r="AC544" s="241"/>
      <c r="AD544" s="241"/>
      <c r="AE544" s="82"/>
      <c r="AF544" s="82"/>
      <c r="AG544" s="90"/>
      <c r="AH544" s="90"/>
      <c r="AI544" s="90"/>
      <c r="AJ544" s="90"/>
      <c r="AK544" s="82"/>
      <c r="AL544" s="82" t="str" cm="1">
        <f t="array" aca="1" ref="AL544" ca="1">_xlfn.IFS(
 AND($AK544&lt;&gt;"", M544&lt;&gt;0, M544&lt;=EDATE(TODAY(),2)),"도래",
 AND($AK544&lt;&gt;"", M544&lt;&gt;0, M544&lt;=EDATE(TODAY(),3)),"예정",
 AND($AK544&lt;&gt;"", M544&lt;&gt;0, M544&lt;=EDATE(TODAY(),6)),"관심",
 TRUE,""
)</f>
        <v/>
      </c>
      <c r="AM544" s="86"/>
    </row>
    <row r="545" spans="1:39" ht="18" customHeight="1">
      <c r="A545" s="81"/>
      <c r="B545" s="205" t="str">
        <f>_xlfn.LET(_xlpm.var,◆관리정보!B545,IF(_xlpm.var&lt;&gt;0,_xlpm.var,""))</f>
        <v/>
      </c>
      <c r="C545" s="82" t="str">
        <f>_xlfn.LET(_xlpm.var,◆관리정보!C545,IF(_xlpm.var&lt;&gt;0,_xlpm.var,""))</f>
        <v/>
      </c>
      <c r="D545" s="83"/>
      <c r="E545" s="84" t="str">
        <f t="shared" si="21"/>
        <v/>
      </c>
      <c r="F545" s="87"/>
      <c r="G545" s="229"/>
      <c r="H545" s="229"/>
      <c r="I545" s="229"/>
      <c r="J545" s="229"/>
      <c r="K545" s="218"/>
      <c r="L545" s="87"/>
      <c r="M545" s="87"/>
      <c r="N545" s="82"/>
      <c r="O545" s="82"/>
      <c r="P545" s="241"/>
      <c r="Q545" s="241"/>
      <c r="R545" s="82"/>
      <c r="S545" s="241"/>
      <c r="T545" s="82"/>
      <c r="U545" s="241"/>
      <c r="V545" s="82"/>
      <c r="W545" s="88"/>
      <c r="X545" s="82"/>
      <c r="Y545" s="89"/>
      <c r="Z545" s="82"/>
      <c r="AA545" s="90"/>
      <c r="AB545" s="241"/>
      <c r="AC545" s="241"/>
      <c r="AD545" s="241"/>
      <c r="AE545" s="82"/>
      <c r="AF545" s="82"/>
      <c r="AG545" s="90"/>
      <c r="AH545" s="90"/>
      <c r="AI545" s="90"/>
      <c r="AJ545" s="90"/>
      <c r="AK545" s="82"/>
      <c r="AL545" s="82" t="str" cm="1">
        <f t="array" aca="1" ref="AL545" ca="1">_xlfn.IFS(
 AND($AK545&lt;&gt;"", M545&lt;&gt;0, M545&lt;=EDATE(TODAY(),2)),"도래",
 AND($AK545&lt;&gt;"", M545&lt;&gt;0, M545&lt;=EDATE(TODAY(),3)),"예정",
 AND($AK545&lt;&gt;"", M545&lt;&gt;0, M545&lt;=EDATE(TODAY(),6)),"관심",
 TRUE,""
)</f>
        <v/>
      </c>
      <c r="AM545" s="86"/>
    </row>
    <row r="546" spans="1:39" ht="18" customHeight="1">
      <c r="A546" s="81"/>
      <c r="B546" s="205" t="str">
        <f>_xlfn.LET(_xlpm.var,◆관리정보!B546,IF(_xlpm.var&lt;&gt;0,_xlpm.var,""))</f>
        <v/>
      </c>
      <c r="C546" s="82" t="str">
        <f>_xlfn.LET(_xlpm.var,◆관리정보!C546,IF(_xlpm.var&lt;&gt;0,_xlpm.var,""))</f>
        <v/>
      </c>
      <c r="D546" s="83"/>
      <c r="E546" s="84" t="str">
        <f t="shared" si="21"/>
        <v/>
      </c>
      <c r="F546" s="87"/>
      <c r="G546" s="229"/>
      <c r="H546" s="229"/>
      <c r="I546" s="229"/>
      <c r="J546" s="229"/>
      <c r="K546" s="218"/>
      <c r="L546" s="87"/>
      <c r="M546" s="87"/>
      <c r="N546" s="82"/>
      <c r="O546" s="82"/>
      <c r="P546" s="241"/>
      <c r="Q546" s="241"/>
      <c r="R546" s="82"/>
      <c r="S546" s="241"/>
      <c r="T546" s="82"/>
      <c r="U546" s="241"/>
      <c r="V546" s="82"/>
      <c r="W546" s="88"/>
      <c r="X546" s="82"/>
      <c r="Y546" s="89"/>
      <c r="Z546" s="82"/>
      <c r="AA546" s="90"/>
      <c r="AB546" s="241"/>
      <c r="AC546" s="241"/>
      <c r="AD546" s="241"/>
      <c r="AE546" s="82"/>
      <c r="AF546" s="82"/>
      <c r="AG546" s="90"/>
      <c r="AH546" s="90"/>
      <c r="AI546" s="90"/>
      <c r="AJ546" s="90"/>
      <c r="AK546" s="82"/>
      <c r="AL546" s="82" t="str" cm="1">
        <f t="array" aca="1" ref="AL546" ca="1">_xlfn.IFS(
 AND($AK546&lt;&gt;"", M546&lt;&gt;0, M546&lt;=EDATE(TODAY(),2)),"도래",
 AND($AK546&lt;&gt;"", M546&lt;&gt;0, M546&lt;=EDATE(TODAY(),3)),"예정",
 AND($AK546&lt;&gt;"", M546&lt;&gt;0, M546&lt;=EDATE(TODAY(),6)),"관심",
 TRUE,""
)</f>
        <v/>
      </c>
      <c r="AM546" s="86"/>
    </row>
    <row r="547" spans="1:39" ht="18" customHeight="1">
      <c r="A547" s="81"/>
      <c r="B547" s="205" t="str">
        <f>_xlfn.LET(_xlpm.var,◆관리정보!B547,IF(_xlpm.var&lt;&gt;0,_xlpm.var,""))</f>
        <v/>
      </c>
      <c r="C547" s="82" t="str">
        <f>_xlfn.LET(_xlpm.var,◆관리정보!C547,IF(_xlpm.var&lt;&gt;0,_xlpm.var,""))</f>
        <v/>
      </c>
      <c r="D547" s="83"/>
      <c r="E547" s="84" t="str">
        <f t="shared" si="21"/>
        <v/>
      </c>
      <c r="F547" s="87"/>
      <c r="G547" s="229"/>
      <c r="H547" s="229"/>
      <c r="I547" s="229"/>
      <c r="J547" s="229"/>
      <c r="K547" s="218"/>
      <c r="L547" s="87"/>
      <c r="M547" s="87"/>
      <c r="N547" s="82"/>
      <c r="O547" s="82"/>
      <c r="P547" s="241"/>
      <c r="Q547" s="241"/>
      <c r="R547" s="82"/>
      <c r="S547" s="241"/>
      <c r="T547" s="82"/>
      <c r="U547" s="241"/>
      <c r="V547" s="82"/>
      <c r="W547" s="88"/>
      <c r="X547" s="82"/>
      <c r="Y547" s="89"/>
      <c r="Z547" s="82"/>
      <c r="AA547" s="90"/>
      <c r="AB547" s="241"/>
      <c r="AC547" s="241"/>
      <c r="AD547" s="241"/>
      <c r="AE547" s="82"/>
      <c r="AF547" s="82"/>
      <c r="AG547" s="90"/>
      <c r="AH547" s="90"/>
      <c r="AI547" s="90"/>
      <c r="AJ547" s="90"/>
      <c r="AK547" s="82"/>
      <c r="AL547" s="82" t="str" cm="1">
        <f t="array" aca="1" ref="AL547" ca="1">_xlfn.IFS(
 AND($AK547&lt;&gt;"", M547&lt;&gt;0, M547&lt;=EDATE(TODAY(),2)),"도래",
 AND($AK547&lt;&gt;"", M547&lt;&gt;0, M547&lt;=EDATE(TODAY(),3)),"예정",
 AND($AK547&lt;&gt;"", M547&lt;&gt;0, M547&lt;=EDATE(TODAY(),6)),"관심",
 TRUE,""
)</f>
        <v/>
      </c>
      <c r="AM547" s="86"/>
    </row>
    <row r="548" spans="1:39" ht="18" customHeight="1">
      <c r="A548" s="81"/>
      <c r="B548" s="205" t="str">
        <f>_xlfn.LET(_xlpm.var,◆관리정보!B548,IF(_xlpm.var&lt;&gt;0,_xlpm.var,""))</f>
        <v/>
      </c>
      <c r="C548" s="82" t="str">
        <f>_xlfn.LET(_xlpm.var,◆관리정보!C548,IF(_xlpm.var&lt;&gt;0,_xlpm.var,""))</f>
        <v/>
      </c>
      <c r="D548" s="83"/>
      <c r="E548" s="84" t="str">
        <f t="shared" si="21"/>
        <v/>
      </c>
      <c r="F548" s="87"/>
      <c r="G548" s="229"/>
      <c r="H548" s="229"/>
      <c r="I548" s="229"/>
      <c r="J548" s="229"/>
      <c r="K548" s="218"/>
      <c r="L548" s="87"/>
      <c r="M548" s="87"/>
      <c r="N548" s="82"/>
      <c r="O548" s="82"/>
      <c r="P548" s="241"/>
      <c r="Q548" s="241"/>
      <c r="R548" s="82"/>
      <c r="S548" s="241"/>
      <c r="T548" s="82"/>
      <c r="U548" s="241"/>
      <c r="V548" s="82"/>
      <c r="W548" s="88"/>
      <c r="X548" s="82"/>
      <c r="Y548" s="89"/>
      <c r="Z548" s="82"/>
      <c r="AA548" s="90"/>
      <c r="AB548" s="241"/>
      <c r="AC548" s="241"/>
      <c r="AD548" s="241"/>
      <c r="AE548" s="82"/>
      <c r="AF548" s="82"/>
      <c r="AG548" s="90"/>
      <c r="AH548" s="90"/>
      <c r="AI548" s="90"/>
      <c r="AJ548" s="90"/>
      <c r="AK548" s="82"/>
      <c r="AL548" s="82" t="str" cm="1">
        <f t="array" aca="1" ref="AL548" ca="1">_xlfn.IFS(
 AND($AK548&lt;&gt;"", M548&lt;&gt;0, M548&lt;=EDATE(TODAY(),2)),"도래",
 AND($AK548&lt;&gt;"", M548&lt;&gt;0, M548&lt;=EDATE(TODAY(),3)),"예정",
 AND($AK548&lt;&gt;"", M548&lt;&gt;0, M548&lt;=EDATE(TODAY(),6)),"관심",
 TRUE,""
)</f>
        <v/>
      </c>
      <c r="AM548" s="86"/>
    </row>
    <row r="549" spans="1:39" ht="18" customHeight="1">
      <c r="A549" s="81"/>
      <c r="B549" s="205" t="str">
        <f>_xlfn.LET(_xlpm.var,◆관리정보!B549,IF(_xlpm.var&lt;&gt;0,_xlpm.var,""))</f>
        <v/>
      </c>
      <c r="C549" s="82" t="str">
        <f>_xlfn.LET(_xlpm.var,◆관리정보!C549,IF(_xlpm.var&lt;&gt;0,_xlpm.var,""))</f>
        <v/>
      </c>
      <c r="D549" s="83"/>
      <c r="E549" s="84" t="str">
        <f t="shared" si="21"/>
        <v/>
      </c>
      <c r="F549" s="87"/>
      <c r="G549" s="229"/>
      <c r="H549" s="229"/>
      <c r="I549" s="229"/>
      <c r="J549" s="229"/>
      <c r="K549" s="218"/>
      <c r="L549" s="87"/>
      <c r="M549" s="87"/>
      <c r="N549" s="82"/>
      <c r="O549" s="82"/>
      <c r="P549" s="241"/>
      <c r="Q549" s="241"/>
      <c r="R549" s="82"/>
      <c r="S549" s="241"/>
      <c r="T549" s="82"/>
      <c r="U549" s="241"/>
      <c r="V549" s="82"/>
      <c r="W549" s="88"/>
      <c r="X549" s="82"/>
      <c r="Y549" s="89"/>
      <c r="Z549" s="82"/>
      <c r="AA549" s="90"/>
      <c r="AB549" s="241"/>
      <c r="AC549" s="241"/>
      <c r="AD549" s="241"/>
      <c r="AE549" s="82"/>
      <c r="AF549" s="82"/>
      <c r="AG549" s="90"/>
      <c r="AH549" s="90"/>
      <c r="AI549" s="90"/>
      <c r="AJ549" s="90"/>
      <c r="AK549" s="82"/>
      <c r="AL549" s="82" t="str" cm="1">
        <f t="array" aca="1" ref="AL549" ca="1">_xlfn.IFS(
 AND($AK549&lt;&gt;"", M549&lt;&gt;0, M549&lt;=EDATE(TODAY(),2)),"도래",
 AND($AK549&lt;&gt;"", M549&lt;&gt;0, M549&lt;=EDATE(TODAY(),3)),"예정",
 AND($AK549&lt;&gt;"", M549&lt;&gt;0, M549&lt;=EDATE(TODAY(),6)),"관심",
 TRUE,""
)</f>
        <v/>
      </c>
      <c r="AM549" s="86"/>
    </row>
    <row r="550" spans="1:39" ht="18" customHeight="1">
      <c r="A550" s="81"/>
      <c r="B550" s="205" t="str">
        <f>_xlfn.LET(_xlpm.var,◆관리정보!B550,IF(_xlpm.var&lt;&gt;0,_xlpm.var,""))</f>
        <v/>
      </c>
      <c r="C550" s="82" t="str">
        <f>_xlfn.LET(_xlpm.var,◆관리정보!C550,IF(_xlpm.var&lt;&gt;0,_xlpm.var,""))</f>
        <v/>
      </c>
      <c r="D550" s="83"/>
      <c r="E550" s="84" t="str">
        <f t="shared" si="21"/>
        <v/>
      </c>
      <c r="F550" s="87"/>
      <c r="G550" s="229"/>
      <c r="H550" s="229"/>
      <c r="I550" s="229"/>
      <c r="J550" s="229"/>
      <c r="K550" s="218"/>
      <c r="L550" s="87"/>
      <c r="M550" s="87"/>
      <c r="N550" s="82"/>
      <c r="O550" s="82"/>
      <c r="P550" s="241"/>
      <c r="Q550" s="241"/>
      <c r="R550" s="82"/>
      <c r="S550" s="241"/>
      <c r="T550" s="82"/>
      <c r="U550" s="241"/>
      <c r="V550" s="82"/>
      <c r="W550" s="88"/>
      <c r="X550" s="82"/>
      <c r="Y550" s="89"/>
      <c r="Z550" s="82"/>
      <c r="AA550" s="90"/>
      <c r="AB550" s="241"/>
      <c r="AC550" s="241"/>
      <c r="AD550" s="241"/>
      <c r="AE550" s="82"/>
      <c r="AF550" s="82"/>
      <c r="AG550" s="90"/>
      <c r="AH550" s="90"/>
      <c r="AI550" s="90"/>
      <c r="AJ550" s="90"/>
      <c r="AK550" s="82"/>
      <c r="AL550" s="82" t="str" cm="1">
        <f t="array" aca="1" ref="AL550" ca="1">_xlfn.IFS(
 AND($AK550&lt;&gt;"", M550&lt;&gt;0, M550&lt;=EDATE(TODAY(),2)),"도래",
 AND($AK550&lt;&gt;"", M550&lt;&gt;0, M550&lt;=EDATE(TODAY(),3)),"예정",
 AND($AK550&lt;&gt;"", M550&lt;&gt;0, M550&lt;=EDATE(TODAY(),6)),"관심",
 TRUE,""
)</f>
        <v/>
      </c>
      <c r="AM550" s="86"/>
    </row>
    <row r="551" spans="1:39" ht="18" customHeight="1">
      <c r="A551" s="81"/>
      <c r="B551" s="205" t="str">
        <f>_xlfn.LET(_xlpm.var,◆관리정보!B551,IF(_xlpm.var&lt;&gt;0,_xlpm.var,""))</f>
        <v/>
      </c>
      <c r="C551" s="82" t="str">
        <f>_xlfn.LET(_xlpm.var,◆관리정보!C551,IF(_xlpm.var&lt;&gt;0,_xlpm.var,""))</f>
        <v/>
      </c>
      <c r="D551" s="83"/>
      <c r="E551" s="84" t="str">
        <f t="shared" si="21"/>
        <v/>
      </c>
      <c r="F551" s="87"/>
      <c r="G551" s="229"/>
      <c r="H551" s="229"/>
      <c r="I551" s="229"/>
      <c r="J551" s="229"/>
      <c r="K551" s="218"/>
      <c r="L551" s="87"/>
      <c r="M551" s="87"/>
      <c r="N551" s="82"/>
      <c r="O551" s="82"/>
      <c r="P551" s="241"/>
      <c r="Q551" s="241"/>
      <c r="R551" s="82"/>
      <c r="S551" s="241"/>
      <c r="T551" s="82"/>
      <c r="U551" s="241"/>
      <c r="V551" s="82"/>
      <c r="W551" s="88"/>
      <c r="X551" s="82"/>
      <c r="Y551" s="89"/>
      <c r="Z551" s="82"/>
      <c r="AA551" s="90"/>
      <c r="AB551" s="241"/>
      <c r="AC551" s="241"/>
      <c r="AD551" s="241"/>
      <c r="AE551" s="82"/>
      <c r="AF551" s="82"/>
      <c r="AG551" s="90"/>
      <c r="AH551" s="90"/>
      <c r="AI551" s="90"/>
      <c r="AJ551" s="90"/>
      <c r="AK551" s="82"/>
      <c r="AL551" s="82" t="str" cm="1">
        <f t="array" aca="1" ref="AL551" ca="1">_xlfn.IFS(
 AND($AK551&lt;&gt;"", M551&lt;&gt;0, M551&lt;=EDATE(TODAY(),2)),"도래",
 AND($AK551&lt;&gt;"", M551&lt;&gt;0, M551&lt;=EDATE(TODAY(),3)),"예정",
 AND($AK551&lt;&gt;"", M551&lt;&gt;0, M551&lt;=EDATE(TODAY(),6)),"관심",
 TRUE,""
)</f>
        <v/>
      </c>
      <c r="AM551" s="86"/>
    </row>
    <row r="552" spans="1:39" ht="18" customHeight="1">
      <c r="A552" s="81"/>
      <c r="B552" s="205" t="str">
        <f>_xlfn.LET(_xlpm.var,◆관리정보!B552,IF(_xlpm.var&lt;&gt;0,_xlpm.var,""))</f>
        <v/>
      </c>
      <c r="C552" s="82" t="str">
        <f>_xlfn.LET(_xlpm.var,◆관리정보!C552,IF(_xlpm.var&lt;&gt;0,_xlpm.var,""))</f>
        <v/>
      </c>
      <c r="D552" s="83"/>
      <c r="E552" s="84" t="str">
        <f t="shared" si="21"/>
        <v/>
      </c>
      <c r="F552" s="87"/>
      <c r="G552" s="229"/>
      <c r="H552" s="229"/>
      <c r="I552" s="229"/>
      <c r="J552" s="229"/>
      <c r="K552" s="218"/>
      <c r="L552" s="87"/>
      <c r="M552" s="87"/>
      <c r="N552" s="82"/>
      <c r="O552" s="82"/>
      <c r="P552" s="241"/>
      <c r="Q552" s="241"/>
      <c r="R552" s="82"/>
      <c r="S552" s="241"/>
      <c r="T552" s="82"/>
      <c r="U552" s="241"/>
      <c r="V552" s="82"/>
      <c r="W552" s="88"/>
      <c r="X552" s="82"/>
      <c r="Y552" s="89"/>
      <c r="Z552" s="82"/>
      <c r="AA552" s="90"/>
      <c r="AB552" s="241"/>
      <c r="AC552" s="241"/>
      <c r="AD552" s="241"/>
      <c r="AE552" s="82"/>
      <c r="AF552" s="82"/>
      <c r="AG552" s="90"/>
      <c r="AH552" s="90"/>
      <c r="AI552" s="90"/>
      <c r="AJ552" s="90"/>
      <c r="AK552" s="82"/>
      <c r="AL552" s="82" t="str" cm="1">
        <f t="array" aca="1" ref="AL552" ca="1">_xlfn.IFS(
 AND($AK552&lt;&gt;"", M552&lt;&gt;0, M552&lt;=EDATE(TODAY(),2)),"도래",
 AND($AK552&lt;&gt;"", M552&lt;&gt;0, M552&lt;=EDATE(TODAY(),3)),"예정",
 AND($AK552&lt;&gt;"", M552&lt;&gt;0, M552&lt;=EDATE(TODAY(),6)),"관심",
 TRUE,""
)</f>
        <v/>
      </c>
      <c r="AM552" s="86"/>
    </row>
    <row r="553" spans="1:39" ht="18" customHeight="1">
      <c r="A553" s="81"/>
      <c r="B553" s="205" t="str">
        <f>_xlfn.LET(_xlpm.var,◆관리정보!B553,IF(_xlpm.var&lt;&gt;0,_xlpm.var,""))</f>
        <v/>
      </c>
      <c r="C553" s="82" t="str">
        <f>_xlfn.LET(_xlpm.var,◆관리정보!C553,IF(_xlpm.var&lt;&gt;0,_xlpm.var,""))</f>
        <v/>
      </c>
      <c r="D553" s="83"/>
      <c r="E553" s="84" t="str">
        <f t="shared" si="21"/>
        <v/>
      </c>
      <c r="F553" s="87"/>
      <c r="G553" s="229"/>
      <c r="H553" s="229"/>
      <c r="I553" s="229"/>
      <c r="J553" s="229"/>
      <c r="K553" s="218"/>
      <c r="L553" s="87"/>
      <c r="M553" s="87"/>
      <c r="N553" s="82"/>
      <c r="O553" s="82"/>
      <c r="P553" s="241"/>
      <c r="Q553" s="241"/>
      <c r="R553" s="82"/>
      <c r="S553" s="241"/>
      <c r="T553" s="82"/>
      <c r="U553" s="241"/>
      <c r="V553" s="82"/>
      <c r="W553" s="88"/>
      <c r="X553" s="82"/>
      <c r="Y553" s="89"/>
      <c r="Z553" s="82"/>
      <c r="AA553" s="90"/>
      <c r="AB553" s="241"/>
      <c r="AC553" s="241"/>
      <c r="AD553" s="241"/>
      <c r="AE553" s="82"/>
      <c r="AF553" s="82"/>
      <c r="AG553" s="90"/>
      <c r="AH553" s="90"/>
      <c r="AI553" s="90"/>
      <c r="AJ553" s="90"/>
      <c r="AK553" s="82"/>
      <c r="AL553" s="82" t="str" cm="1">
        <f t="array" aca="1" ref="AL553" ca="1">_xlfn.IFS(
 AND($AK553&lt;&gt;"", M553&lt;&gt;0, M553&lt;=EDATE(TODAY(),2)),"도래",
 AND($AK553&lt;&gt;"", M553&lt;&gt;0, M553&lt;=EDATE(TODAY(),3)),"예정",
 AND($AK553&lt;&gt;"", M553&lt;&gt;0, M553&lt;=EDATE(TODAY(),6)),"관심",
 TRUE,""
)</f>
        <v/>
      </c>
      <c r="AM553" s="86"/>
    </row>
    <row r="554" spans="1:39" ht="18" customHeight="1">
      <c r="A554" s="81"/>
      <c r="B554" s="205" t="str">
        <f>_xlfn.LET(_xlpm.var,◆관리정보!B554,IF(_xlpm.var&lt;&gt;0,_xlpm.var,""))</f>
        <v/>
      </c>
      <c r="C554" s="82" t="str">
        <f>_xlfn.LET(_xlpm.var,◆관리정보!C554,IF(_xlpm.var&lt;&gt;0,_xlpm.var,""))</f>
        <v/>
      </c>
      <c r="D554" s="83"/>
      <c r="E554" s="84" t="str">
        <f t="shared" si="21"/>
        <v/>
      </c>
      <c r="F554" s="87"/>
      <c r="G554" s="229"/>
      <c r="H554" s="229"/>
      <c r="I554" s="229"/>
      <c r="J554" s="229"/>
      <c r="K554" s="218"/>
      <c r="L554" s="87"/>
      <c r="M554" s="87"/>
      <c r="N554" s="82"/>
      <c r="O554" s="82"/>
      <c r="P554" s="241"/>
      <c r="Q554" s="241"/>
      <c r="R554" s="82"/>
      <c r="S554" s="241"/>
      <c r="T554" s="82"/>
      <c r="U554" s="241"/>
      <c r="V554" s="82"/>
      <c r="W554" s="88"/>
      <c r="X554" s="82"/>
      <c r="Y554" s="89"/>
      <c r="Z554" s="82"/>
      <c r="AA554" s="90"/>
      <c r="AB554" s="241"/>
      <c r="AC554" s="241"/>
      <c r="AD554" s="241"/>
      <c r="AE554" s="82"/>
      <c r="AF554" s="82"/>
      <c r="AG554" s="90"/>
      <c r="AH554" s="90"/>
      <c r="AI554" s="90"/>
      <c r="AJ554" s="90"/>
      <c r="AK554" s="82"/>
      <c r="AL554" s="82" t="str" cm="1">
        <f t="array" aca="1" ref="AL554" ca="1">_xlfn.IFS(
 AND($AK554&lt;&gt;"", M554&lt;&gt;0, M554&lt;=EDATE(TODAY(),2)),"도래",
 AND($AK554&lt;&gt;"", M554&lt;&gt;0, M554&lt;=EDATE(TODAY(),3)),"예정",
 AND($AK554&lt;&gt;"", M554&lt;&gt;0, M554&lt;=EDATE(TODAY(),6)),"관심",
 TRUE,""
)</f>
        <v/>
      </c>
      <c r="AM554" s="86"/>
    </row>
    <row r="555" spans="1:39" ht="18" customHeight="1">
      <c r="A555" s="81"/>
      <c r="B555" s="205" t="str">
        <f>_xlfn.LET(_xlpm.var,◆관리정보!B555,IF(_xlpm.var&lt;&gt;0,_xlpm.var,""))</f>
        <v/>
      </c>
      <c r="C555" s="82" t="str">
        <f>_xlfn.LET(_xlpm.var,◆관리정보!C555,IF(_xlpm.var&lt;&gt;0,_xlpm.var,""))</f>
        <v/>
      </c>
      <c r="D555" s="83"/>
      <c r="E555" s="84" t="str">
        <f t="shared" si="21"/>
        <v/>
      </c>
      <c r="F555" s="87"/>
      <c r="G555" s="229"/>
      <c r="H555" s="229"/>
      <c r="I555" s="229"/>
      <c r="J555" s="229"/>
      <c r="K555" s="218"/>
      <c r="L555" s="87"/>
      <c r="M555" s="87"/>
      <c r="N555" s="82"/>
      <c r="O555" s="82"/>
      <c r="P555" s="241"/>
      <c r="Q555" s="241"/>
      <c r="R555" s="82"/>
      <c r="S555" s="241"/>
      <c r="T555" s="82"/>
      <c r="U555" s="241"/>
      <c r="V555" s="82"/>
      <c r="W555" s="88"/>
      <c r="X555" s="82"/>
      <c r="Y555" s="89"/>
      <c r="Z555" s="82"/>
      <c r="AA555" s="90"/>
      <c r="AB555" s="241"/>
      <c r="AC555" s="241"/>
      <c r="AD555" s="241"/>
      <c r="AE555" s="82"/>
      <c r="AF555" s="82"/>
      <c r="AG555" s="90"/>
      <c r="AH555" s="90"/>
      <c r="AI555" s="90"/>
      <c r="AJ555" s="90"/>
      <c r="AK555" s="82"/>
      <c r="AL555" s="82" t="str" cm="1">
        <f t="array" aca="1" ref="AL555" ca="1">_xlfn.IFS(
 AND($AK555&lt;&gt;"", M555&lt;&gt;0, M555&lt;=EDATE(TODAY(),2)),"도래",
 AND($AK555&lt;&gt;"", M555&lt;&gt;0, M555&lt;=EDATE(TODAY(),3)),"예정",
 AND($AK555&lt;&gt;"", M555&lt;&gt;0, M555&lt;=EDATE(TODAY(),6)),"관심",
 TRUE,""
)</f>
        <v/>
      </c>
      <c r="AM555" s="86"/>
    </row>
    <row r="556" spans="1:39" ht="18" customHeight="1">
      <c r="A556" s="81"/>
      <c r="B556" s="205" t="str">
        <f>_xlfn.LET(_xlpm.var,◆관리정보!B556,IF(_xlpm.var&lt;&gt;0,_xlpm.var,""))</f>
        <v/>
      </c>
      <c r="C556" s="82" t="str">
        <f>_xlfn.LET(_xlpm.var,◆관리정보!C556,IF(_xlpm.var&lt;&gt;0,_xlpm.var,""))</f>
        <v/>
      </c>
      <c r="D556" s="83"/>
      <c r="E556" s="84" t="str">
        <f t="shared" si="21"/>
        <v/>
      </c>
      <c r="F556" s="87"/>
      <c r="G556" s="229"/>
      <c r="H556" s="229"/>
      <c r="I556" s="229"/>
      <c r="J556" s="229"/>
      <c r="K556" s="218"/>
      <c r="L556" s="87"/>
      <c r="M556" s="87"/>
      <c r="N556" s="82"/>
      <c r="O556" s="82"/>
      <c r="P556" s="241"/>
      <c r="Q556" s="241"/>
      <c r="R556" s="82"/>
      <c r="S556" s="241"/>
      <c r="T556" s="82"/>
      <c r="U556" s="241"/>
      <c r="V556" s="82"/>
      <c r="W556" s="88"/>
      <c r="X556" s="82"/>
      <c r="Y556" s="89"/>
      <c r="Z556" s="82"/>
      <c r="AA556" s="90"/>
      <c r="AB556" s="241"/>
      <c r="AC556" s="241"/>
      <c r="AD556" s="241"/>
      <c r="AE556" s="82"/>
      <c r="AF556" s="82"/>
      <c r="AG556" s="90"/>
      <c r="AH556" s="90"/>
      <c r="AI556" s="90"/>
      <c r="AJ556" s="90"/>
      <c r="AK556" s="82"/>
      <c r="AL556" s="82" t="str" cm="1">
        <f t="array" aca="1" ref="AL556" ca="1">_xlfn.IFS(
 AND($AK556&lt;&gt;"", M556&lt;&gt;0, M556&lt;=EDATE(TODAY(),2)),"도래",
 AND($AK556&lt;&gt;"", M556&lt;&gt;0, M556&lt;=EDATE(TODAY(),3)),"예정",
 AND($AK556&lt;&gt;"", M556&lt;&gt;0, M556&lt;=EDATE(TODAY(),6)),"관심",
 TRUE,""
)</f>
        <v/>
      </c>
      <c r="AM556" s="86"/>
    </row>
    <row r="557" spans="1:39" ht="18" customHeight="1">
      <c r="A557" s="81"/>
      <c r="B557" s="205" t="str">
        <f>_xlfn.LET(_xlpm.var,◆관리정보!B557,IF(_xlpm.var&lt;&gt;0,_xlpm.var,""))</f>
        <v/>
      </c>
      <c r="C557" s="82" t="str">
        <f>_xlfn.LET(_xlpm.var,◆관리정보!C557,IF(_xlpm.var&lt;&gt;0,_xlpm.var,""))</f>
        <v/>
      </c>
      <c r="D557" s="83"/>
      <c r="E557" s="84" t="str">
        <f t="shared" si="21"/>
        <v/>
      </c>
      <c r="F557" s="87"/>
      <c r="G557" s="229"/>
      <c r="H557" s="229"/>
      <c r="I557" s="229"/>
      <c r="J557" s="229"/>
      <c r="K557" s="218"/>
      <c r="L557" s="87"/>
      <c r="M557" s="87"/>
      <c r="N557" s="82"/>
      <c r="O557" s="82"/>
      <c r="P557" s="241"/>
      <c r="Q557" s="241"/>
      <c r="R557" s="82"/>
      <c r="S557" s="241"/>
      <c r="T557" s="82"/>
      <c r="U557" s="241"/>
      <c r="V557" s="82"/>
      <c r="W557" s="88"/>
      <c r="X557" s="82"/>
      <c r="Y557" s="89"/>
      <c r="Z557" s="82"/>
      <c r="AA557" s="90"/>
      <c r="AB557" s="241"/>
      <c r="AC557" s="241"/>
      <c r="AD557" s="241"/>
      <c r="AE557" s="82"/>
      <c r="AF557" s="82"/>
      <c r="AG557" s="90"/>
      <c r="AH557" s="90"/>
      <c r="AI557" s="90"/>
      <c r="AJ557" s="90"/>
      <c r="AK557" s="82"/>
      <c r="AL557" s="82" t="str" cm="1">
        <f t="array" aca="1" ref="AL557" ca="1">_xlfn.IFS(
 AND($AK557&lt;&gt;"", M557&lt;&gt;0, M557&lt;=EDATE(TODAY(),2)),"도래",
 AND($AK557&lt;&gt;"", M557&lt;&gt;0, M557&lt;=EDATE(TODAY(),3)),"예정",
 AND($AK557&lt;&gt;"", M557&lt;&gt;0, M557&lt;=EDATE(TODAY(),6)),"관심",
 TRUE,""
)</f>
        <v/>
      </c>
      <c r="AM557" s="86"/>
    </row>
    <row r="558" spans="1:39" ht="18" customHeight="1">
      <c r="A558" s="81"/>
      <c r="B558" s="205" t="str">
        <f>_xlfn.LET(_xlpm.var,◆관리정보!B558,IF(_xlpm.var&lt;&gt;0,_xlpm.var,""))</f>
        <v/>
      </c>
      <c r="C558" s="82" t="str">
        <f>_xlfn.LET(_xlpm.var,◆관리정보!C558,IF(_xlpm.var&lt;&gt;0,_xlpm.var,""))</f>
        <v/>
      </c>
      <c r="D558" s="83"/>
      <c r="E558" s="84" t="str">
        <f t="shared" si="21"/>
        <v/>
      </c>
      <c r="F558" s="87"/>
      <c r="G558" s="229"/>
      <c r="H558" s="229"/>
      <c r="I558" s="229"/>
      <c r="J558" s="229"/>
      <c r="K558" s="218"/>
      <c r="L558" s="87"/>
      <c r="M558" s="87"/>
      <c r="N558" s="82"/>
      <c r="O558" s="82"/>
      <c r="P558" s="241"/>
      <c r="Q558" s="241"/>
      <c r="R558" s="82"/>
      <c r="S558" s="241"/>
      <c r="T558" s="82"/>
      <c r="U558" s="241"/>
      <c r="V558" s="82"/>
      <c r="W558" s="88"/>
      <c r="X558" s="82"/>
      <c r="Y558" s="89"/>
      <c r="Z558" s="82"/>
      <c r="AA558" s="90"/>
      <c r="AB558" s="241"/>
      <c r="AC558" s="241"/>
      <c r="AD558" s="241"/>
      <c r="AE558" s="82"/>
      <c r="AF558" s="82"/>
      <c r="AG558" s="90"/>
      <c r="AH558" s="90"/>
      <c r="AI558" s="90"/>
      <c r="AJ558" s="90"/>
      <c r="AK558" s="82"/>
      <c r="AL558" s="82" t="str" cm="1">
        <f t="array" aca="1" ref="AL558" ca="1">_xlfn.IFS(
 AND($AK558&lt;&gt;"", M558&lt;&gt;0, M558&lt;=EDATE(TODAY(),2)),"도래",
 AND($AK558&lt;&gt;"", M558&lt;&gt;0, M558&lt;=EDATE(TODAY(),3)),"예정",
 AND($AK558&lt;&gt;"", M558&lt;&gt;0, M558&lt;=EDATE(TODAY(),6)),"관심",
 TRUE,""
)</f>
        <v/>
      </c>
      <c r="AM558" s="86"/>
    </row>
    <row r="559" spans="1:39" ht="18" customHeight="1">
      <c r="A559" s="81"/>
      <c r="B559" s="205" t="str">
        <f>_xlfn.LET(_xlpm.var,◆관리정보!B559,IF(_xlpm.var&lt;&gt;0,_xlpm.var,""))</f>
        <v/>
      </c>
      <c r="C559" s="82" t="str">
        <f>_xlfn.LET(_xlpm.var,◆관리정보!C559,IF(_xlpm.var&lt;&gt;0,_xlpm.var,""))</f>
        <v/>
      </c>
      <c r="D559" s="83"/>
      <c r="E559" s="84" t="str">
        <f t="shared" si="21"/>
        <v/>
      </c>
      <c r="F559" s="87"/>
      <c r="G559" s="229"/>
      <c r="H559" s="229"/>
      <c r="I559" s="229"/>
      <c r="J559" s="229"/>
      <c r="K559" s="218"/>
      <c r="L559" s="87"/>
      <c r="M559" s="87"/>
      <c r="N559" s="82"/>
      <c r="O559" s="82"/>
      <c r="P559" s="241"/>
      <c r="Q559" s="241"/>
      <c r="R559" s="82"/>
      <c r="S559" s="241"/>
      <c r="T559" s="82"/>
      <c r="U559" s="241"/>
      <c r="V559" s="82"/>
      <c r="W559" s="88"/>
      <c r="X559" s="82"/>
      <c r="Y559" s="89"/>
      <c r="Z559" s="82"/>
      <c r="AA559" s="90"/>
      <c r="AB559" s="241"/>
      <c r="AC559" s="241"/>
      <c r="AD559" s="241"/>
      <c r="AE559" s="82"/>
      <c r="AF559" s="82"/>
      <c r="AG559" s="90"/>
      <c r="AH559" s="90"/>
      <c r="AI559" s="90"/>
      <c r="AJ559" s="90"/>
      <c r="AK559" s="82"/>
      <c r="AL559" s="82" t="str" cm="1">
        <f t="array" aca="1" ref="AL559" ca="1">_xlfn.IFS(
 AND($AK559&lt;&gt;"", M559&lt;&gt;0, M559&lt;=EDATE(TODAY(),2)),"도래",
 AND($AK559&lt;&gt;"", M559&lt;&gt;0, M559&lt;=EDATE(TODAY(),3)),"예정",
 AND($AK559&lt;&gt;"", M559&lt;&gt;0, M559&lt;=EDATE(TODAY(),6)),"관심",
 TRUE,""
)</f>
        <v/>
      </c>
      <c r="AM559" s="86"/>
    </row>
    <row r="560" spans="1:39" ht="18" customHeight="1">
      <c r="A560" s="81"/>
      <c r="B560" s="205" t="str">
        <f>_xlfn.LET(_xlpm.var,◆관리정보!B560,IF(_xlpm.var&lt;&gt;0,_xlpm.var,""))</f>
        <v/>
      </c>
      <c r="C560" s="82" t="str">
        <f>_xlfn.LET(_xlpm.var,◆관리정보!C560,IF(_xlpm.var&lt;&gt;0,_xlpm.var,""))</f>
        <v/>
      </c>
      <c r="D560" s="83"/>
      <c r="E560" s="84" t="str">
        <f t="shared" si="21"/>
        <v/>
      </c>
      <c r="F560" s="87"/>
      <c r="G560" s="229"/>
      <c r="H560" s="229"/>
      <c r="I560" s="229"/>
      <c r="J560" s="229"/>
      <c r="K560" s="218"/>
      <c r="L560" s="87"/>
      <c r="M560" s="87"/>
      <c r="N560" s="82"/>
      <c r="O560" s="82"/>
      <c r="P560" s="241"/>
      <c r="Q560" s="241"/>
      <c r="R560" s="82"/>
      <c r="S560" s="241"/>
      <c r="T560" s="82"/>
      <c r="U560" s="241"/>
      <c r="V560" s="82"/>
      <c r="W560" s="88"/>
      <c r="X560" s="82"/>
      <c r="Y560" s="89"/>
      <c r="Z560" s="82"/>
      <c r="AA560" s="90"/>
      <c r="AB560" s="241"/>
      <c r="AC560" s="241"/>
      <c r="AD560" s="241"/>
      <c r="AE560" s="82"/>
      <c r="AF560" s="82"/>
      <c r="AG560" s="90"/>
      <c r="AH560" s="90"/>
      <c r="AI560" s="90"/>
      <c r="AJ560" s="90"/>
      <c r="AK560" s="82"/>
      <c r="AL560" s="82" t="str" cm="1">
        <f t="array" aca="1" ref="AL560" ca="1">_xlfn.IFS(
 AND($AK560&lt;&gt;"", M560&lt;&gt;0, M560&lt;=EDATE(TODAY(),2)),"도래",
 AND($AK560&lt;&gt;"", M560&lt;&gt;0, M560&lt;=EDATE(TODAY(),3)),"예정",
 AND($AK560&lt;&gt;"", M560&lt;&gt;0, M560&lt;=EDATE(TODAY(),6)),"관심",
 TRUE,""
)</f>
        <v/>
      </c>
      <c r="AM560" s="86"/>
    </row>
    <row r="561" spans="1:39" ht="18" customHeight="1">
      <c r="A561" s="81"/>
      <c r="B561" s="205" t="str">
        <f>_xlfn.LET(_xlpm.var,◆관리정보!B561,IF(_xlpm.var&lt;&gt;0,_xlpm.var,""))</f>
        <v/>
      </c>
      <c r="C561" s="82" t="str">
        <f>_xlfn.LET(_xlpm.var,◆관리정보!C561,IF(_xlpm.var&lt;&gt;0,_xlpm.var,""))</f>
        <v/>
      </c>
      <c r="D561" s="83"/>
      <c r="E561" s="84" t="str">
        <f t="shared" si="21"/>
        <v/>
      </c>
      <c r="F561" s="87"/>
      <c r="G561" s="229"/>
      <c r="H561" s="229"/>
      <c r="I561" s="229"/>
      <c r="J561" s="229"/>
      <c r="K561" s="218"/>
      <c r="L561" s="87"/>
      <c r="M561" s="87"/>
      <c r="N561" s="82"/>
      <c r="O561" s="82"/>
      <c r="P561" s="241"/>
      <c r="Q561" s="241"/>
      <c r="R561" s="82"/>
      <c r="S561" s="241"/>
      <c r="T561" s="82"/>
      <c r="U561" s="241"/>
      <c r="V561" s="82"/>
      <c r="W561" s="88"/>
      <c r="X561" s="82"/>
      <c r="Y561" s="89"/>
      <c r="Z561" s="82"/>
      <c r="AA561" s="90"/>
      <c r="AB561" s="241"/>
      <c r="AC561" s="241"/>
      <c r="AD561" s="241"/>
      <c r="AE561" s="82"/>
      <c r="AF561" s="82"/>
      <c r="AG561" s="90"/>
      <c r="AH561" s="90"/>
      <c r="AI561" s="90"/>
      <c r="AJ561" s="90"/>
      <c r="AK561" s="82"/>
      <c r="AL561" s="82" t="str" cm="1">
        <f t="array" aca="1" ref="AL561" ca="1">_xlfn.IFS(
 AND($AK561&lt;&gt;"", M561&lt;&gt;0, M561&lt;=EDATE(TODAY(),2)),"도래",
 AND($AK561&lt;&gt;"", M561&lt;&gt;0, M561&lt;=EDATE(TODAY(),3)),"예정",
 AND($AK561&lt;&gt;"", M561&lt;&gt;0, M561&lt;=EDATE(TODAY(),6)),"관심",
 TRUE,""
)</f>
        <v/>
      </c>
      <c r="AM561" s="86"/>
    </row>
    <row r="562" spans="1:39" ht="18" customHeight="1">
      <c r="A562" s="81"/>
      <c r="B562" s="205" t="str">
        <f>_xlfn.LET(_xlpm.var,◆관리정보!B562,IF(_xlpm.var&lt;&gt;0,_xlpm.var,""))</f>
        <v/>
      </c>
      <c r="C562" s="82" t="str">
        <f>_xlfn.LET(_xlpm.var,◆관리정보!C562,IF(_xlpm.var&lt;&gt;0,_xlpm.var,""))</f>
        <v/>
      </c>
      <c r="D562" s="83"/>
      <c r="E562" s="84" t="str">
        <f t="shared" si="21"/>
        <v/>
      </c>
      <c r="F562" s="87"/>
      <c r="G562" s="229"/>
      <c r="H562" s="229"/>
      <c r="I562" s="229"/>
      <c r="J562" s="229"/>
      <c r="K562" s="218"/>
      <c r="L562" s="87"/>
      <c r="M562" s="87"/>
      <c r="N562" s="82"/>
      <c r="O562" s="82"/>
      <c r="P562" s="241"/>
      <c r="Q562" s="241"/>
      <c r="R562" s="82"/>
      <c r="S562" s="241"/>
      <c r="T562" s="82"/>
      <c r="U562" s="241"/>
      <c r="V562" s="82"/>
      <c r="W562" s="88"/>
      <c r="X562" s="82"/>
      <c r="Y562" s="89"/>
      <c r="Z562" s="82"/>
      <c r="AA562" s="90"/>
      <c r="AB562" s="241"/>
      <c r="AC562" s="241"/>
      <c r="AD562" s="241"/>
      <c r="AE562" s="82"/>
      <c r="AF562" s="82"/>
      <c r="AG562" s="90"/>
      <c r="AH562" s="90"/>
      <c r="AI562" s="90"/>
      <c r="AJ562" s="90"/>
      <c r="AK562" s="82"/>
      <c r="AL562" s="82" t="str" cm="1">
        <f t="array" aca="1" ref="AL562" ca="1">_xlfn.IFS(
 AND($AK562&lt;&gt;"", M562&lt;&gt;0, M562&lt;=EDATE(TODAY(),2)),"도래",
 AND($AK562&lt;&gt;"", M562&lt;&gt;0, M562&lt;=EDATE(TODAY(),3)),"예정",
 AND($AK562&lt;&gt;"", M562&lt;&gt;0, M562&lt;=EDATE(TODAY(),6)),"관심",
 TRUE,""
)</f>
        <v/>
      </c>
      <c r="AM562" s="86"/>
    </row>
    <row r="563" spans="1:39" ht="18" customHeight="1">
      <c r="A563" s="81"/>
      <c r="B563" s="205" t="str">
        <f>_xlfn.LET(_xlpm.var,◆관리정보!B563,IF(_xlpm.var&lt;&gt;0,_xlpm.var,""))</f>
        <v/>
      </c>
      <c r="C563" s="82" t="str">
        <f>_xlfn.LET(_xlpm.var,◆관리정보!C563,IF(_xlpm.var&lt;&gt;0,_xlpm.var,""))</f>
        <v/>
      </c>
      <c r="D563" s="83"/>
      <c r="E563" s="84" t="str">
        <f t="shared" si="21"/>
        <v/>
      </c>
      <c r="F563" s="87"/>
      <c r="G563" s="229"/>
      <c r="H563" s="229"/>
      <c r="I563" s="229"/>
      <c r="J563" s="229"/>
      <c r="K563" s="218"/>
      <c r="L563" s="87"/>
      <c r="M563" s="87"/>
      <c r="N563" s="82"/>
      <c r="O563" s="82"/>
      <c r="P563" s="241"/>
      <c r="Q563" s="241"/>
      <c r="R563" s="82"/>
      <c r="S563" s="241"/>
      <c r="T563" s="82"/>
      <c r="U563" s="241"/>
      <c r="V563" s="82"/>
      <c r="W563" s="88"/>
      <c r="X563" s="82"/>
      <c r="Y563" s="89"/>
      <c r="Z563" s="82"/>
      <c r="AA563" s="90"/>
      <c r="AB563" s="241"/>
      <c r="AC563" s="241"/>
      <c r="AD563" s="241"/>
      <c r="AE563" s="82"/>
      <c r="AF563" s="82"/>
      <c r="AG563" s="90"/>
      <c r="AH563" s="90"/>
      <c r="AI563" s="90"/>
      <c r="AJ563" s="90"/>
      <c r="AK563" s="82"/>
      <c r="AL563" s="82" t="str" cm="1">
        <f t="array" aca="1" ref="AL563" ca="1">_xlfn.IFS(
 AND($AK563&lt;&gt;"", M563&lt;&gt;0, M563&lt;=EDATE(TODAY(),2)),"도래",
 AND($AK563&lt;&gt;"", M563&lt;&gt;0, M563&lt;=EDATE(TODAY(),3)),"예정",
 AND($AK563&lt;&gt;"", M563&lt;&gt;0, M563&lt;=EDATE(TODAY(),6)),"관심",
 TRUE,""
)</f>
        <v/>
      </c>
      <c r="AM563" s="86"/>
    </row>
    <row r="564" spans="1:39" ht="18" customHeight="1">
      <c r="A564" s="81"/>
      <c r="B564" s="205" t="str">
        <f>_xlfn.LET(_xlpm.var,◆관리정보!B564,IF(_xlpm.var&lt;&gt;0,_xlpm.var,""))</f>
        <v/>
      </c>
      <c r="C564" s="82" t="str">
        <f>_xlfn.LET(_xlpm.var,◆관리정보!C564,IF(_xlpm.var&lt;&gt;0,_xlpm.var,""))</f>
        <v/>
      </c>
      <c r="D564" s="83"/>
      <c r="E564" s="84" t="str">
        <f t="shared" si="21"/>
        <v/>
      </c>
      <c r="F564" s="87"/>
      <c r="G564" s="229"/>
      <c r="H564" s="229"/>
      <c r="I564" s="229"/>
      <c r="J564" s="229"/>
      <c r="K564" s="218"/>
      <c r="L564" s="87"/>
      <c r="M564" s="87"/>
      <c r="N564" s="82"/>
      <c r="O564" s="82"/>
      <c r="P564" s="241"/>
      <c r="Q564" s="241"/>
      <c r="R564" s="82"/>
      <c r="S564" s="241"/>
      <c r="T564" s="82"/>
      <c r="U564" s="241"/>
      <c r="V564" s="82"/>
      <c r="W564" s="88"/>
      <c r="X564" s="82"/>
      <c r="Y564" s="89"/>
      <c r="Z564" s="82"/>
      <c r="AA564" s="90"/>
      <c r="AB564" s="241"/>
      <c r="AC564" s="241"/>
      <c r="AD564" s="241"/>
      <c r="AE564" s="82"/>
      <c r="AF564" s="82"/>
      <c r="AG564" s="90"/>
      <c r="AH564" s="90"/>
      <c r="AI564" s="90"/>
      <c r="AJ564" s="90"/>
      <c r="AK564" s="82"/>
      <c r="AL564" s="82" t="str" cm="1">
        <f t="array" aca="1" ref="AL564" ca="1">_xlfn.IFS(
 AND($AK564&lt;&gt;"", M564&lt;&gt;0, M564&lt;=EDATE(TODAY(),2)),"도래",
 AND($AK564&lt;&gt;"", M564&lt;&gt;0, M564&lt;=EDATE(TODAY(),3)),"예정",
 AND($AK564&lt;&gt;"", M564&lt;&gt;0, M564&lt;=EDATE(TODAY(),6)),"관심",
 TRUE,""
)</f>
        <v/>
      </c>
      <c r="AM564" s="86"/>
    </row>
    <row r="565" spans="1:39" ht="18" customHeight="1">
      <c r="A565" s="81"/>
      <c r="B565" s="205" t="str">
        <f>_xlfn.LET(_xlpm.var,◆관리정보!B565,IF(_xlpm.var&lt;&gt;0,_xlpm.var,""))</f>
        <v/>
      </c>
      <c r="C565" s="82" t="str">
        <f>_xlfn.LET(_xlpm.var,◆관리정보!C565,IF(_xlpm.var&lt;&gt;0,_xlpm.var,""))</f>
        <v/>
      </c>
      <c r="D565" s="83"/>
      <c r="E565" s="84" t="str">
        <f t="shared" si="21"/>
        <v/>
      </c>
      <c r="F565" s="87"/>
      <c r="G565" s="229"/>
      <c r="H565" s="229"/>
      <c r="I565" s="229"/>
      <c r="J565" s="229"/>
      <c r="K565" s="218"/>
      <c r="L565" s="87"/>
      <c r="M565" s="87"/>
      <c r="N565" s="82"/>
      <c r="O565" s="82"/>
      <c r="P565" s="241"/>
      <c r="Q565" s="241"/>
      <c r="R565" s="82"/>
      <c r="S565" s="241"/>
      <c r="T565" s="82"/>
      <c r="U565" s="241"/>
      <c r="V565" s="82"/>
      <c r="W565" s="88"/>
      <c r="X565" s="82"/>
      <c r="Y565" s="89"/>
      <c r="Z565" s="82"/>
      <c r="AA565" s="90"/>
      <c r="AB565" s="241"/>
      <c r="AC565" s="241"/>
      <c r="AD565" s="241"/>
      <c r="AE565" s="82"/>
      <c r="AF565" s="82"/>
      <c r="AG565" s="90"/>
      <c r="AH565" s="90"/>
      <c r="AI565" s="90"/>
      <c r="AJ565" s="90"/>
      <c r="AK565" s="82"/>
      <c r="AL565" s="82" t="str" cm="1">
        <f t="array" aca="1" ref="AL565" ca="1">_xlfn.IFS(
 AND($AK565&lt;&gt;"", M565&lt;&gt;0, M565&lt;=EDATE(TODAY(),2)),"도래",
 AND($AK565&lt;&gt;"", M565&lt;&gt;0, M565&lt;=EDATE(TODAY(),3)),"예정",
 AND($AK565&lt;&gt;"", M565&lt;&gt;0, M565&lt;=EDATE(TODAY(),6)),"관심",
 TRUE,""
)</f>
        <v/>
      </c>
      <c r="AM565" s="86"/>
    </row>
    <row r="566" spans="1:39" ht="18" customHeight="1">
      <c r="A566" s="81"/>
      <c r="B566" s="205" t="str">
        <f>_xlfn.LET(_xlpm.var,◆관리정보!B566,IF(_xlpm.var&lt;&gt;0,_xlpm.var,""))</f>
        <v/>
      </c>
      <c r="C566" s="82" t="str">
        <f>_xlfn.LET(_xlpm.var,◆관리정보!C566,IF(_xlpm.var&lt;&gt;0,_xlpm.var,""))</f>
        <v/>
      </c>
      <c r="D566" s="83"/>
      <c r="E566" s="84" t="str">
        <f t="shared" si="21"/>
        <v/>
      </c>
      <c r="F566" s="87"/>
      <c r="G566" s="229"/>
      <c r="H566" s="229"/>
      <c r="I566" s="229"/>
      <c r="J566" s="229"/>
      <c r="K566" s="218"/>
      <c r="L566" s="87"/>
      <c r="M566" s="87"/>
      <c r="N566" s="82"/>
      <c r="O566" s="82"/>
      <c r="P566" s="241"/>
      <c r="Q566" s="241"/>
      <c r="R566" s="82"/>
      <c r="S566" s="241"/>
      <c r="T566" s="82"/>
      <c r="U566" s="241"/>
      <c r="V566" s="82"/>
      <c r="W566" s="88"/>
      <c r="X566" s="82"/>
      <c r="Y566" s="89"/>
      <c r="Z566" s="82"/>
      <c r="AA566" s="90"/>
      <c r="AB566" s="241"/>
      <c r="AC566" s="241"/>
      <c r="AD566" s="241"/>
      <c r="AE566" s="82"/>
      <c r="AF566" s="82"/>
      <c r="AG566" s="90"/>
      <c r="AH566" s="90"/>
      <c r="AI566" s="90"/>
      <c r="AJ566" s="90"/>
      <c r="AK566" s="82"/>
      <c r="AL566" s="82" t="str" cm="1">
        <f t="array" aca="1" ref="AL566" ca="1">_xlfn.IFS(
 AND($AK566&lt;&gt;"", M566&lt;&gt;0, M566&lt;=EDATE(TODAY(),2)),"도래",
 AND($AK566&lt;&gt;"", M566&lt;&gt;0, M566&lt;=EDATE(TODAY(),3)),"예정",
 AND($AK566&lt;&gt;"", M566&lt;&gt;0, M566&lt;=EDATE(TODAY(),6)),"관심",
 TRUE,""
)</f>
        <v/>
      </c>
      <c r="AM566" s="86"/>
    </row>
    <row r="567" spans="1:39" ht="18" customHeight="1">
      <c r="A567" s="81"/>
      <c r="B567" s="205" t="str">
        <f>_xlfn.LET(_xlpm.var,◆관리정보!B567,IF(_xlpm.var&lt;&gt;0,_xlpm.var,""))</f>
        <v/>
      </c>
      <c r="C567" s="82" t="str">
        <f>_xlfn.LET(_xlpm.var,◆관리정보!C567,IF(_xlpm.var&lt;&gt;0,_xlpm.var,""))</f>
        <v/>
      </c>
      <c r="D567" s="83"/>
      <c r="E567" s="84" t="str">
        <f t="shared" si="21"/>
        <v/>
      </c>
      <c r="F567" s="87"/>
      <c r="G567" s="229"/>
      <c r="H567" s="229"/>
      <c r="I567" s="229"/>
      <c r="J567" s="229"/>
      <c r="K567" s="218"/>
      <c r="L567" s="87"/>
      <c r="M567" s="87"/>
      <c r="N567" s="82"/>
      <c r="O567" s="82"/>
      <c r="P567" s="241"/>
      <c r="Q567" s="241"/>
      <c r="R567" s="82"/>
      <c r="S567" s="241"/>
      <c r="T567" s="82"/>
      <c r="U567" s="241"/>
      <c r="V567" s="82"/>
      <c r="W567" s="88"/>
      <c r="X567" s="82"/>
      <c r="Y567" s="89"/>
      <c r="Z567" s="82"/>
      <c r="AA567" s="90"/>
      <c r="AB567" s="241"/>
      <c r="AC567" s="241"/>
      <c r="AD567" s="241"/>
      <c r="AE567" s="82"/>
      <c r="AF567" s="82"/>
      <c r="AG567" s="90"/>
      <c r="AH567" s="90"/>
      <c r="AI567" s="90"/>
      <c r="AJ567" s="90"/>
      <c r="AK567" s="82"/>
      <c r="AL567" s="82" t="str" cm="1">
        <f t="array" aca="1" ref="AL567" ca="1">_xlfn.IFS(
 AND($AK567&lt;&gt;"", M567&lt;&gt;0, M567&lt;=EDATE(TODAY(),2)),"도래",
 AND($AK567&lt;&gt;"", M567&lt;&gt;0, M567&lt;=EDATE(TODAY(),3)),"예정",
 AND($AK567&lt;&gt;"", M567&lt;&gt;0, M567&lt;=EDATE(TODAY(),6)),"관심",
 TRUE,""
)</f>
        <v/>
      </c>
      <c r="AM567" s="86"/>
    </row>
    <row r="568" spans="1:39" ht="18" customHeight="1">
      <c r="A568" s="81"/>
      <c r="B568" s="205" t="str">
        <f>_xlfn.LET(_xlpm.var,◆관리정보!B568,IF(_xlpm.var&lt;&gt;0,_xlpm.var,""))</f>
        <v/>
      </c>
      <c r="C568" s="82" t="str">
        <f>_xlfn.LET(_xlpm.var,◆관리정보!C568,IF(_xlpm.var&lt;&gt;0,_xlpm.var,""))</f>
        <v/>
      </c>
      <c r="D568" s="83"/>
      <c r="E568" s="84" t="str">
        <f t="shared" si="21"/>
        <v/>
      </c>
      <c r="F568" s="87"/>
      <c r="G568" s="229"/>
      <c r="H568" s="229"/>
      <c r="I568" s="229"/>
      <c r="J568" s="229"/>
      <c r="K568" s="218"/>
      <c r="L568" s="87"/>
      <c r="M568" s="87"/>
      <c r="N568" s="82"/>
      <c r="O568" s="82"/>
      <c r="P568" s="241"/>
      <c r="Q568" s="241"/>
      <c r="R568" s="82"/>
      <c r="S568" s="241"/>
      <c r="T568" s="82"/>
      <c r="U568" s="241"/>
      <c r="V568" s="82"/>
      <c r="W568" s="88"/>
      <c r="X568" s="82"/>
      <c r="Y568" s="89"/>
      <c r="Z568" s="82"/>
      <c r="AA568" s="90"/>
      <c r="AB568" s="241"/>
      <c r="AC568" s="241"/>
      <c r="AD568" s="241"/>
      <c r="AE568" s="82"/>
      <c r="AF568" s="82"/>
      <c r="AG568" s="90"/>
      <c r="AH568" s="90"/>
      <c r="AI568" s="90"/>
      <c r="AJ568" s="90"/>
      <c r="AK568" s="82"/>
      <c r="AL568" s="82" t="str" cm="1">
        <f t="array" aca="1" ref="AL568" ca="1">_xlfn.IFS(
 AND($AK568&lt;&gt;"", M568&lt;&gt;0, M568&lt;=EDATE(TODAY(),2)),"도래",
 AND($AK568&lt;&gt;"", M568&lt;&gt;0, M568&lt;=EDATE(TODAY(),3)),"예정",
 AND($AK568&lt;&gt;"", M568&lt;&gt;0, M568&lt;=EDATE(TODAY(),6)),"관심",
 TRUE,""
)</f>
        <v/>
      </c>
      <c r="AM568" s="86"/>
    </row>
    <row r="569" spans="1:39" ht="18" customHeight="1">
      <c r="A569" s="81"/>
      <c r="B569" s="205" t="str">
        <f>_xlfn.LET(_xlpm.var,◆관리정보!B569,IF(_xlpm.var&lt;&gt;0,_xlpm.var,""))</f>
        <v/>
      </c>
      <c r="C569" s="82" t="str">
        <f>_xlfn.LET(_xlpm.var,◆관리정보!C569,IF(_xlpm.var&lt;&gt;0,_xlpm.var,""))</f>
        <v/>
      </c>
      <c r="D569" s="83"/>
      <c r="E569" s="84" t="str">
        <f t="shared" si="21"/>
        <v/>
      </c>
      <c r="F569" s="87"/>
      <c r="G569" s="229"/>
      <c r="H569" s="229"/>
      <c r="I569" s="229"/>
      <c r="J569" s="229"/>
      <c r="K569" s="218"/>
      <c r="L569" s="87"/>
      <c r="M569" s="87"/>
      <c r="N569" s="82"/>
      <c r="O569" s="82"/>
      <c r="P569" s="241"/>
      <c r="Q569" s="241"/>
      <c r="R569" s="82"/>
      <c r="S569" s="241"/>
      <c r="T569" s="82"/>
      <c r="U569" s="241"/>
      <c r="V569" s="82"/>
      <c r="W569" s="88"/>
      <c r="X569" s="82"/>
      <c r="Y569" s="89"/>
      <c r="Z569" s="82"/>
      <c r="AA569" s="90"/>
      <c r="AB569" s="241"/>
      <c r="AC569" s="241"/>
      <c r="AD569" s="241"/>
      <c r="AE569" s="82"/>
      <c r="AF569" s="82"/>
      <c r="AG569" s="90"/>
      <c r="AH569" s="90"/>
      <c r="AI569" s="90"/>
      <c r="AJ569" s="90"/>
      <c r="AK569" s="82"/>
      <c r="AL569" s="82" t="str" cm="1">
        <f t="array" aca="1" ref="AL569" ca="1">_xlfn.IFS(
 AND($AK569&lt;&gt;"", M569&lt;&gt;0, M569&lt;=EDATE(TODAY(),2)),"도래",
 AND($AK569&lt;&gt;"", M569&lt;&gt;0, M569&lt;=EDATE(TODAY(),3)),"예정",
 AND($AK569&lt;&gt;"", M569&lt;&gt;0, M569&lt;=EDATE(TODAY(),6)),"관심",
 TRUE,""
)</f>
        <v/>
      </c>
      <c r="AM569" s="86"/>
    </row>
    <row r="570" spans="1:39" ht="18" customHeight="1">
      <c r="A570" s="81"/>
      <c r="B570" s="205" t="str">
        <f>_xlfn.LET(_xlpm.var,◆관리정보!B570,IF(_xlpm.var&lt;&gt;0,_xlpm.var,""))</f>
        <v/>
      </c>
      <c r="C570" s="82" t="str">
        <f>_xlfn.LET(_xlpm.var,◆관리정보!C570,IF(_xlpm.var&lt;&gt;0,_xlpm.var,""))</f>
        <v/>
      </c>
      <c r="D570" s="83"/>
      <c r="E570" s="84" t="str">
        <f t="shared" si="21"/>
        <v/>
      </c>
      <c r="F570" s="87"/>
      <c r="G570" s="229"/>
      <c r="H570" s="229"/>
      <c r="I570" s="229"/>
      <c r="J570" s="229"/>
      <c r="K570" s="218"/>
      <c r="L570" s="87"/>
      <c r="M570" s="87"/>
      <c r="N570" s="82"/>
      <c r="O570" s="82"/>
      <c r="P570" s="241"/>
      <c r="Q570" s="241"/>
      <c r="R570" s="82"/>
      <c r="S570" s="241"/>
      <c r="T570" s="82"/>
      <c r="U570" s="241"/>
      <c r="V570" s="82"/>
      <c r="W570" s="88"/>
      <c r="X570" s="82"/>
      <c r="Y570" s="89"/>
      <c r="Z570" s="82"/>
      <c r="AA570" s="90"/>
      <c r="AB570" s="241"/>
      <c r="AC570" s="241"/>
      <c r="AD570" s="241"/>
      <c r="AE570" s="82"/>
      <c r="AF570" s="82"/>
      <c r="AG570" s="90"/>
      <c r="AH570" s="90"/>
      <c r="AI570" s="90"/>
      <c r="AJ570" s="90"/>
      <c r="AK570" s="82"/>
      <c r="AL570" s="82" t="str" cm="1">
        <f t="array" aca="1" ref="AL570" ca="1">_xlfn.IFS(
 AND($AK570&lt;&gt;"", M570&lt;&gt;0, M570&lt;=EDATE(TODAY(),2)),"도래",
 AND($AK570&lt;&gt;"", M570&lt;&gt;0, M570&lt;=EDATE(TODAY(),3)),"예정",
 AND($AK570&lt;&gt;"", M570&lt;&gt;0, M570&lt;=EDATE(TODAY(),6)),"관심",
 TRUE,""
)</f>
        <v/>
      </c>
      <c r="AM570" s="86"/>
    </row>
    <row r="571" spans="1:39" ht="18" customHeight="1">
      <c r="A571" s="81"/>
      <c r="B571" s="205" t="str">
        <f>_xlfn.LET(_xlpm.var,◆관리정보!B571,IF(_xlpm.var&lt;&gt;0,_xlpm.var,""))</f>
        <v/>
      </c>
      <c r="C571" s="82" t="str">
        <f>_xlfn.LET(_xlpm.var,◆관리정보!C571,IF(_xlpm.var&lt;&gt;0,_xlpm.var,""))</f>
        <v/>
      </c>
      <c r="D571" s="83"/>
      <c r="E571" s="84" t="str">
        <f t="shared" si="21"/>
        <v/>
      </c>
      <c r="F571" s="87"/>
      <c r="G571" s="229"/>
      <c r="H571" s="229"/>
      <c r="I571" s="229"/>
      <c r="J571" s="229"/>
      <c r="K571" s="218"/>
      <c r="L571" s="87"/>
      <c r="M571" s="87"/>
      <c r="N571" s="82"/>
      <c r="O571" s="82"/>
      <c r="P571" s="241"/>
      <c r="Q571" s="241"/>
      <c r="R571" s="82"/>
      <c r="S571" s="241"/>
      <c r="T571" s="82"/>
      <c r="U571" s="241"/>
      <c r="V571" s="82"/>
      <c r="W571" s="88"/>
      <c r="X571" s="82"/>
      <c r="Y571" s="89"/>
      <c r="Z571" s="82"/>
      <c r="AA571" s="90"/>
      <c r="AB571" s="241"/>
      <c r="AC571" s="241"/>
      <c r="AD571" s="241"/>
      <c r="AE571" s="82"/>
      <c r="AF571" s="82"/>
      <c r="AG571" s="90"/>
      <c r="AH571" s="90"/>
      <c r="AI571" s="90"/>
      <c r="AJ571" s="90"/>
      <c r="AK571" s="82"/>
      <c r="AL571" s="82" t="str" cm="1">
        <f t="array" aca="1" ref="AL571" ca="1">_xlfn.IFS(
 AND($AK571&lt;&gt;"", M571&lt;&gt;0, M571&lt;=EDATE(TODAY(),2)),"도래",
 AND($AK571&lt;&gt;"", M571&lt;&gt;0, M571&lt;=EDATE(TODAY(),3)),"예정",
 AND($AK571&lt;&gt;"", M571&lt;&gt;0, M571&lt;=EDATE(TODAY(),6)),"관심",
 TRUE,""
)</f>
        <v/>
      </c>
      <c r="AM571" s="86"/>
    </row>
    <row r="572" spans="1:39" ht="18" customHeight="1">
      <c r="A572" s="81"/>
      <c r="B572" s="205" t="str">
        <f>_xlfn.LET(_xlpm.var,◆관리정보!B572,IF(_xlpm.var&lt;&gt;0,_xlpm.var,""))</f>
        <v/>
      </c>
      <c r="C572" s="82" t="str">
        <f>_xlfn.LET(_xlpm.var,◆관리정보!C572,IF(_xlpm.var&lt;&gt;0,_xlpm.var,""))</f>
        <v/>
      </c>
      <c r="D572" s="83"/>
      <c r="E572" s="84" t="str">
        <f t="shared" si="21"/>
        <v/>
      </c>
      <c r="F572" s="87"/>
      <c r="G572" s="229"/>
      <c r="H572" s="229"/>
      <c r="I572" s="229"/>
      <c r="J572" s="229"/>
      <c r="K572" s="218"/>
      <c r="L572" s="87"/>
      <c r="M572" s="87"/>
      <c r="N572" s="82"/>
      <c r="O572" s="82"/>
      <c r="P572" s="241"/>
      <c r="Q572" s="241"/>
      <c r="R572" s="82"/>
      <c r="S572" s="241"/>
      <c r="T572" s="82"/>
      <c r="U572" s="241"/>
      <c r="V572" s="82"/>
      <c r="W572" s="88"/>
      <c r="X572" s="82"/>
      <c r="Y572" s="89"/>
      <c r="Z572" s="82"/>
      <c r="AA572" s="90"/>
      <c r="AB572" s="241"/>
      <c r="AC572" s="241"/>
      <c r="AD572" s="241"/>
      <c r="AE572" s="82"/>
      <c r="AF572" s="82"/>
      <c r="AG572" s="90"/>
      <c r="AH572" s="90"/>
      <c r="AI572" s="90"/>
      <c r="AJ572" s="90"/>
      <c r="AK572" s="82"/>
      <c r="AL572" s="82" t="str" cm="1">
        <f t="array" aca="1" ref="AL572" ca="1">_xlfn.IFS(
 AND($AK572&lt;&gt;"", M572&lt;&gt;0, M572&lt;=EDATE(TODAY(),2)),"도래",
 AND($AK572&lt;&gt;"", M572&lt;&gt;0, M572&lt;=EDATE(TODAY(),3)),"예정",
 AND($AK572&lt;&gt;"", M572&lt;&gt;0, M572&lt;=EDATE(TODAY(),6)),"관심",
 TRUE,""
)</f>
        <v/>
      </c>
      <c r="AM572" s="86"/>
    </row>
    <row r="573" spans="1:39" ht="18" customHeight="1">
      <c r="A573" s="81"/>
      <c r="B573" s="205" t="str">
        <f>_xlfn.LET(_xlpm.var,◆관리정보!B573,IF(_xlpm.var&lt;&gt;0,_xlpm.var,""))</f>
        <v/>
      </c>
      <c r="C573" s="82" t="str">
        <f>_xlfn.LET(_xlpm.var,◆관리정보!C573,IF(_xlpm.var&lt;&gt;0,_xlpm.var,""))</f>
        <v/>
      </c>
      <c r="D573" s="83"/>
      <c r="E573" s="84" t="str">
        <f t="shared" si="21"/>
        <v/>
      </c>
      <c r="F573" s="87"/>
      <c r="G573" s="229"/>
      <c r="H573" s="229"/>
      <c r="I573" s="229"/>
      <c r="J573" s="229"/>
      <c r="K573" s="218"/>
      <c r="L573" s="87"/>
      <c r="M573" s="87"/>
      <c r="N573" s="82"/>
      <c r="O573" s="82"/>
      <c r="P573" s="241"/>
      <c r="Q573" s="241"/>
      <c r="R573" s="82"/>
      <c r="S573" s="241"/>
      <c r="T573" s="82"/>
      <c r="U573" s="241"/>
      <c r="V573" s="82"/>
      <c r="W573" s="88"/>
      <c r="X573" s="82"/>
      <c r="Y573" s="89"/>
      <c r="Z573" s="82"/>
      <c r="AA573" s="90"/>
      <c r="AB573" s="241"/>
      <c r="AC573" s="241"/>
      <c r="AD573" s="241"/>
      <c r="AE573" s="82"/>
      <c r="AF573" s="82"/>
      <c r="AG573" s="90"/>
      <c r="AH573" s="90"/>
      <c r="AI573" s="90"/>
      <c r="AJ573" s="90"/>
      <c r="AK573" s="82"/>
      <c r="AL573" s="82" t="str" cm="1">
        <f t="array" aca="1" ref="AL573" ca="1">_xlfn.IFS(
 AND($AK573&lt;&gt;"", M573&lt;&gt;0, M573&lt;=EDATE(TODAY(),2)),"도래",
 AND($AK573&lt;&gt;"", M573&lt;&gt;0, M573&lt;=EDATE(TODAY(),3)),"예정",
 AND($AK573&lt;&gt;"", M573&lt;&gt;0, M573&lt;=EDATE(TODAY(),6)),"관심",
 TRUE,""
)</f>
        <v/>
      </c>
      <c r="AM573" s="86"/>
    </row>
    <row r="574" spans="1:39" ht="18" customHeight="1">
      <c r="A574" s="81"/>
      <c r="B574" s="205" t="str">
        <f>_xlfn.LET(_xlpm.var,◆관리정보!B574,IF(_xlpm.var&lt;&gt;0,_xlpm.var,""))</f>
        <v/>
      </c>
      <c r="C574" s="82" t="str">
        <f>_xlfn.LET(_xlpm.var,◆관리정보!C574,IF(_xlpm.var&lt;&gt;0,_xlpm.var,""))</f>
        <v/>
      </c>
      <c r="D574" s="83"/>
      <c r="E574" s="84" t="str">
        <f t="shared" si="21"/>
        <v/>
      </c>
      <c r="F574" s="87"/>
      <c r="G574" s="229"/>
      <c r="H574" s="229"/>
      <c r="I574" s="229"/>
      <c r="J574" s="229"/>
      <c r="K574" s="218"/>
      <c r="L574" s="87"/>
      <c r="M574" s="87"/>
      <c r="N574" s="82"/>
      <c r="O574" s="82"/>
      <c r="P574" s="241"/>
      <c r="Q574" s="241"/>
      <c r="R574" s="82"/>
      <c r="S574" s="241"/>
      <c r="T574" s="82"/>
      <c r="U574" s="241"/>
      <c r="V574" s="82"/>
      <c r="W574" s="88"/>
      <c r="X574" s="82"/>
      <c r="Y574" s="89"/>
      <c r="Z574" s="82"/>
      <c r="AA574" s="90"/>
      <c r="AB574" s="241"/>
      <c r="AC574" s="241"/>
      <c r="AD574" s="241"/>
      <c r="AE574" s="82"/>
      <c r="AF574" s="82"/>
      <c r="AG574" s="90"/>
      <c r="AH574" s="90"/>
      <c r="AI574" s="90"/>
      <c r="AJ574" s="90"/>
      <c r="AK574" s="82"/>
      <c r="AL574" s="82" t="str" cm="1">
        <f t="array" aca="1" ref="AL574" ca="1">_xlfn.IFS(
 AND($AK574&lt;&gt;"", M574&lt;&gt;0, M574&lt;=EDATE(TODAY(),2)),"도래",
 AND($AK574&lt;&gt;"", M574&lt;&gt;0, M574&lt;=EDATE(TODAY(),3)),"예정",
 AND($AK574&lt;&gt;"", M574&lt;&gt;0, M574&lt;=EDATE(TODAY(),6)),"관심",
 TRUE,""
)</f>
        <v/>
      </c>
      <c r="AM574" s="86"/>
    </row>
    <row r="575" spans="1:39" ht="18" customHeight="1">
      <c r="A575" s="81"/>
      <c r="B575" s="205" t="str">
        <f>_xlfn.LET(_xlpm.var,◆관리정보!B575,IF(_xlpm.var&lt;&gt;0,_xlpm.var,""))</f>
        <v/>
      </c>
      <c r="C575" s="82" t="str">
        <f>_xlfn.LET(_xlpm.var,◆관리정보!C575,IF(_xlpm.var&lt;&gt;0,_xlpm.var,""))</f>
        <v/>
      </c>
      <c r="D575" s="83"/>
      <c r="E575" s="84" t="str">
        <f t="shared" si="21"/>
        <v/>
      </c>
      <c r="F575" s="87"/>
      <c r="G575" s="229"/>
      <c r="H575" s="229"/>
      <c r="I575" s="229"/>
      <c r="J575" s="229"/>
      <c r="K575" s="218"/>
      <c r="L575" s="87"/>
      <c r="M575" s="87"/>
      <c r="N575" s="82"/>
      <c r="O575" s="82"/>
      <c r="P575" s="241"/>
      <c r="Q575" s="241"/>
      <c r="R575" s="82"/>
      <c r="S575" s="241"/>
      <c r="T575" s="82"/>
      <c r="U575" s="241"/>
      <c r="V575" s="82"/>
      <c r="W575" s="88"/>
      <c r="X575" s="82"/>
      <c r="Y575" s="89"/>
      <c r="Z575" s="82"/>
      <c r="AA575" s="90"/>
      <c r="AB575" s="241"/>
      <c r="AC575" s="241"/>
      <c r="AD575" s="241"/>
      <c r="AE575" s="82"/>
      <c r="AF575" s="82"/>
      <c r="AG575" s="90"/>
      <c r="AH575" s="90"/>
      <c r="AI575" s="90"/>
      <c r="AJ575" s="90"/>
      <c r="AK575" s="82"/>
      <c r="AL575" s="82" t="str" cm="1">
        <f t="array" aca="1" ref="AL575" ca="1">_xlfn.IFS(
 AND($AK575&lt;&gt;"", M575&lt;&gt;0, M575&lt;=EDATE(TODAY(),2)),"도래",
 AND($AK575&lt;&gt;"", M575&lt;&gt;0, M575&lt;=EDATE(TODAY(),3)),"예정",
 AND($AK575&lt;&gt;"", M575&lt;&gt;0, M575&lt;=EDATE(TODAY(),6)),"관심",
 TRUE,""
)</f>
        <v/>
      </c>
      <c r="AM575" s="86"/>
    </row>
    <row r="576" spans="1:39" ht="18" customHeight="1">
      <c r="A576" s="81"/>
      <c r="B576" s="205" t="str">
        <f>_xlfn.LET(_xlpm.var,◆관리정보!B576,IF(_xlpm.var&lt;&gt;0,_xlpm.var,""))</f>
        <v/>
      </c>
      <c r="C576" s="82" t="str">
        <f>_xlfn.LET(_xlpm.var,◆관리정보!C576,IF(_xlpm.var&lt;&gt;0,_xlpm.var,""))</f>
        <v/>
      </c>
      <c r="D576" s="83"/>
      <c r="E576" s="84" t="str">
        <f t="shared" si="21"/>
        <v/>
      </c>
      <c r="F576" s="87"/>
      <c r="G576" s="229"/>
      <c r="H576" s="229"/>
      <c r="I576" s="229"/>
      <c r="J576" s="229"/>
      <c r="K576" s="218"/>
      <c r="L576" s="87"/>
      <c r="M576" s="87"/>
      <c r="N576" s="82"/>
      <c r="O576" s="82"/>
      <c r="P576" s="241"/>
      <c r="Q576" s="241"/>
      <c r="R576" s="82"/>
      <c r="S576" s="241"/>
      <c r="T576" s="82"/>
      <c r="U576" s="241"/>
      <c r="V576" s="82"/>
      <c r="W576" s="88"/>
      <c r="X576" s="82"/>
      <c r="Y576" s="89"/>
      <c r="Z576" s="82"/>
      <c r="AA576" s="90"/>
      <c r="AB576" s="241"/>
      <c r="AC576" s="241"/>
      <c r="AD576" s="241"/>
      <c r="AE576" s="82"/>
      <c r="AF576" s="82"/>
      <c r="AG576" s="90"/>
      <c r="AH576" s="90"/>
      <c r="AI576" s="90"/>
      <c r="AJ576" s="90"/>
      <c r="AK576" s="82"/>
      <c r="AL576" s="82" t="str" cm="1">
        <f t="array" aca="1" ref="AL576" ca="1">_xlfn.IFS(
 AND($AK576&lt;&gt;"", M576&lt;&gt;0, M576&lt;=EDATE(TODAY(),2)),"도래",
 AND($AK576&lt;&gt;"", M576&lt;&gt;0, M576&lt;=EDATE(TODAY(),3)),"예정",
 AND($AK576&lt;&gt;"", M576&lt;&gt;0, M576&lt;=EDATE(TODAY(),6)),"관심",
 TRUE,""
)</f>
        <v/>
      </c>
      <c r="AM576" s="86"/>
    </row>
    <row r="577" spans="1:39" ht="18" customHeight="1">
      <c r="A577" s="81"/>
      <c r="B577" s="205" t="str">
        <f>_xlfn.LET(_xlpm.var,◆관리정보!B577,IF(_xlpm.var&lt;&gt;0,_xlpm.var,""))</f>
        <v/>
      </c>
      <c r="C577" s="82" t="str">
        <f>_xlfn.LET(_xlpm.var,◆관리정보!C577,IF(_xlpm.var&lt;&gt;0,_xlpm.var,""))</f>
        <v/>
      </c>
      <c r="D577" s="83"/>
      <c r="E577" s="84" t="str">
        <f t="shared" si="21"/>
        <v/>
      </c>
      <c r="F577" s="87"/>
      <c r="G577" s="229"/>
      <c r="H577" s="229"/>
      <c r="I577" s="229"/>
      <c r="J577" s="229"/>
      <c r="K577" s="218"/>
      <c r="L577" s="87"/>
      <c r="M577" s="87"/>
      <c r="N577" s="82"/>
      <c r="O577" s="82"/>
      <c r="P577" s="241"/>
      <c r="Q577" s="241"/>
      <c r="R577" s="82"/>
      <c r="S577" s="241"/>
      <c r="T577" s="82"/>
      <c r="U577" s="241"/>
      <c r="V577" s="82"/>
      <c r="W577" s="88"/>
      <c r="X577" s="82"/>
      <c r="Y577" s="89"/>
      <c r="Z577" s="82"/>
      <c r="AA577" s="90"/>
      <c r="AB577" s="241"/>
      <c r="AC577" s="241"/>
      <c r="AD577" s="241"/>
      <c r="AE577" s="82"/>
      <c r="AF577" s="82"/>
      <c r="AG577" s="90"/>
      <c r="AH577" s="90"/>
      <c r="AI577" s="90"/>
      <c r="AJ577" s="90"/>
      <c r="AK577" s="82"/>
      <c r="AL577" s="82" t="str" cm="1">
        <f t="array" aca="1" ref="AL577" ca="1">_xlfn.IFS(
 AND($AK577&lt;&gt;"", M577&lt;&gt;0, M577&lt;=EDATE(TODAY(),2)),"도래",
 AND($AK577&lt;&gt;"", M577&lt;&gt;0, M577&lt;=EDATE(TODAY(),3)),"예정",
 AND($AK577&lt;&gt;"", M577&lt;&gt;0, M577&lt;=EDATE(TODAY(),6)),"관심",
 TRUE,""
)</f>
        <v/>
      </c>
      <c r="AM577" s="86"/>
    </row>
    <row r="578" spans="1:39" ht="18" customHeight="1">
      <c r="A578" s="81"/>
      <c r="B578" s="205" t="str">
        <f>_xlfn.LET(_xlpm.var,◆관리정보!B578,IF(_xlpm.var&lt;&gt;0,_xlpm.var,""))</f>
        <v/>
      </c>
      <c r="C578" s="82" t="str">
        <f>_xlfn.LET(_xlpm.var,◆관리정보!C578,IF(_xlpm.var&lt;&gt;0,_xlpm.var,""))</f>
        <v/>
      </c>
      <c r="D578" s="83"/>
      <c r="E578" s="84" t="str">
        <f t="shared" si="21"/>
        <v/>
      </c>
      <c r="F578" s="87"/>
      <c r="G578" s="229"/>
      <c r="H578" s="229"/>
      <c r="I578" s="229"/>
      <c r="J578" s="229"/>
      <c r="K578" s="218"/>
      <c r="L578" s="87"/>
      <c r="M578" s="87"/>
      <c r="N578" s="82"/>
      <c r="O578" s="82"/>
      <c r="P578" s="241"/>
      <c r="Q578" s="241"/>
      <c r="R578" s="82"/>
      <c r="S578" s="241"/>
      <c r="T578" s="82"/>
      <c r="U578" s="241"/>
      <c r="V578" s="82"/>
      <c r="W578" s="88"/>
      <c r="X578" s="82"/>
      <c r="Y578" s="89"/>
      <c r="Z578" s="82"/>
      <c r="AA578" s="90"/>
      <c r="AB578" s="241"/>
      <c r="AC578" s="241"/>
      <c r="AD578" s="241"/>
      <c r="AE578" s="82"/>
      <c r="AF578" s="82"/>
      <c r="AG578" s="90"/>
      <c r="AH578" s="90"/>
      <c r="AI578" s="90"/>
      <c r="AJ578" s="90"/>
      <c r="AK578" s="82"/>
      <c r="AL578" s="82" t="str" cm="1">
        <f t="array" aca="1" ref="AL578" ca="1">_xlfn.IFS(
 AND($AK578&lt;&gt;"", M578&lt;&gt;0, M578&lt;=EDATE(TODAY(),2)),"도래",
 AND($AK578&lt;&gt;"", M578&lt;&gt;0, M578&lt;=EDATE(TODAY(),3)),"예정",
 AND($AK578&lt;&gt;"", M578&lt;&gt;0, M578&lt;=EDATE(TODAY(),6)),"관심",
 TRUE,""
)</f>
        <v/>
      </c>
      <c r="AM578" s="86"/>
    </row>
    <row r="579" spans="1:39" ht="18" customHeight="1">
      <c r="A579" s="81"/>
      <c r="B579" s="205" t="str">
        <f>_xlfn.LET(_xlpm.var,◆관리정보!B579,IF(_xlpm.var&lt;&gt;0,_xlpm.var,""))</f>
        <v/>
      </c>
      <c r="C579" s="82" t="str">
        <f>_xlfn.LET(_xlpm.var,◆관리정보!C579,IF(_xlpm.var&lt;&gt;0,_xlpm.var,""))</f>
        <v/>
      </c>
      <c r="D579" s="83"/>
      <c r="E579" s="84" t="str">
        <f t="shared" si="21"/>
        <v/>
      </c>
      <c r="F579" s="87"/>
      <c r="G579" s="229"/>
      <c r="H579" s="229"/>
      <c r="I579" s="229"/>
      <c r="J579" s="229"/>
      <c r="K579" s="218"/>
      <c r="L579" s="87"/>
      <c r="M579" s="87"/>
      <c r="N579" s="82"/>
      <c r="O579" s="82"/>
      <c r="P579" s="241"/>
      <c r="Q579" s="241"/>
      <c r="R579" s="82"/>
      <c r="S579" s="241"/>
      <c r="T579" s="82"/>
      <c r="U579" s="241"/>
      <c r="V579" s="82"/>
      <c r="W579" s="88"/>
      <c r="X579" s="82"/>
      <c r="Y579" s="89"/>
      <c r="Z579" s="82"/>
      <c r="AA579" s="90"/>
      <c r="AB579" s="241"/>
      <c r="AC579" s="241"/>
      <c r="AD579" s="241"/>
      <c r="AE579" s="82"/>
      <c r="AF579" s="82"/>
      <c r="AG579" s="90"/>
      <c r="AH579" s="90"/>
      <c r="AI579" s="90"/>
      <c r="AJ579" s="90"/>
      <c r="AK579" s="82"/>
      <c r="AL579" s="82" t="str" cm="1">
        <f t="array" aca="1" ref="AL579" ca="1">_xlfn.IFS(
 AND($AK579&lt;&gt;"", M579&lt;&gt;0, M579&lt;=EDATE(TODAY(),2)),"도래",
 AND($AK579&lt;&gt;"", M579&lt;&gt;0, M579&lt;=EDATE(TODAY(),3)),"예정",
 AND($AK579&lt;&gt;"", M579&lt;&gt;0, M579&lt;=EDATE(TODAY(),6)),"관심",
 TRUE,""
)</f>
        <v/>
      </c>
      <c r="AM579" s="86"/>
    </row>
    <row r="580" spans="1:39" ht="18" customHeight="1">
      <c r="A580" s="81"/>
      <c r="B580" s="205" t="str">
        <f>_xlfn.LET(_xlpm.var,◆관리정보!B580,IF(_xlpm.var&lt;&gt;0,_xlpm.var,""))</f>
        <v/>
      </c>
      <c r="C580" s="82" t="str">
        <f>_xlfn.LET(_xlpm.var,◆관리정보!C580,IF(_xlpm.var&lt;&gt;0,_xlpm.var,""))</f>
        <v/>
      </c>
      <c r="D580" s="83"/>
      <c r="E580" s="84" t="str">
        <f t="shared" ref="E580:E643" si="22">_xlfn.CONCAT(B580,C580)</f>
        <v/>
      </c>
      <c r="F580" s="87"/>
      <c r="G580" s="229"/>
      <c r="H580" s="229"/>
      <c r="I580" s="229"/>
      <c r="J580" s="229"/>
      <c r="K580" s="218"/>
      <c r="L580" s="87"/>
      <c r="M580" s="87"/>
      <c r="N580" s="82"/>
      <c r="O580" s="82"/>
      <c r="P580" s="241"/>
      <c r="Q580" s="241"/>
      <c r="R580" s="82"/>
      <c r="S580" s="241"/>
      <c r="T580" s="82"/>
      <c r="U580" s="241"/>
      <c r="V580" s="82"/>
      <c r="W580" s="88"/>
      <c r="X580" s="82"/>
      <c r="Y580" s="89"/>
      <c r="Z580" s="82"/>
      <c r="AA580" s="90"/>
      <c r="AB580" s="241"/>
      <c r="AC580" s="241"/>
      <c r="AD580" s="241"/>
      <c r="AE580" s="82"/>
      <c r="AF580" s="82"/>
      <c r="AG580" s="90"/>
      <c r="AH580" s="90"/>
      <c r="AI580" s="90"/>
      <c r="AJ580" s="90"/>
      <c r="AK580" s="82"/>
      <c r="AL580" s="82" t="str" cm="1">
        <f t="array" aca="1" ref="AL580" ca="1">_xlfn.IFS(
 AND($AK580&lt;&gt;"", M580&lt;&gt;0, M580&lt;=EDATE(TODAY(),2)),"도래",
 AND($AK580&lt;&gt;"", M580&lt;&gt;0, M580&lt;=EDATE(TODAY(),3)),"예정",
 AND($AK580&lt;&gt;"", M580&lt;&gt;0, M580&lt;=EDATE(TODAY(),6)),"관심",
 TRUE,""
)</f>
        <v/>
      </c>
      <c r="AM580" s="86"/>
    </row>
    <row r="581" spans="1:39" ht="18" customHeight="1">
      <c r="A581" s="81"/>
      <c r="B581" s="205" t="str">
        <f>_xlfn.LET(_xlpm.var,◆관리정보!B581,IF(_xlpm.var&lt;&gt;0,_xlpm.var,""))</f>
        <v/>
      </c>
      <c r="C581" s="82" t="str">
        <f>_xlfn.LET(_xlpm.var,◆관리정보!C581,IF(_xlpm.var&lt;&gt;0,_xlpm.var,""))</f>
        <v/>
      </c>
      <c r="D581" s="83"/>
      <c r="E581" s="84" t="str">
        <f t="shared" si="22"/>
        <v/>
      </c>
      <c r="F581" s="87"/>
      <c r="G581" s="229"/>
      <c r="H581" s="229"/>
      <c r="I581" s="229"/>
      <c r="J581" s="229"/>
      <c r="K581" s="218"/>
      <c r="L581" s="87"/>
      <c r="M581" s="87"/>
      <c r="N581" s="82"/>
      <c r="O581" s="82"/>
      <c r="P581" s="241"/>
      <c r="Q581" s="241"/>
      <c r="R581" s="82"/>
      <c r="S581" s="241"/>
      <c r="T581" s="82"/>
      <c r="U581" s="241"/>
      <c r="V581" s="82"/>
      <c r="W581" s="88"/>
      <c r="X581" s="82"/>
      <c r="Y581" s="89"/>
      <c r="Z581" s="82"/>
      <c r="AA581" s="90"/>
      <c r="AB581" s="241"/>
      <c r="AC581" s="241"/>
      <c r="AD581" s="241"/>
      <c r="AE581" s="82"/>
      <c r="AF581" s="82"/>
      <c r="AG581" s="90"/>
      <c r="AH581" s="90"/>
      <c r="AI581" s="90"/>
      <c r="AJ581" s="90"/>
      <c r="AK581" s="82"/>
      <c r="AL581" s="82" t="str" cm="1">
        <f t="array" aca="1" ref="AL581" ca="1">_xlfn.IFS(
 AND($AK581&lt;&gt;"", M581&lt;&gt;0, M581&lt;=EDATE(TODAY(),2)),"도래",
 AND($AK581&lt;&gt;"", M581&lt;&gt;0, M581&lt;=EDATE(TODAY(),3)),"예정",
 AND($AK581&lt;&gt;"", M581&lt;&gt;0, M581&lt;=EDATE(TODAY(),6)),"관심",
 TRUE,""
)</f>
        <v/>
      </c>
      <c r="AM581" s="86"/>
    </row>
    <row r="582" spans="1:39" ht="18" customHeight="1">
      <c r="A582" s="81"/>
      <c r="B582" s="205" t="str">
        <f>_xlfn.LET(_xlpm.var,◆관리정보!B582,IF(_xlpm.var&lt;&gt;0,_xlpm.var,""))</f>
        <v/>
      </c>
      <c r="C582" s="82" t="str">
        <f>_xlfn.LET(_xlpm.var,◆관리정보!C582,IF(_xlpm.var&lt;&gt;0,_xlpm.var,""))</f>
        <v/>
      </c>
      <c r="D582" s="83"/>
      <c r="E582" s="84" t="str">
        <f t="shared" si="22"/>
        <v/>
      </c>
      <c r="F582" s="87"/>
      <c r="G582" s="229"/>
      <c r="H582" s="229"/>
      <c r="I582" s="229"/>
      <c r="J582" s="229"/>
      <c r="K582" s="218"/>
      <c r="L582" s="87"/>
      <c r="M582" s="87"/>
      <c r="N582" s="82"/>
      <c r="O582" s="82"/>
      <c r="P582" s="241"/>
      <c r="Q582" s="241"/>
      <c r="R582" s="82"/>
      <c r="S582" s="241"/>
      <c r="T582" s="82"/>
      <c r="U582" s="241"/>
      <c r="V582" s="82"/>
      <c r="W582" s="88"/>
      <c r="X582" s="82"/>
      <c r="Y582" s="89"/>
      <c r="Z582" s="82"/>
      <c r="AA582" s="90"/>
      <c r="AB582" s="241"/>
      <c r="AC582" s="241"/>
      <c r="AD582" s="241"/>
      <c r="AE582" s="82"/>
      <c r="AF582" s="82"/>
      <c r="AG582" s="90"/>
      <c r="AH582" s="90"/>
      <c r="AI582" s="90"/>
      <c r="AJ582" s="90"/>
      <c r="AK582" s="82"/>
      <c r="AL582" s="82" t="str" cm="1">
        <f t="array" aca="1" ref="AL582" ca="1">_xlfn.IFS(
 AND($AK582&lt;&gt;"", M582&lt;&gt;0, M582&lt;=EDATE(TODAY(),2)),"도래",
 AND($AK582&lt;&gt;"", M582&lt;&gt;0, M582&lt;=EDATE(TODAY(),3)),"예정",
 AND($AK582&lt;&gt;"", M582&lt;&gt;0, M582&lt;=EDATE(TODAY(),6)),"관심",
 TRUE,""
)</f>
        <v/>
      </c>
      <c r="AM582" s="86"/>
    </row>
    <row r="583" spans="1:39" ht="18" customHeight="1">
      <c r="A583" s="81"/>
      <c r="B583" s="205" t="str">
        <f>_xlfn.LET(_xlpm.var,◆관리정보!B583,IF(_xlpm.var&lt;&gt;0,_xlpm.var,""))</f>
        <v/>
      </c>
      <c r="C583" s="82" t="str">
        <f>_xlfn.LET(_xlpm.var,◆관리정보!C583,IF(_xlpm.var&lt;&gt;0,_xlpm.var,""))</f>
        <v/>
      </c>
      <c r="D583" s="83"/>
      <c r="E583" s="84" t="str">
        <f t="shared" si="22"/>
        <v/>
      </c>
      <c r="F583" s="87"/>
      <c r="G583" s="229"/>
      <c r="H583" s="229"/>
      <c r="I583" s="229"/>
      <c r="J583" s="229"/>
      <c r="K583" s="218"/>
      <c r="L583" s="87"/>
      <c r="M583" s="87"/>
      <c r="N583" s="82"/>
      <c r="O583" s="82"/>
      <c r="P583" s="241"/>
      <c r="Q583" s="241"/>
      <c r="R583" s="82"/>
      <c r="S583" s="241"/>
      <c r="T583" s="82"/>
      <c r="U583" s="241"/>
      <c r="V583" s="82"/>
      <c r="W583" s="88"/>
      <c r="X583" s="82"/>
      <c r="Y583" s="89"/>
      <c r="Z583" s="82"/>
      <c r="AA583" s="90"/>
      <c r="AB583" s="241"/>
      <c r="AC583" s="241"/>
      <c r="AD583" s="241"/>
      <c r="AE583" s="82"/>
      <c r="AF583" s="82"/>
      <c r="AG583" s="90"/>
      <c r="AH583" s="90"/>
      <c r="AI583" s="90"/>
      <c r="AJ583" s="90"/>
      <c r="AK583" s="82"/>
      <c r="AL583" s="82" t="str" cm="1">
        <f t="array" aca="1" ref="AL583" ca="1">_xlfn.IFS(
 AND($AK583&lt;&gt;"", M583&lt;&gt;0, M583&lt;=EDATE(TODAY(),2)),"도래",
 AND($AK583&lt;&gt;"", M583&lt;&gt;0, M583&lt;=EDATE(TODAY(),3)),"예정",
 AND($AK583&lt;&gt;"", M583&lt;&gt;0, M583&lt;=EDATE(TODAY(),6)),"관심",
 TRUE,""
)</f>
        <v/>
      </c>
      <c r="AM583" s="86"/>
    </row>
    <row r="584" spans="1:39" ht="18" customHeight="1">
      <c r="A584" s="81"/>
      <c r="B584" s="205" t="str">
        <f>_xlfn.LET(_xlpm.var,◆관리정보!B584,IF(_xlpm.var&lt;&gt;0,_xlpm.var,""))</f>
        <v/>
      </c>
      <c r="C584" s="82" t="str">
        <f>_xlfn.LET(_xlpm.var,◆관리정보!C584,IF(_xlpm.var&lt;&gt;0,_xlpm.var,""))</f>
        <v/>
      </c>
      <c r="D584" s="83"/>
      <c r="E584" s="84" t="str">
        <f t="shared" si="22"/>
        <v/>
      </c>
      <c r="F584" s="87"/>
      <c r="G584" s="229"/>
      <c r="H584" s="229"/>
      <c r="I584" s="229"/>
      <c r="J584" s="229"/>
      <c r="K584" s="218"/>
      <c r="L584" s="87"/>
      <c r="M584" s="87"/>
      <c r="N584" s="82"/>
      <c r="O584" s="82"/>
      <c r="P584" s="241"/>
      <c r="Q584" s="241"/>
      <c r="R584" s="82"/>
      <c r="S584" s="241"/>
      <c r="T584" s="82"/>
      <c r="U584" s="241"/>
      <c r="V584" s="82"/>
      <c r="W584" s="88"/>
      <c r="X584" s="82"/>
      <c r="Y584" s="89"/>
      <c r="Z584" s="82"/>
      <c r="AA584" s="90"/>
      <c r="AB584" s="241"/>
      <c r="AC584" s="241"/>
      <c r="AD584" s="241"/>
      <c r="AE584" s="82"/>
      <c r="AF584" s="82"/>
      <c r="AG584" s="90"/>
      <c r="AH584" s="90"/>
      <c r="AI584" s="90"/>
      <c r="AJ584" s="90"/>
      <c r="AK584" s="82"/>
      <c r="AL584" s="82" t="str" cm="1">
        <f t="array" aca="1" ref="AL584" ca="1">_xlfn.IFS(
 AND($AK584&lt;&gt;"", M584&lt;&gt;0, M584&lt;=EDATE(TODAY(),2)),"도래",
 AND($AK584&lt;&gt;"", M584&lt;&gt;0, M584&lt;=EDATE(TODAY(),3)),"예정",
 AND($AK584&lt;&gt;"", M584&lt;&gt;0, M584&lt;=EDATE(TODAY(),6)),"관심",
 TRUE,""
)</f>
        <v/>
      </c>
      <c r="AM584" s="86"/>
    </row>
    <row r="585" spans="1:39" ht="18" customHeight="1">
      <c r="A585" s="81"/>
      <c r="B585" s="205" t="str">
        <f>_xlfn.LET(_xlpm.var,◆관리정보!B585,IF(_xlpm.var&lt;&gt;0,_xlpm.var,""))</f>
        <v/>
      </c>
      <c r="C585" s="82" t="str">
        <f>_xlfn.LET(_xlpm.var,◆관리정보!C585,IF(_xlpm.var&lt;&gt;0,_xlpm.var,""))</f>
        <v/>
      </c>
      <c r="D585" s="83"/>
      <c r="E585" s="84" t="str">
        <f t="shared" si="22"/>
        <v/>
      </c>
      <c r="F585" s="87"/>
      <c r="G585" s="229"/>
      <c r="H585" s="229"/>
      <c r="I585" s="229"/>
      <c r="J585" s="229"/>
      <c r="K585" s="218"/>
      <c r="L585" s="87"/>
      <c r="M585" s="87"/>
      <c r="N585" s="82"/>
      <c r="O585" s="82"/>
      <c r="P585" s="241"/>
      <c r="Q585" s="241"/>
      <c r="R585" s="82"/>
      <c r="S585" s="241"/>
      <c r="T585" s="82"/>
      <c r="U585" s="241"/>
      <c r="V585" s="82"/>
      <c r="W585" s="88"/>
      <c r="X585" s="82"/>
      <c r="Y585" s="89"/>
      <c r="Z585" s="82"/>
      <c r="AA585" s="90"/>
      <c r="AB585" s="241"/>
      <c r="AC585" s="241"/>
      <c r="AD585" s="241"/>
      <c r="AE585" s="82"/>
      <c r="AF585" s="82"/>
      <c r="AG585" s="90"/>
      <c r="AH585" s="90"/>
      <c r="AI585" s="90"/>
      <c r="AJ585" s="90"/>
      <c r="AK585" s="82"/>
      <c r="AL585" s="82" t="str" cm="1">
        <f t="array" aca="1" ref="AL585" ca="1">_xlfn.IFS(
 AND($AK585&lt;&gt;"", M585&lt;&gt;0, M585&lt;=EDATE(TODAY(),2)),"도래",
 AND($AK585&lt;&gt;"", M585&lt;&gt;0, M585&lt;=EDATE(TODAY(),3)),"예정",
 AND($AK585&lt;&gt;"", M585&lt;&gt;0, M585&lt;=EDATE(TODAY(),6)),"관심",
 TRUE,""
)</f>
        <v/>
      </c>
      <c r="AM585" s="86"/>
    </row>
    <row r="586" spans="1:39" ht="18" customHeight="1">
      <c r="A586" s="81"/>
      <c r="B586" s="205" t="str">
        <f>_xlfn.LET(_xlpm.var,◆관리정보!B586,IF(_xlpm.var&lt;&gt;0,_xlpm.var,""))</f>
        <v/>
      </c>
      <c r="C586" s="82" t="str">
        <f>_xlfn.LET(_xlpm.var,◆관리정보!C586,IF(_xlpm.var&lt;&gt;0,_xlpm.var,""))</f>
        <v/>
      </c>
      <c r="D586" s="83"/>
      <c r="E586" s="84" t="str">
        <f t="shared" si="22"/>
        <v/>
      </c>
      <c r="F586" s="87"/>
      <c r="G586" s="229"/>
      <c r="H586" s="229"/>
      <c r="I586" s="229"/>
      <c r="J586" s="229"/>
      <c r="K586" s="218"/>
      <c r="L586" s="87"/>
      <c r="M586" s="87"/>
      <c r="N586" s="82"/>
      <c r="O586" s="82"/>
      <c r="P586" s="241"/>
      <c r="Q586" s="241"/>
      <c r="R586" s="82"/>
      <c r="S586" s="241"/>
      <c r="T586" s="82"/>
      <c r="U586" s="241"/>
      <c r="V586" s="82"/>
      <c r="W586" s="88"/>
      <c r="X586" s="82"/>
      <c r="Y586" s="89"/>
      <c r="Z586" s="82"/>
      <c r="AA586" s="90"/>
      <c r="AB586" s="241"/>
      <c r="AC586" s="241"/>
      <c r="AD586" s="241"/>
      <c r="AE586" s="82"/>
      <c r="AF586" s="82"/>
      <c r="AG586" s="90"/>
      <c r="AH586" s="90"/>
      <c r="AI586" s="90"/>
      <c r="AJ586" s="90"/>
      <c r="AK586" s="82"/>
      <c r="AL586" s="82" t="str" cm="1">
        <f t="array" aca="1" ref="AL586" ca="1">_xlfn.IFS(
 AND($AK586&lt;&gt;"", M586&lt;&gt;0, M586&lt;=EDATE(TODAY(),2)),"도래",
 AND($AK586&lt;&gt;"", M586&lt;&gt;0, M586&lt;=EDATE(TODAY(),3)),"예정",
 AND($AK586&lt;&gt;"", M586&lt;&gt;0, M586&lt;=EDATE(TODAY(),6)),"관심",
 TRUE,""
)</f>
        <v/>
      </c>
      <c r="AM586" s="86"/>
    </row>
    <row r="587" spans="1:39" ht="18" customHeight="1">
      <c r="A587" s="81"/>
      <c r="B587" s="205" t="str">
        <f>_xlfn.LET(_xlpm.var,◆관리정보!B587,IF(_xlpm.var&lt;&gt;0,_xlpm.var,""))</f>
        <v/>
      </c>
      <c r="C587" s="82" t="str">
        <f>_xlfn.LET(_xlpm.var,◆관리정보!C587,IF(_xlpm.var&lt;&gt;0,_xlpm.var,""))</f>
        <v/>
      </c>
      <c r="D587" s="83"/>
      <c r="E587" s="84" t="str">
        <f t="shared" si="22"/>
        <v/>
      </c>
      <c r="F587" s="87"/>
      <c r="G587" s="229"/>
      <c r="H587" s="229"/>
      <c r="I587" s="229"/>
      <c r="J587" s="229"/>
      <c r="K587" s="218"/>
      <c r="L587" s="87"/>
      <c r="M587" s="87"/>
      <c r="N587" s="82"/>
      <c r="O587" s="82"/>
      <c r="P587" s="241"/>
      <c r="Q587" s="241"/>
      <c r="R587" s="82"/>
      <c r="S587" s="241"/>
      <c r="T587" s="82"/>
      <c r="U587" s="241"/>
      <c r="V587" s="82"/>
      <c r="W587" s="88"/>
      <c r="X587" s="82"/>
      <c r="Y587" s="89"/>
      <c r="Z587" s="82"/>
      <c r="AA587" s="90"/>
      <c r="AB587" s="241"/>
      <c r="AC587" s="241"/>
      <c r="AD587" s="241"/>
      <c r="AE587" s="82"/>
      <c r="AF587" s="82"/>
      <c r="AG587" s="90"/>
      <c r="AH587" s="90"/>
      <c r="AI587" s="90"/>
      <c r="AJ587" s="90"/>
      <c r="AK587" s="82"/>
      <c r="AL587" s="82" t="str" cm="1">
        <f t="array" aca="1" ref="AL587" ca="1">_xlfn.IFS(
 AND($AK587&lt;&gt;"", M587&lt;&gt;0, M587&lt;=EDATE(TODAY(),2)),"도래",
 AND($AK587&lt;&gt;"", M587&lt;&gt;0, M587&lt;=EDATE(TODAY(),3)),"예정",
 AND($AK587&lt;&gt;"", M587&lt;&gt;0, M587&lt;=EDATE(TODAY(),6)),"관심",
 TRUE,""
)</f>
        <v/>
      </c>
      <c r="AM587" s="86"/>
    </row>
    <row r="588" spans="1:39" ht="18" customHeight="1">
      <c r="A588" s="81"/>
      <c r="B588" s="205" t="str">
        <f>_xlfn.LET(_xlpm.var,◆관리정보!B588,IF(_xlpm.var&lt;&gt;0,_xlpm.var,""))</f>
        <v/>
      </c>
      <c r="C588" s="82" t="str">
        <f>_xlfn.LET(_xlpm.var,◆관리정보!C588,IF(_xlpm.var&lt;&gt;0,_xlpm.var,""))</f>
        <v/>
      </c>
      <c r="D588" s="83"/>
      <c r="E588" s="84" t="str">
        <f t="shared" si="22"/>
        <v/>
      </c>
      <c r="F588" s="87"/>
      <c r="G588" s="229"/>
      <c r="H588" s="229"/>
      <c r="I588" s="229"/>
      <c r="J588" s="229"/>
      <c r="K588" s="218"/>
      <c r="L588" s="87"/>
      <c r="M588" s="87"/>
      <c r="N588" s="82"/>
      <c r="O588" s="82"/>
      <c r="P588" s="241"/>
      <c r="Q588" s="241"/>
      <c r="R588" s="82"/>
      <c r="S588" s="241"/>
      <c r="T588" s="82"/>
      <c r="U588" s="241"/>
      <c r="V588" s="82"/>
      <c r="W588" s="88"/>
      <c r="X588" s="82"/>
      <c r="Y588" s="89"/>
      <c r="Z588" s="82"/>
      <c r="AA588" s="90"/>
      <c r="AB588" s="241"/>
      <c r="AC588" s="241"/>
      <c r="AD588" s="241"/>
      <c r="AE588" s="82"/>
      <c r="AF588" s="82"/>
      <c r="AG588" s="90"/>
      <c r="AH588" s="90"/>
      <c r="AI588" s="90"/>
      <c r="AJ588" s="90"/>
      <c r="AK588" s="82"/>
      <c r="AL588" s="82" t="str" cm="1">
        <f t="array" aca="1" ref="AL588" ca="1">_xlfn.IFS(
 AND($AK588&lt;&gt;"", M588&lt;&gt;0, M588&lt;=EDATE(TODAY(),2)),"도래",
 AND($AK588&lt;&gt;"", M588&lt;&gt;0, M588&lt;=EDATE(TODAY(),3)),"예정",
 AND($AK588&lt;&gt;"", M588&lt;&gt;0, M588&lt;=EDATE(TODAY(),6)),"관심",
 TRUE,""
)</f>
        <v/>
      </c>
      <c r="AM588" s="86"/>
    </row>
    <row r="589" spans="1:39" ht="18" customHeight="1">
      <c r="A589" s="81"/>
      <c r="B589" s="205" t="str">
        <f>_xlfn.LET(_xlpm.var,◆관리정보!B589,IF(_xlpm.var&lt;&gt;0,_xlpm.var,""))</f>
        <v/>
      </c>
      <c r="C589" s="82" t="str">
        <f>_xlfn.LET(_xlpm.var,◆관리정보!C589,IF(_xlpm.var&lt;&gt;0,_xlpm.var,""))</f>
        <v/>
      </c>
      <c r="D589" s="83"/>
      <c r="E589" s="84" t="str">
        <f t="shared" si="22"/>
        <v/>
      </c>
      <c r="F589" s="87"/>
      <c r="G589" s="229"/>
      <c r="H589" s="229"/>
      <c r="I589" s="229"/>
      <c r="J589" s="229"/>
      <c r="K589" s="218"/>
      <c r="L589" s="87"/>
      <c r="M589" s="87"/>
      <c r="N589" s="82"/>
      <c r="O589" s="82"/>
      <c r="P589" s="241"/>
      <c r="Q589" s="241"/>
      <c r="R589" s="82"/>
      <c r="S589" s="241"/>
      <c r="T589" s="82"/>
      <c r="U589" s="241"/>
      <c r="V589" s="82"/>
      <c r="W589" s="88"/>
      <c r="X589" s="82"/>
      <c r="Y589" s="89"/>
      <c r="Z589" s="82"/>
      <c r="AA589" s="90"/>
      <c r="AB589" s="241"/>
      <c r="AC589" s="241"/>
      <c r="AD589" s="241"/>
      <c r="AE589" s="82"/>
      <c r="AF589" s="82"/>
      <c r="AG589" s="90"/>
      <c r="AH589" s="90"/>
      <c r="AI589" s="90"/>
      <c r="AJ589" s="90"/>
      <c r="AK589" s="82"/>
      <c r="AL589" s="82" t="str" cm="1">
        <f t="array" aca="1" ref="AL589" ca="1">_xlfn.IFS(
 AND($AK589&lt;&gt;"", M589&lt;&gt;0, M589&lt;=EDATE(TODAY(),2)),"도래",
 AND($AK589&lt;&gt;"", M589&lt;&gt;0, M589&lt;=EDATE(TODAY(),3)),"예정",
 AND($AK589&lt;&gt;"", M589&lt;&gt;0, M589&lt;=EDATE(TODAY(),6)),"관심",
 TRUE,""
)</f>
        <v/>
      </c>
      <c r="AM589" s="86"/>
    </row>
    <row r="590" spans="1:39" ht="18" customHeight="1">
      <c r="A590" s="81"/>
      <c r="B590" s="205" t="str">
        <f>_xlfn.LET(_xlpm.var,◆관리정보!B590,IF(_xlpm.var&lt;&gt;0,_xlpm.var,""))</f>
        <v/>
      </c>
      <c r="C590" s="82" t="str">
        <f>_xlfn.LET(_xlpm.var,◆관리정보!C590,IF(_xlpm.var&lt;&gt;0,_xlpm.var,""))</f>
        <v/>
      </c>
      <c r="D590" s="83"/>
      <c r="E590" s="84" t="str">
        <f t="shared" si="22"/>
        <v/>
      </c>
      <c r="F590" s="87"/>
      <c r="G590" s="229"/>
      <c r="H590" s="229"/>
      <c r="I590" s="229"/>
      <c r="J590" s="229"/>
      <c r="K590" s="218"/>
      <c r="L590" s="87"/>
      <c r="M590" s="87"/>
      <c r="N590" s="82"/>
      <c r="O590" s="82"/>
      <c r="P590" s="241"/>
      <c r="Q590" s="241"/>
      <c r="R590" s="82"/>
      <c r="S590" s="241"/>
      <c r="T590" s="82"/>
      <c r="U590" s="241"/>
      <c r="V590" s="82"/>
      <c r="W590" s="88"/>
      <c r="X590" s="82"/>
      <c r="Y590" s="89"/>
      <c r="Z590" s="82"/>
      <c r="AA590" s="90"/>
      <c r="AB590" s="241"/>
      <c r="AC590" s="241"/>
      <c r="AD590" s="241"/>
      <c r="AE590" s="82"/>
      <c r="AF590" s="82"/>
      <c r="AG590" s="90"/>
      <c r="AH590" s="90"/>
      <c r="AI590" s="90"/>
      <c r="AJ590" s="90"/>
      <c r="AK590" s="82"/>
      <c r="AL590" s="82" t="str" cm="1">
        <f t="array" aca="1" ref="AL590" ca="1">_xlfn.IFS(
 AND($AK590&lt;&gt;"", M590&lt;&gt;0, M590&lt;=EDATE(TODAY(),2)),"도래",
 AND($AK590&lt;&gt;"", M590&lt;&gt;0, M590&lt;=EDATE(TODAY(),3)),"예정",
 AND($AK590&lt;&gt;"", M590&lt;&gt;0, M590&lt;=EDATE(TODAY(),6)),"관심",
 TRUE,""
)</f>
        <v/>
      </c>
      <c r="AM590" s="86"/>
    </row>
    <row r="591" spans="1:39" ht="18" customHeight="1">
      <c r="A591" s="81"/>
      <c r="B591" s="205" t="str">
        <f>_xlfn.LET(_xlpm.var,◆관리정보!B591,IF(_xlpm.var&lt;&gt;0,_xlpm.var,""))</f>
        <v/>
      </c>
      <c r="C591" s="82" t="str">
        <f>_xlfn.LET(_xlpm.var,◆관리정보!C591,IF(_xlpm.var&lt;&gt;0,_xlpm.var,""))</f>
        <v/>
      </c>
      <c r="D591" s="83"/>
      <c r="E591" s="84" t="str">
        <f t="shared" si="22"/>
        <v/>
      </c>
      <c r="F591" s="87"/>
      <c r="G591" s="229"/>
      <c r="H591" s="229"/>
      <c r="I591" s="229"/>
      <c r="J591" s="229"/>
      <c r="K591" s="218"/>
      <c r="L591" s="87"/>
      <c r="M591" s="87"/>
      <c r="N591" s="82"/>
      <c r="O591" s="82"/>
      <c r="P591" s="241"/>
      <c r="Q591" s="241"/>
      <c r="R591" s="82"/>
      <c r="S591" s="241"/>
      <c r="T591" s="82"/>
      <c r="U591" s="241"/>
      <c r="V591" s="82"/>
      <c r="W591" s="88"/>
      <c r="X591" s="82"/>
      <c r="Y591" s="89"/>
      <c r="Z591" s="82"/>
      <c r="AA591" s="90"/>
      <c r="AB591" s="241"/>
      <c r="AC591" s="241"/>
      <c r="AD591" s="241"/>
      <c r="AE591" s="82"/>
      <c r="AF591" s="82"/>
      <c r="AG591" s="90"/>
      <c r="AH591" s="90"/>
      <c r="AI591" s="90"/>
      <c r="AJ591" s="90"/>
      <c r="AK591" s="82"/>
      <c r="AL591" s="82" t="str" cm="1">
        <f t="array" aca="1" ref="AL591" ca="1">_xlfn.IFS(
 AND($AK591&lt;&gt;"", M591&lt;&gt;0, M591&lt;=EDATE(TODAY(),2)),"도래",
 AND($AK591&lt;&gt;"", M591&lt;&gt;0, M591&lt;=EDATE(TODAY(),3)),"예정",
 AND($AK591&lt;&gt;"", M591&lt;&gt;0, M591&lt;=EDATE(TODAY(),6)),"관심",
 TRUE,""
)</f>
        <v/>
      </c>
      <c r="AM591" s="86"/>
    </row>
    <row r="592" spans="1:39" ht="18" customHeight="1">
      <c r="A592" s="81"/>
      <c r="B592" s="205" t="str">
        <f>_xlfn.LET(_xlpm.var,◆관리정보!B592,IF(_xlpm.var&lt;&gt;0,_xlpm.var,""))</f>
        <v/>
      </c>
      <c r="C592" s="82" t="str">
        <f>_xlfn.LET(_xlpm.var,◆관리정보!C592,IF(_xlpm.var&lt;&gt;0,_xlpm.var,""))</f>
        <v/>
      </c>
      <c r="D592" s="83"/>
      <c r="E592" s="84" t="str">
        <f t="shared" si="22"/>
        <v/>
      </c>
      <c r="F592" s="87"/>
      <c r="G592" s="229"/>
      <c r="H592" s="229"/>
      <c r="I592" s="229"/>
      <c r="J592" s="229"/>
      <c r="K592" s="218"/>
      <c r="L592" s="87"/>
      <c r="M592" s="87"/>
      <c r="N592" s="82"/>
      <c r="O592" s="82"/>
      <c r="P592" s="241"/>
      <c r="Q592" s="241"/>
      <c r="R592" s="82"/>
      <c r="S592" s="241"/>
      <c r="T592" s="82"/>
      <c r="U592" s="241"/>
      <c r="V592" s="82"/>
      <c r="W592" s="88"/>
      <c r="X592" s="82"/>
      <c r="Y592" s="89"/>
      <c r="Z592" s="82"/>
      <c r="AA592" s="90"/>
      <c r="AB592" s="241"/>
      <c r="AC592" s="241"/>
      <c r="AD592" s="241"/>
      <c r="AE592" s="82"/>
      <c r="AF592" s="82"/>
      <c r="AG592" s="90"/>
      <c r="AH592" s="90"/>
      <c r="AI592" s="90"/>
      <c r="AJ592" s="90"/>
      <c r="AK592" s="82"/>
      <c r="AL592" s="82" t="str" cm="1">
        <f t="array" aca="1" ref="AL592" ca="1">_xlfn.IFS(
 AND($AK592&lt;&gt;"", M592&lt;&gt;0, M592&lt;=EDATE(TODAY(),2)),"도래",
 AND($AK592&lt;&gt;"", M592&lt;&gt;0, M592&lt;=EDATE(TODAY(),3)),"예정",
 AND($AK592&lt;&gt;"", M592&lt;&gt;0, M592&lt;=EDATE(TODAY(),6)),"관심",
 TRUE,""
)</f>
        <v/>
      </c>
      <c r="AM592" s="86"/>
    </row>
    <row r="593" spans="1:39" ht="18" customHeight="1">
      <c r="A593" s="81"/>
      <c r="B593" s="205" t="str">
        <f>_xlfn.LET(_xlpm.var,◆관리정보!B593,IF(_xlpm.var&lt;&gt;0,_xlpm.var,""))</f>
        <v/>
      </c>
      <c r="C593" s="82" t="str">
        <f>_xlfn.LET(_xlpm.var,◆관리정보!C593,IF(_xlpm.var&lt;&gt;0,_xlpm.var,""))</f>
        <v/>
      </c>
      <c r="D593" s="83"/>
      <c r="E593" s="84" t="str">
        <f t="shared" si="22"/>
        <v/>
      </c>
      <c r="F593" s="87"/>
      <c r="G593" s="229"/>
      <c r="H593" s="229"/>
      <c r="I593" s="229"/>
      <c r="J593" s="229"/>
      <c r="K593" s="218"/>
      <c r="L593" s="87"/>
      <c r="M593" s="87"/>
      <c r="N593" s="82"/>
      <c r="O593" s="82"/>
      <c r="P593" s="241"/>
      <c r="Q593" s="241"/>
      <c r="R593" s="82"/>
      <c r="S593" s="241"/>
      <c r="T593" s="82"/>
      <c r="U593" s="241"/>
      <c r="V593" s="82"/>
      <c r="W593" s="88"/>
      <c r="X593" s="82"/>
      <c r="Y593" s="89"/>
      <c r="Z593" s="82"/>
      <c r="AA593" s="90"/>
      <c r="AB593" s="241"/>
      <c r="AC593" s="241"/>
      <c r="AD593" s="241"/>
      <c r="AE593" s="82"/>
      <c r="AF593" s="82"/>
      <c r="AG593" s="90"/>
      <c r="AH593" s="90"/>
      <c r="AI593" s="90"/>
      <c r="AJ593" s="90"/>
      <c r="AK593" s="82"/>
      <c r="AL593" s="82" t="str" cm="1">
        <f t="array" aca="1" ref="AL593" ca="1">_xlfn.IFS(
 AND($AK593&lt;&gt;"", M593&lt;&gt;0, M593&lt;=EDATE(TODAY(),2)),"도래",
 AND($AK593&lt;&gt;"", M593&lt;&gt;0, M593&lt;=EDATE(TODAY(),3)),"예정",
 AND($AK593&lt;&gt;"", M593&lt;&gt;0, M593&lt;=EDATE(TODAY(),6)),"관심",
 TRUE,""
)</f>
        <v/>
      </c>
      <c r="AM593" s="86"/>
    </row>
    <row r="594" spans="1:39" ht="18" customHeight="1">
      <c r="A594" s="81"/>
      <c r="B594" s="205" t="str">
        <f>_xlfn.LET(_xlpm.var,◆관리정보!B594,IF(_xlpm.var&lt;&gt;0,_xlpm.var,""))</f>
        <v/>
      </c>
      <c r="C594" s="82" t="str">
        <f>_xlfn.LET(_xlpm.var,◆관리정보!C594,IF(_xlpm.var&lt;&gt;0,_xlpm.var,""))</f>
        <v/>
      </c>
      <c r="D594" s="83"/>
      <c r="E594" s="84" t="str">
        <f t="shared" si="22"/>
        <v/>
      </c>
      <c r="F594" s="87"/>
      <c r="G594" s="229"/>
      <c r="H594" s="229"/>
      <c r="I594" s="229"/>
      <c r="J594" s="229"/>
      <c r="K594" s="218"/>
      <c r="L594" s="87"/>
      <c r="M594" s="87"/>
      <c r="N594" s="82"/>
      <c r="O594" s="82"/>
      <c r="P594" s="241"/>
      <c r="Q594" s="241"/>
      <c r="R594" s="82"/>
      <c r="S594" s="241"/>
      <c r="T594" s="82"/>
      <c r="U594" s="241"/>
      <c r="V594" s="82"/>
      <c r="W594" s="88"/>
      <c r="X594" s="82"/>
      <c r="Y594" s="89"/>
      <c r="Z594" s="82"/>
      <c r="AA594" s="90"/>
      <c r="AB594" s="241"/>
      <c r="AC594" s="241"/>
      <c r="AD594" s="241"/>
      <c r="AE594" s="82"/>
      <c r="AF594" s="82"/>
      <c r="AG594" s="90"/>
      <c r="AH594" s="90"/>
      <c r="AI594" s="90"/>
      <c r="AJ594" s="90"/>
      <c r="AK594" s="82"/>
      <c r="AL594" s="82" t="str" cm="1">
        <f t="array" aca="1" ref="AL594" ca="1">_xlfn.IFS(
 AND($AK594&lt;&gt;"", M594&lt;&gt;0, M594&lt;=EDATE(TODAY(),2)),"도래",
 AND($AK594&lt;&gt;"", M594&lt;&gt;0, M594&lt;=EDATE(TODAY(),3)),"예정",
 AND($AK594&lt;&gt;"", M594&lt;&gt;0, M594&lt;=EDATE(TODAY(),6)),"관심",
 TRUE,""
)</f>
        <v/>
      </c>
      <c r="AM594" s="86"/>
    </row>
    <row r="595" spans="1:39" ht="18" customHeight="1">
      <c r="A595" s="81"/>
      <c r="B595" s="205" t="str">
        <f>_xlfn.LET(_xlpm.var,◆관리정보!B595,IF(_xlpm.var&lt;&gt;0,_xlpm.var,""))</f>
        <v/>
      </c>
      <c r="C595" s="82" t="str">
        <f>_xlfn.LET(_xlpm.var,◆관리정보!C595,IF(_xlpm.var&lt;&gt;0,_xlpm.var,""))</f>
        <v/>
      </c>
      <c r="D595" s="83"/>
      <c r="E595" s="84" t="str">
        <f t="shared" si="22"/>
        <v/>
      </c>
      <c r="F595" s="87"/>
      <c r="G595" s="229"/>
      <c r="H595" s="229"/>
      <c r="I595" s="229"/>
      <c r="J595" s="229"/>
      <c r="K595" s="218"/>
      <c r="L595" s="87"/>
      <c r="M595" s="87"/>
      <c r="N595" s="82"/>
      <c r="O595" s="82"/>
      <c r="P595" s="241"/>
      <c r="Q595" s="241"/>
      <c r="R595" s="82"/>
      <c r="S595" s="241"/>
      <c r="T595" s="82"/>
      <c r="U595" s="241"/>
      <c r="V595" s="82"/>
      <c r="W595" s="88"/>
      <c r="X595" s="82"/>
      <c r="Y595" s="89"/>
      <c r="Z595" s="82"/>
      <c r="AA595" s="90"/>
      <c r="AB595" s="241"/>
      <c r="AC595" s="241"/>
      <c r="AD595" s="241"/>
      <c r="AE595" s="82"/>
      <c r="AF595" s="82"/>
      <c r="AG595" s="90"/>
      <c r="AH595" s="90"/>
      <c r="AI595" s="90"/>
      <c r="AJ595" s="90"/>
      <c r="AK595" s="82"/>
      <c r="AL595" s="82" t="str" cm="1">
        <f t="array" aca="1" ref="AL595" ca="1">_xlfn.IFS(
 AND($AK595&lt;&gt;"", M595&lt;&gt;0, M595&lt;=EDATE(TODAY(),2)),"도래",
 AND($AK595&lt;&gt;"", M595&lt;&gt;0, M595&lt;=EDATE(TODAY(),3)),"예정",
 AND($AK595&lt;&gt;"", M595&lt;&gt;0, M595&lt;=EDATE(TODAY(),6)),"관심",
 TRUE,""
)</f>
        <v/>
      </c>
      <c r="AM595" s="86"/>
    </row>
    <row r="596" spans="1:39" ht="18" customHeight="1">
      <c r="A596" s="81"/>
      <c r="B596" s="205" t="str">
        <f>_xlfn.LET(_xlpm.var,◆관리정보!B596,IF(_xlpm.var&lt;&gt;0,_xlpm.var,""))</f>
        <v/>
      </c>
      <c r="C596" s="82" t="str">
        <f>_xlfn.LET(_xlpm.var,◆관리정보!C596,IF(_xlpm.var&lt;&gt;0,_xlpm.var,""))</f>
        <v/>
      </c>
      <c r="D596" s="83"/>
      <c r="E596" s="84" t="str">
        <f t="shared" si="22"/>
        <v/>
      </c>
      <c r="F596" s="87"/>
      <c r="G596" s="229"/>
      <c r="H596" s="229"/>
      <c r="I596" s="229"/>
      <c r="J596" s="229"/>
      <c r="K596" s="218"/>
      <c r="L596" s="87"/>
      <c r="M596" s="87"/>
      <c r="N596" s="82"/>
      <c r="O596" s="82"/>
      <c r="P596" s="241"/>
      <c r="Q596" s="241"/>
      <c r="R596" s="82"/>
      <c r="S596" s="241"/>
      <c r="T596" s="82"/>
      <c r="U596" s="241"/>
      <c r="V596" s="82"/>
      <c r="W596" s="88"/>
      <c r="X596" s="82"/>
      <c r="Y596" s="89"/>
      <c r="Z596" s="82"/>
      <c r="AA596" s="90"/>
      <c r="AB596" s="241"/>
      <c r="AC596" s="241"/>
      <c r="AD596" s="241"/>
      <c r="AE596" s="82"/>
      <c r="AF596" s="82"/>
      <c r="AG596" s="90"/>
      <c r="AH596" s="90"/>
      <c r="AI596" s="90"/>
      <c r="AJ596" s="90"/>
      <c r="AK596" s="82"/>
      <c r="AL596" s="82" t="str" cm="1">
        <f t="array" aca="1" ref="AL596" ca="1">_xlfn.IFS(
 AND($AK596&lt;&gt;"", M596&lt;&gt;0, M596&lt;=EDATE(TODAY(),2)),"도래",
 AND($AK596&lt;&gt;"", M596&lt;&gt;0, M596&lt;=EDATE(TODAY(),3)),"예정",
 AND($AK596&lt;&gt;"", M596&lt;&gt;0, M596&lt;=EDATE(TODAY(),6)),"관심",
 TRUE,""
)</f>
        <v/>
      </c>
      <c r="AM596" s="86"/>
    </row>
    <row r="597" spans="1:39" ht="18" customHeight="1">
      <c r="A597" s="81"/>
      <c r="B597" s="205" t="str">
        <f>_xlfn.LET(_xlpm.var,◆관리정보!B597,IF(_xlpm.var&lt;&gt;0,_xlpm.var,""))</f>
        <v/>
      </c>
      <c r="C597" s="82" t="str">
        <f>_xlfn.LET(_xlpm.var,◆관리정보!C597,IF(_xlpm.var&lt;&gt;0,_xlpm.var,""))</f>
        <v/>
      </c>
      <c r="D597" s="83"/>
      <c r="E597" s="84" t="str">
        <f t="shared" si="22"/>
        <v/>
      </c>
      <c r="F597" s="87"/>
      <c r="G597" s="229"/>
      <c r="H597" s="229"/>
      <c r="I597" s="229"/>
      <c r="J597" s="229"/>
      <c r="K597" s="218"/>
      <c r="L597" s="87"/>
      <c r="M597" s="87"/>
      <c r="N597" s="82"/>
      <c r="O597" s="82"/>
      <c r="P597" s="241"/>
      <c r="Q597" s="241"/>
      <c r="R597" s="82"/>
      <c r="S597" s="241"/>
      <c r="T597" s="82"/>
      <c r="U597" s="241"/>
      <c r="V597" s="82"/>
      <c r="W597" s="88"/>
      <c r="X597" s="82"/>
      <c r="Y597" s="89"/>
      <c r="Z597" s="82"/>
      <c r="AA597" s="90"/>
      <c r="AB597" s="241"/>
      <c r="AC597" s="241"/>
      <c r="AD597" s="241"/>
      <c r="AE597" s="82"/>
      <c r="AF597" s="82"/>
      <c r="AG597" s="90"/>
      <c r="AH597" s="90"/>
      <c r="AI597" s="90"/>
      <c r="AJ597" s="90"/>
      <c r="AK597" s="82"/>
      <c r="AL597" s="82" t="str" cm="1">
        <f t="array" aca="1" ref="AL597" ca="1">_xlfn.IFS(
 AND($AK597&lt;&gt;"", M597&lt;&gt;0, M597&lt;=EDATE(TODAY(),2)),"도래",
 AND($AK597&lt;&gt;"", M597&lt;&gt;0, M597&lt;=EDATE(TODAY(),3)),"예정",
 AND($AK597&lt;&gt;"", M597&lt;&gt;0, M597&lt;=EDATE(TODAY(),6)),"관심",
 TRUE,""
)</f>
        <v/>
      </c>
      <c r="AM597" s="86"/>
    </row>
    <row r="598" spans="1:39" ht="18" customHeight="1">
      <c r="A598" s="81"/>
      <c r="B598" s="205" t="str">
        <f>_xlfn.LET(_xlpm.var,◆관리정보!B598,IF(_xlpm.var&lt;&gt;0,_xlpm.var,""))</f>
        <v/>
      </c>
      <c r="C598" s="82" t="str">
        <f>_xlfn.LET(_xlpm.var,◆관리정보!C598,IF(_xlpm.var&lt;&gt;0,_xlpm.var,""))</f>
        <v/>
      </c>
      <c r="D598" s="83"/>
      <c r="E598" s="84" t="str">
        <f t="shared" si="22"/>
        <v/>
      </c>
      <c r="F598" s="87"/>
      <c r="G598" s="229"/>
      <c r="H598" s="229"/>
      <c r="I598" s="229"/>
      <c r="J598" s="229"/>
      <c r="K598" s="218"/>
      <c r="L598" s="87"/>
      <c r="M598" s="87"/>
      <c r="N598" s="82"/>
      <c r="O598" s="82"/>
      <c r="P598" s="241"/>
      <c r="Q598" s="241"/>
      <c r="R598" s="82"/>
      <c r="S598" s="241"/>
      <c r="T598" s="82"/>
      <c r="U598" s="241"/>
      <c r="V598" s="82"/>
      <c r="W598" s="88"/>
      <c r="X598" s="82"/>
      <c r="Y598" s="89"/>
      <c r="Z598" s="82"/>
      <c r="AA598" s="90"/>
      <c r="AB598" s="241"/>
      <c r="AC598" s="241"/>
      <c r="AD598" s="241"/>
      <c r="AE598" s="82"/>
      <c r="AF598" s="82"/>
      <c r="AG598" s="90"/>
      <c r="AH598" s="90"/>
      <c r="AI598" s="90"/>
      <c r="AJ598" s="90"/>
      <c r="AK598" s="82"/>
      <c r="AL598" s="82" t="str" cm="1">
        <f t="array" aca="1" ref="AL598" ca="1">_xlfn.IFS(
 AND($AK598&lt;&gt;"", M598&lt;&gt;0, M598&lt;=EDATE(TODAY(),2)),"도래",
 AND($AK598&lt;&gt;"", M598&lt;&gt;0, M598&lt;=EDATE(TODAY(),3)),"예정",
 AND($AK598&lt;&gt;"", M598&lt;&gt;0, M598&lt;=EDATE(TODAY(),6)),"관심",
 TRUE,""
)</f>
        <v/>
      </c>
      <c r="AM598" s="86"/>
    </row>
    <row r="599" spans="1:39" ht="18" customHeight="1">
      <c r="A599" s="81"/>
      <c r="B599" s="205" t="str">
        <f>_xlfn.LET(_xlpm.var,◆관리정보!B599,IF(_xlpm.var&lt;&gt;0,_xlpm.var,""))</f>
        <v/>
      </c>
      <c r="C599" s="82" t="str">
        <f>_xlfn.LET(_xlpm.var,◆관리정보!C599,IF(_xlpm.var&lt;&gt;0,_xlpm.var,""))</f>
        <v/>
      </c>
      <c r="D599" s="83"/>
      <c r="E599" s="84" t="str">
        <f t="shared" si="22"/>
        <v/>
      </c>
      <c r="F599" s="87"/>
      <c r="G599" s="229"/>
      <c r="H599" s="229"/>
      <c r="I599" s="229"/>
      <c r="J599" s="229"/>
      <c r="K599" s="218"/>
      <c r="L599" s="87"/>
      <c r="M599" s="87"/>
      <c r="N599" s="82"/>
      <c r="O599" s="82"/>
      <c r="P599" s="241"/>
      <c r="Q599" s="241"/>
      <c r="R599" s="82"/>
      <c r="S599" s="241"/>
      <c r="T599" s="82"/>
      <c r="U599" s="241"/>
      <c r="V599" s="82"/>
      <c r="W599" s="88"/>
      <c r="X599" s="82"/>
      <c r="Y599" s="89"/>
      <c r="Z599" s="82"/>
      <c r="AA599" s="90"/>
      <c r="AB599" s="241"/>
      <c r="AC599" s="241"/>
      <c r="AD599" s="241"/>
      <c r="AE599" s="82"/>
      <c r="AF599" s="82"/>
      <c r="AG599" s="90"/>
      <c r="AH599" s="90"/>
      <c r="AI599" s="90"/>
      <c r="AJ599" s="90"/>
      <c r="AK599" s="82"/>
      <c r="AL599" s="82" t="str" cm="1">
        <f t="array" aca="1" ref="AL599" ca="1">_xlfn.IFS(
 AND($AK599&lt;&gt;"", M599&lt;&gt;0, M599&lt;=EDATE(TODAY(),2)),"도래",
 AND($AK599&lt;&gt;"", M599&lt;&gt;0, M599&lt;=EDATE(TODAY(),3)),"예정",
 AND($AK599&lt;&gt;"", M599&lt;&gt;0, M599&lt;=EDATE(TODAY(),6)),"관심",
 TRUE,""
)</f>
        <v/>
      </c>
      <c r="AM599" s="86"/>
    </row>
    <row r="600" spans="1:39" ht="18" customHeight="1">
      <c r="A600" s="81"/>
      <c r="B600" s="205" t="str">
        <f>_xlfn.LET(_xlpm.var,◆관리정보!B600,IF(_xlpm.var&lt;&gt;0,_xlpm.var,""))</f>
        <v/>
      </c>
      <c r="C600" s="82" t="str">
        <f>_xlfn.LET(_xlpm.var,◆관리정보!C600,IF(_xlpm.var&lt;&gt;0,_xlpm.var,""))</f>
        <v/>
      </c>
      <c r="D600" s="83"/>
      <c r="E600" s="84" t="str">
        <f t="shared" si="22"/>
        <v/>
      </c>
      <c r="F600" s="87"/>
      <c r="G600" s="229"/>
      <c r="H600" s="229"/>
      <c r="I600" s="229"/>
      <c r="J600" s="229"/>
      <c r="K600" s="218"/>
      <c r="L600" s="87"/>
      <c r="M600" s="87"/>
      <c r="N600" s="82"/>
      <c r="O600" s="82"/>
      <c r="P600" s="241"/>
      <c r="Q600" s="241"/>
      <c r="R600" s="82"/>
      <c r="S600" s="241"/>
      <c r="T600" s="82"/>
      <c r="U600" s="241"/>
      <c r="V600" s="82"/>
      <c r="W600" s="88"/>
      <c r="X600" s="82"/>
      <c r="Y600" s="89"/>
      <c r="Z600" s="82"/>
      <c r="AA600" s="90"/>
      <c r="AB600" s="241"/>
      <c r="AC600" s="241"/>
      <c r="AD600" s="241"/>
      <c r="AE600" s="82"/>
      <c r="AF600" s="82"/>
      <c r="AG600" s="90"/>
      <c r="AH600" s="90"/>
      <c r="AI600" s="90"/>
      <c r="AJ600" s="90"/>
      <c r="AK600" s="82"/>
      <c r="AL600" s="82" t="str" cm="1">
        <f t="array" aca="1" ref="AL600" ca="1">_xlfn.IFS(
 AND($AK600&lt;&gt;"", M600&lt;&gt;0, M600&lt;=EDATE(TODAY(),2)),"도래",
 AND($AK600&lt;&gt;"", M600&lt;&gt;0, M600&lt;=EDATE(TODAY(),3)),"예정",
 AND($AK600&lt;&gt;"", M600&lt;&gt;0, M600&lt;=EDATE(TODAY(),6)),"관심",
 TRUE,""
)</f>
        <v/>
      </c>
      <c r="AM600" s="86"/>
    </row>
    <row r="601" spans="1:39" ht="18" customHeight="1">
      <c r="A601" s="81"/>
      <c r="B601" s="205" t="str">
        <f>_xlfn.LET(_xlpm.var,◆관리정보!B601,IF(_xlpm.var&lt;&gt;0,_xlpm.var,""))</f>
        <v/>
      </c>
      <c r="C601" s="82" t="str">
        <f>_xlfn.LET(_xlpm.var,◆관리정보!C601,IF(_xlpm.var&lt;&gt;0,_xlpm.var,""))</f>
        <v/>
      </c>
      <c r="D601" s="83"/>
      <c r="E601" s="84" t="str">
        <f t="shared" si="22"/>
        <v/>
      </c>
      <c r="F601" s="87"/>
      <c r="G601" s="229"/>
      <c r="H601" s="229"/>
      <c r="I601" s="229"/>
      <c r="J601" s="229"/>
      <c r="K601" s="218"/>
      <c r="L601" s="87"/>
      <c r="M601" s="87"/>
      <c r="N601" s="82"/>
      <c r="O601" s="82"/>
      <c r="P601" s="241"/>
      <c r="Q601" s="241"/>
      <c r="R601" s="82"/>
      <c r="S601" s="241"/>
      <c r="T601" s="82"/>
      <c r="U601" s="241"/>
      <c r="V601" s="82"/>
      <c r="W601" s="88"/>
      <c r="X601" s="82"/>
      <c r="Y601" s="89"/>
      <c r="Z601" s="82"/>
      <c r="AA601" s="90"/>
      <c r="AB601" s="241"/>
      <c r="AC601" s="241"/>
      <c r="AD601" s="241"/>
      <c r="AE601" s="82"/>
      <c r="AF601" s="82"/>
      <c r="AG601" s="90"/>
      <c r="AH601" s="90"/>
      <c r="AI601" s="90"/>
      <c r="AJ601" s="90"/>
      <c r="AK601" s="82"/>
      <c r="AL601" s="82" t="str" cm="1">
        <f t="array" aca="1" ref="AL601" ca="1">_xlfn.IFS(
 AND($AK601&lt;&gt;"", M601&lt;&gt;0, M601&lt;=EDATE(TODAY(),2)),"도래",
 AND($AK601&lt;&gt;"", M601&lt;&gt;0, M601&lt;=EDATE(TODAY(),3)),"예정",
 AND($AK601&lt;&gt;"", M601&lt;&gt;0, M601&lt;=EDATE(TODAY(),6)),"관심",
 TRUE,""
)</f>
        <v/>
      </c>
      <c r="AM601" s="86"/>
    </row>
    <row r="602" spans="1:39" ht="18" customHeight="1">
      <c r="A602" s="81"/>
      <c r="B602" s="205" t="str">
        <f>_xlfn.LET(_xlpm.var,◆관리정보!B602,IF(_xlpm.var&lt;&gt;0,_xlpm.var,""))</f>
        <v/>
      </c>
      <c r="C602" s="82" t="str">
        <f>_xlfn.LET(_xlpm.var,◆관리정보!C602,IF(_xlpm.var&lt;&gt;0,_xlpm.var,""))</f>
        <v/>
      </c>
      <c r="D602" s="83"/>
      <c r="E602" s="84" t="str">
        <f t="shared" si="22"/>
        <v/>
      </c>
      <c r="F602" s="87"/>
      <c r="G602" s="229"/>
      <c r="H602" s="229"/>
      <c r="I602" s="229"/>
      <c r="J602" s="229"/>
      <c r="K602" s="218"/>
      <c r="L602" s="87"/>
      <c r="M602" s="87"/>
      <c r="N602" s="82"/>
      <c r="O602" s="82"/>
      <c r="P602" s="241"/>
      <c r="Q602" s="241"/>
      <c r="R602" s="82"/>
      <c r="S602" s="241"/>
      <c r="T602" s="82"/>
      <c r="U602" s="241"/>
      <c r="V602" s="82"/>
      <c r="W602" s="88"/>
      <c r="X602" s="82"/>
      <c r="Y602" s="89"/>
      <c r="Z602" s="82"/>
      <c r="AA602" s="90"/>
      <c r="AB602" s="241"/>
      <c r="AC602" s="241"/>
      <c r="AD602" s="241"/>
      <c r="AE602" s="82"/>
      <c r="AF602" s="82"/>
      <c r="AG602" s="90"/>
      <c r="AH602" s="90"/>
      <c r="AI602" s="90"/>
      <c r="AJ602" s="90"/>
      <c r="AK602" s="82"/>
      <c r="AL602" s="82" t="str" cm="1">
        <f t="array" aca="1" ref="AL602" ca="1">_xlfn.IFS(
 AND($AK602&lt;&gt;"", M602&lt;&gt;0, M602&lt;=EDATE(TODAY(),2)),"도래",
 AND($AK602&lt;&gt;"", M602&lt;&gt;0, M602&lt;=EDATE(TODAY(),3)),"예정",
 AND($AK602&lt;&gt;"", M602&lt;&gt;0, M602&lt;=EDATE(TODAY(),6)),"관심",
 TRUE,""
)</f>
        <v/>
      </c>
      <c r="AM602" s="86"/>
    </row>
    <row r="603" spans="1:39" ht="18" customHeight="1">
      <c r="A603" s="81"/>
      <c r="B603" s="205" t="str">
        <f>_xlfn.LET(_xlpm.var,◆관리정보!B603,IF(_xlpm.var&lt;&gt;0,_xlpm.var,""))</f>
        <v/>
      </c>
      <c r="C603" s="82" t="str">
        <f>_xlfn.LET(_xlpm.var,◆관리정보!C603,IF(_xlpm.var&lt;&gt;0,_xlpm.var,""))</f>
        <v/>
      </c>
      <c r="D603" s="83"/>
      <c r="E603" s="84" t="str">
        <f t="shared" si="22"/>
        <v/>
      </c>
      <c r="F603" s="87"/>
      <c r="G603" s="229"/>
      <c r="H603" s="229"/>
      <c r="I603" s="229"/>
      <c r="J603" s="229"/>
      <c r="K603" s="218"/>
      <c r="L603" s="87"/>
      <c r="M603" s="87"/>
      <c r="N603" s="82"/>
      <c r="O603" s="82"/>
      <c r="P603" s="241"/>
      <c r="Q603" s="241"/>
      <c r="R603" s="82"/>
      <c r="S603" s="241"/>
      <c r="T603" s="82"/>
      <c r="U603" s="241"/>
      <c r="V603" s="82"/>
      <c r="W603" s="88"/>
      <c r="X603" s="82"/>
      <c r="Y603" s="89"/>
      <c r="Z603" s="82"/>
      <c r="AA603" s="90"/>
      <c r="AB603" s="241"/>
      <c r="AC603" s="241"/>
      <c r="AD603" s="241"/>
      <c r="AE603" s="82"/>
      <c r="AF603" s="82"/>
      <c r="AG603" s="90"/>
      <c r="AH603" s="90"/>
      <c r="AI603" s="90"/>
      <c r="AJ603" s="90"/>
      <c r="AK603" s="82"/>
      <c r="AL603" s="82" t="str" cm="1">
        <f t="array" aca="1" ref="AL603" ca="1">_xlfn.IFS(
 AND($AK603&lt;&gt;"", M603&lt;&gt;0, M603&lt;=EDATE(TODAY(),2)),"도래",
 AND($AK603&lt;&gt;"", M603&lt;&gt;0, M603&lt;=EDATE(TODAY(),3)),"예정",
 AND($AK603&lt;&gt;"", M603&lt;&gt;0, M603&lt;=EDATE(TODAY(),6)),"관심",
 TRUE,""
)</f>
        <v/>
      </c>
      <c r="AM603" s="86"/>
    </row>
    <row r="604" spans="1:39" ht="18" customHeight="1">
      <c r="A604" s="81"/>
      <c r="B604" s="205" t="str">
        <f>_xlfn.LET(_xlpm.var,◆관리정보!B604,IF(_xlpm.var&lt;&gt;0,_xlpm.var,""))</f>
        <v/>
      </c>
      <c r="C604" s="82" t="str">
        <f>_xlfn.LET(_xlpm.var,◆관리정보!C604,IF(_xlpm.var&lt;&gt;0,_xlpm.var,""))</f>
        <v/>
      </c>
      <c r="D604" s="83"/>
      <c r="E604" s="84" t="str">
        <f t="shared" si="22"/>
        <v/>
      </c>
      <c r="F604" s="87"/>
      <c r="G604" s="229"/>
      <c r="H604" s="229"/>
      <c r="I604" s="229"/>
      <c r="J604" s="229"/>
      <c r="K604" s="218"/>
      <c r="L604" s="87"/>
      <c r="M604" s="87"/>
      <c r="N604" s="82"/>
      <c r="O604" s="82"/>
      <c r="P604" s="241"/>
      <c r="Q604" s="241"/>
      <c r="R604" s="82"/>
      <c r="S604" s="241"/>
      <c r="T604" s="82"/>
      <c r="U604" s="241"/>
      <c r="V604" s="82"/>
      <c r="W604" s="88"/>
      <c r="X604" s="82"/>
      <c r="Y604" s="89"/>
      <c r="Z604" s="82"/>
      <c r="AA604" s="90"/>
      <c r="AB604" s="241"/>
      <c r="AC604" s="241"/>
      <c r="AD604" s="241"/>
      <c r="AE604" s="82"/>
      <c r="AF604" s="82"/>
      <c r="AG604" s="90"/>
      <c r="AH604" s="90"/>
      <c r="AI604" s="90"/>
      <c r="AJ604" s="90"/>
      <c r="AK604" s="82"/>
      <c r="AL604" s="82" t="str" cm="1">
        <f t="array" aca="1" ref="AL604" ca="1">_xlfn.IFS(
 AND($AK604&lt;&gt;"", M604&lt;&gt;0, M604&lt;=EDATE(TODAY(),2)),"도래",
 AND($AK604&lt;&gt;"", M604&lt;&gt;0, M604&lt;=EDATE(TODAY(),3)),"예정",
 AND($AK604&lt;&gt;"", M604&lt;&gt;0, M604&lt;=EDATE(TODAY(),6)),"관심",
 TRUE,""
)</f>
        <v/>
      </c>
      <c r="AM604" s="86"/>
    </row>
    <row r="605" spans="1:39" ht="18" customHeight="1">
      <c r="A605" s="81"/>
      <c r="B605" s="205" t="str">
        <f>_xlfn.LET(_xlpm.var,◆관리정보!B605,IF(_xlpm.var&lt;&gt;0,_xlpm.var,""))</f>
        <v/>
      </c>
      <c r="C605" s="82" t="str">
        <f>_xlfn.LET(_xlpm.var,◆관리정보!C605,IF(_xlpm.var&lt;&gt;0,_xlpm.var,""))</f>
        <v/>
      </c>
      <c r="D605" s="83"/>
      <c r="E605" s="84" t="str">
        <f t="shared" si="22"/>
        <v/>
      </c>
      <c r="F605" s="87"/>
      <c r="G605" s="229"/>
      <c r="H605" s="229"/>
      <c r="I605" s="229"/>
      <c r="J605" s="229"/>
      <c r="K605" s="218"/>
      <c r="L605" s="87"/>
      <c r="M605" s="87"/>
      <c r="N605" s="82"/>
      <c r="O605" s="82"/>
      <c r="P605" s="241"/>
      <c r="Q605" s="241"/>
      <c r="R605" s="82"/>
      <c r="S605" s="241"/>
      <c r="T605" s="82"/>
      <c r="U605" s="241"/>
      <c r="V605" s="82"/>
      <c r="W605" s="88"/>
      <c r="X605" s="82"/>
      <c r="Y605" s="89"/>
      <c r="Z605" s="82"/>
      <c r="AA605" s="90"/>
      <c r="AB605" s="241"/>
      <c r="AC605" s="241"/>
      <c r="AD605" s="241"/>
      <c r="AE605" s="82"/>
      <c r="AF605" s="82"/>
      <c r="AG605" s="90"/>
      <c r="AH605" s="90"/>
      <c r="AI605" s="90"/>
      <c r="AJ605" s="90"/>
      <c r="AK605" s="82"/>
      <c r="AL605" s="82" t="str" cm="1">
        <f t="array" aca="1" ref="AL605" ca="1">_xlfn.IFS(
 AND($AK605&lt;&gt;"", M605&lt;&gt;0, M605&lt;=EDATE(TODAY(),2)),"도래",
 AND($AK605&lt;&gt;"", M605&lt;&gt;0, M605&lt;=EDATE(TODAY(),3)),"예정",
 AND($AK605&lt;&gt;"", M605&lt;&gt;0, M605&lt;=EDATE(TODAY(),6)),"관심",
 TRUE,""
)</f>
        <v/>
      </c>
      <c r="AM605" s="86"/>
    </row>
    <row r="606" spans="1:39" ht="18" customHeight="1">
      <c r="A606" s="81"/>
      <c r="B606" s="205" t="str">
        <f>_xlfn.LET(_xlpm.var,◆관리정보!B606,IF(_xlpm.var&lt;&gt;0,_xlpm.var,""))</f>
        <v/>
      </c>
      <c r="C606" s="82" t="str">
        <f>_xlfn.LET(_xlpm.var,◆관리정보!C606,IF(_xlpm.var&lt;&gt;0,_xlpm.var,""))</f>
        <v/>
      </c>
      <c r="D606" s="83"/>
      <c r="E606" s="84" t="str">
        <f t="shared" si="22"/>
        <v/>
      </c>
      <c r="F606" s="87"/>
      <c r="G606" s="229"/>
      <c r="H606" s="229"/>
      <c r="I606" s="229"/>
      <c r="J606" s="229"/>
      <c r="K606" s="218"/>
      <c r="L606" s="87"/>
      <c r="M606" s="87"/>
      <c r="N606" s="82"/>
      <c r="O606" s="82"/>
      <c r="P606" s="241"/>
      <c r="Q606" s="241"/>
      <c r="R606" s="82"/>
      <c r="S606" s="241"/>
      <c r="T606" s="82"/>
      <c r="U606" s="241"/>
      <c r="V606" s="82"/>
      <c r="W606" s="88"/>
      <c r="X606" s="82"/>
      <c r="Y606" s="89"/>
      <c r="Z606" s="82"/>
      <c r="AA606" s="90"/>
      <c r="AB606" s="241"/>
      <c r="AC606" s="241"/>
      <c r="AD606" s="241"/>
      <c r="AE606" s="82"/>
      <c r="AF606" s="82"/>
      <c r="AG606" s="90"/>
      <c r="AH606" s="90"/>
      <c r="AI606" s="90"/>
      <c r="AJ606" s="90"/>
      <c r="AK606" s="82"/>
      <c r="AL606" s="82" t="str" cm="1">
        <f t="array" aca="1" ref="AL606" ca="1">_xlfn.IFS(
 AND($AK606&lt;&gt;"", M606&lt;&gt;0, M606&lt;=EDATE(TODAY(),2)),"도래",
 AND($AK606&lt;&gt;"", M606&lt;&gt;0, M606&lt;=EDATE(TODAY(),3)),"예정",
 AND($AK606&lt;&gt;"", M606&lt;&gt;0, M606&lt;=EDATE(TODAY(),6)),"관심",
 TRUE,""
)</f>
        <v/>
      </c>
      <c r="AM606" s="86"/>
    </row>
    <row r="607" spans="1:39" ht="18" customHeight="1">
      <c r="A607" s="81"/>
      <c r="B607" s="205" t="str">
        <f>_xlfn.LET(_xlpm.var,◆관리정보!B607,IF(_xlpm.var&lt;&gt;0,_xlpm.var,""))</f>
        <v/>
      </c>
      <c r="C607" s="82" t="str">
        <f>_xlfn.LET(_xlpm.var,◆관리정보!C607,IF(_xlpm.var&lt;&gt;0,_xlpm.var,""))</f>
        <v/>
      </c>
      <c r="D607" s="83"/>
      <c r="E607" s="84" t="str">
        <f t="shared" si="22"/>
        <v/>
      </c>
      <c r="F607" s="87"/>
      <c r="G607" s="229"/>
      <c r="H607" s="229"/>
      <c r="I607" s="229"/>
      <c r="J607" s="229"/>
      <c r="K607" s="218"/>
      <c r="L607" s="87"/>
      <c r="M607" s="87"/>
      <c r="N607" s="82"/>
      <c r="O607" s="82"/>
      <c r="P607" s="241"/>
      <c r="Q607" s="241"/>
      <c r="R607" s="82"/>
      <c r="S607" s="241"/>
      <c r="T607" s="82"/>
      <c r="U607" s="241"/>
      <c r="V607" s="82"/>
      <c r="W607" s="88"/>
      <c r="X607" s="82"/>
      <c r="Y607" s="89"/>
      <c r="Z607" s="82"/>
      <c r="AA607" s="90"/>
      <c r="AB607" s="241"/>
      <c r="AC607" s="241"/>
      <c r="AD607" s="241"/>
      <c r="AE607" s="82"/>
      <c r="AF607" s="82"/>
      <c r="AG607" s="90"/>
      <c r="AH607" s="90"/>
      <c r="AI607" s="90"/>
      <c r="AJ607" s="90"/>
      <c r="AK607" s="82"/>
      <c r="AL607" s="82" t="str" cm="1">
        <f t="array" aca="1" ref="AL607" ca="1">_xlfn.IFS(
 AND($AK607&lt;&gt;"", M607&lt;&gt;0, M607&lt;=EDATE(TODAY(),2)),"도래",
 AND($AK607&lt;&gt;"", M607&lt;&gt;0, M607&lt;=EDATE(TODAY(),3)),"예정",
 AND($AK607&lt;&gt;"", M607&lt;&gt;0, M607&lt;=EDATE(TODAY(),6)),"관심",
 TRUE,""
)</f>
        <v/>
      </c>
      <c r="AM607" s="86"/>
    </row>
    <row r="608" spans="1:39" ht="18" customHeight="1">
      <c r="A608" s="81"/>
      <c r="B608" s="205" t="str">
        <f>_xlfn.LET(_xlpm.var,◆관리정보!B608,IF(_xlpm.var&lt;&gt;0,_xlpm.var,""))</f>
        <v/>
      </c>
      <c r="C608" s="82" t="str">
        <f>_xlfn.LET(_xlpm.var,◆관리정보!C608,IF(_xlpm.var&lt;&gt;0,_xlpm.var,""))</f>
        <v/>
      </c>
      <c r="D608" s="83"/>
      <c r="E608" s="84" t="str">
        <f t="shared" si="22"/>
        <v/>
      </c>
      <c r="F608" s="87"/>
      <c r="G608" s="229"/>
      <c r="H608" s="229"/>
      <c r="I608" s="229"/>
      <c r="J608" s="229"/>
      <c r="K608" s="218"/>
      <c r="L608" s="87"/>
      <c r="M608" s="87"/>
      <c r="N608" s="82"/>
      <c r="O608" s="82"/>
      <c r="P608" s="241"/>
      <c r="Q608" s="241"/>
      <c r="R608" s="82"/>
      <c r="S608" s="241"/>
      <c r="T608" s="82"/>
      <c r="U608" s="241"/>
      <c r="V608" s="82"/>
      <c r="W608" s="88"/>
      <c r="X608" s="82"/>
      <c r="Y608" s="89"/>
      <c r="Z608" s="82"/>
      <c r="AA608" s="90"/>
      <c r="AB608" s="241"/>
      <c r="AC608" s="241"/>
      <c r="AD608" s="241"/>
      <c r="AE608" s="82"/>
      <c r="AF608" s="82"/>
      <c r="AG608" s="90"/>
      <c r="AH608" s="90"/>
      <c r="AI608" s="90"/>
      <c r="AJ608" s="90"/>
      <c r="AK608" s="82"/>
      <c r="AL608" s="82" t="str" cm="1">
        <f t="array" aca="1" ref="AL608" ca="1">_xlfn.IFS(
 AND($AK608&lt;&gt;"", M608&lt;&gt;0, M608&lt;=EDATE(TODAY(),2)),"도래",
 AND($AK608&lt;&gt;"", M608&lt;&gt;0, M608&lt;=EDATE(TODAY(),3)),"예정",
 AND($AK608&lt;&gt;"", M608&lt;&gt;0, M608&lt;=EDATE(TODAY(),6)),"관심",
 TRUE,""
)</f>
        <v/>
      </c>
      <c r="AM608" s="86"/>
    </row>
    <row r="609" spans="1:39" ht="18" customHeight="1">
      <c r="A609" s="81"/>
      <c r="B609" s="205" t="str">
        <f>_xlfn.LET(_xlpm.var,◆관리정보!B609,IF(_xlpm.var&lt;&gt;0,_xlpm.var,""))</f>
        <v/>
      </c>
      <c r="C609" s="82" t="str">
        <f>_xlfn.LET(_xlpm.var,◆관리정보!C609,IF(_xlpm.var&lt;&gt;0,_xlpm.var,""))</f>
        <v/>
      </c>
      <c r="D609" s="83"/>
      <c r="E609" s="84" t="str">
        <f t="shared" si="22"/>
        <v/>
      </c>
      <c r="F609" s="87"/>
      <c r="G609" s="229"/>
      <c r="H609" s="229"/>
      <c r="I609" s="229"/>
      <c r="J609" s="229"/>
      <c r="K609" s="218"/>
      <c r="L609" s="87"/>
      <c r="M609" s="87"/>
      <c r="N609" s="82"/>
      <c r="O609" s="82"/>
      <c r="P609" s="241"/>
      <c r="Q609" s="241"/>
      <c r="R609" s="82"/>
      <c r="S609" s="241"/>
      <c r="T609" s="82"/>
      <c r="U609" s="241"/>
      <c r="V609" s="82"/>
      <c r="W609" s="88"/>
      <c r="X609" s="82"/>
      <c r="Y609" s="89"/>
      <c r="Z609" s="82"/>
      <c r="AA609" s="90"/>
      <c r="AB609" s="241"/>
      <c r="AC609" s="241"/>
      <c r="AD609" s="241"/>
      <c r="AE609" s="82"/>
      <c r="AF609" s="82"/>
      <c r="AG609" s="90"/>
      <c r="AH609" s="90"/>
      <c r="AI609" s="90"/>
      <c r="AJ609" s="90"/>
      <c r="AK609" s="82"/>
      <c r="AL609" s="82" t="str" cm="1">
        <f t="array" aca="1" ref="AL609" ca="1">_xlfn.IFS(
 AND($AK609&lt;&gt;"", M609&lt;&gt;0, M609&lt;=EDATE(TODAY(),2)),"도래",
 AND($AK609&lt;&gt;"", M609&lt;&gt;0, M609&lt;=EDATE(TODAY(),3)),"예정",
 AND($AK609&lt;&gt;"", M609&lt;&gt;0, M609&lt;=EDATE(TODAY(),6)),"관심",
 TRUE,""
)</f>
        <v/>
      </c>
      <c r="AM609" s="86"/>
    </row>
    <row r="610" spans="1:39" ht="18" customHeight="1">
      <c r="A610" s="81"/>
      <c r="B610" s="205" t="str">
        <f>_xlfn.LET(_xlpm.var,◆관리정보!B610,IF(_xlpm.var&lt;&gt;0,_xlpm.var,""))</f>
        <v/>
      </c>
      <c r="C610" s="82" t="str">
        <f>_xlfn.LET(_xlpm.var,◆관리정보!C610,IF(_xlpm.var&lt;&gt;0,_xlpm.var,""))</f>
        <v/>
      </c>
      <c r="D610" s="83"/>
      <c r="E610" s="84" t="str">
        <f t="shared" si="22"/>
        <v/>
      </c>
      <c r="F610" s="87"/>
      <c r="G610" s="229"/>
      <c r="H610" s="229"/>
      <c r="I610" s="229"/>
      <c r="J610" s="229"/>
      <c r="K610" s="218"/>
      <c r="L610" s="87"/>
      <c r="M610" s="87"/>
      <c r="N610" s="82"/>
      <c r="O610" s="82"/>
      <c r="P610" s="241"/>
      <c r="Q610" s="241"/>
      <c r="R610" s="82"/>
      <c r="S610" s="241"/>
      <c r="T610" s="82"/>
      <c r="U610" s="241"/>
      <c r="V610" s="82"/>
      <c r="W610" s="88"/>
      <c r="X610" s="82"/>
      <c r="Y610" s="89"/>
      <c r="Z610" s="82"/>
      <c r="AA610" s="90"/>
      <c r="AB610" s="241"/>
      <c r="AC610" s="241"/>
      <c r="AD610" s="241"/>
      <c r="AE610" s="82"/>
      <c r="AF610" s="82"/>
      <c r="AG610" s="90"/>
      <c r="AH610" s="90"/>
      <c r="AI610" s="90"/>
      <c r="AJ610" s="90"/>
      <c r="AK610" s="82"/>
      <c r="AL610" s="82" t="str" cm="1">
        <f t="array" aca="1" ref="AL610" ca="1">_xlfn.IFS(
 AND($AK610&lt;&gt;"", M610&lt;&gt;0, M610&lt;=EDATE(TODAY(),2)),"도래",
 AND($AK610&lt;&gt;"", M610&lt;&gt;0, M610&lt;=EDATE(TODAY(),3)),"예정",
 AND($AK610&lt;&gt;"", M610&lt;&gt;0, M610&lt;=EDATE(TODAY(),6)),"관심",
 TRUE,""
)</f>
        <v/>
      </c>
      <c r="AM610" s="86"/>
    </row>
    <row r="611" spans="1:39" ht="18" customHeight="1">
      <c r="A611" s="81"/>
      <c r="B611" s="205" t="str">
        <f>_xlfn.LET(_xlpm.var,◆관리정보!B611,IF(_xlpm.var&lt;&gt;0,_xlpm.var,""))</f>
        <v/>
      </c>
      <c r="C611" s="82" t="str">
        <f>_xlfn.LET(_xlpm.var,◆관리정보!C611,IF(_xlpm.var&lt;&gt;0,_xlpm.var,""))</f>
        <v/>
      </c>
      <c r="D611" s="83"/>
      <c r="E611" s="84" t="str">
        <f t="shared" si="22"/>
        <v/>
      </c>
      <c r="F611" s="87"/>
      <c r="G611" s="229"/>
      <c r="H611" s="229"/>
      <c r="I611" s="229"/>
      <c r="J611" s="229"/>
      <c r="K611" s="218"/>
      <c r="L611" s="87"/>
      <c r="M611" s="87"/>
      <c r="N611" s="82"/>
      <c r="O611" s="82"/>
      <c r="P611" s="241"/>
      <c r="Q611" s="241"/>
      <c r="R611" s="82"/>
      <c r="S611" s="241"/>
      <c r="T611" s="82"/>
      <c r="U611" s="241"/>
      <c r="V611" s="82"/>
      <c r="W611" s="88"/>
      <c r="X611" s="82"/>
      <c r="Y611" s="89"/>
      <c r="Z611" s="82"/>
      <c r="AA611" s="90"/>
      <c r="AB611" s="241"/>
      <c r="AC611" s="241"/>
      <c r="AD611" s="241"/>
      <c r="AE611" s="82"/>
      <c r="AF611" s="82"/>
      <c r="AG611" s="90"/>
      <c r="AH611" s="90"/>
      <c r="AI611" s="90"/>
      <c r="AJ611" s="90"/>
      <c r="AK611" s="82"/>
      <c r="AL611" s="82" t="str" cm="1">
        <f t="array" aca="1" ref="AL611" ca="1">_xlfn.IFS(
 AND($AK611&lt;&gt;"", M611&lt;&gt;0, M611&lt;=EDATE(TODAY(),2)),"도래",
 AND($AK611&lt;&gt;"", M611&lt;&gt;0, M611&lt;=EDATE(TODAY(),3)),"예정",
 AND($AK611&lt;&gt;"", M611&lt;&gt;0, M611&lt;=EDATE(TODAY(),6)),"관심",
 TRUE,""
)</f>
        <v/>
      </c>
      <c r="AM611" s="86"/>
    </row>
    <row r="612" spans="1:39" ht="18" customHeight="1">
      <c r="A612" s="81"/>
      <c r="B612" s="205" t="str">
        <f>_xlfn.LET(_xlpm.var,◆관리정보!B612,IF(_xlpm.var&lt;&gt;0,_xlpm.var,""))</f>
        <v/>
      </c>
      <c r="C612" s="82" t="str">
        <f>_xlfn.LET(_xlpm.var,◆관리정보!C612,IF(_xlpm.var&lt;&gt;0,_xlpm.var,""))</f>
        <v/>
      </c>
      <c r="D612" s="83"/>
      <c r="E612" s="84" t="str">
        <f t="shared" si="22"/>
        <v/>
      </c>
      <c r="F612" s="87"/>
      <c r="G612" s="229"/>
      <c r="H612" s="229"/>
      <c r="I612" s="229"/>
      <c r="J612" s="229"/>
      <c r="K612" s="218"/>
      <c r="L612" s="87"/>
      <c r="M612" s="87"/>
      <c r="N612" s="82"/>
      <c r="O612" s="82"/>
      <c r="P612" s="241"/>
      <c r="Q612" s="241"/>
      <c r="R612" s="82"/>
      <c r="S612" s="241"/>
      <c r="T612" s="82"/>
      <c r="U612" s="241"/>
      <c r="V612" s="82"/>
      <c r="W612" s="88"/>
      <c r="X612" s="82"/>
      <c r="Y612" s="89"/>
      <c r="Z612" s="82"/>
      <c r="AA612" s="90"/>
      <c r="AB612" s="241"/>
      <c r="AC612" s="241"/>
      <c r="AD612" s="241"/>
      <c r="AE612" s="82"/>
      <c r="AF612" s="82"/>
      <c r="AG612" s="90"/>
      <c r="AH612" s="90"/>
      <c r="AI612" s="90"/>
      <c r="AJ612" s="90"/>
      <c r="AK612" s="82"/>
      <c r="AL612" s="82" t="str" cm="1">
        <f t="array" aca="1" ref="AL612" ca="1">_xlfn.IFS(
 AND($AK612&lt;&gt;"", M612&lt;&gt;0, M612&lt;=EDATE(TODAY(),2)),"도래",
 AND($AK612&lt;&gt;"", M612&lt;&gt;0, M612&lt;=EDATE(TODAY(),3)),"예정",
 AND($AK612&lt;&gt;"", M612&lt;&gt;0, M612&lt;=EDATE(TODAY(),6)),"관심",
 TRUE,""
)</f>
        <v/>
      </c>
      <c r="AM612" s="86"/>
    </row>
    <row r="613" spans="1:39" ht="18" customHeight="1">
      <c r="A613" s="81"/>
      <c r="B613" s="205" t="str">
        <f>_xlfn.LET(_xlpm.var,◆관리정보!B613,IF(_xlpm.var&lt;&gt;0,_xlpm.var,""))</f>
        <v/>
      </c>
      <c r="C613" s="82" t="str">
        <f>_xlfn.LET(_xlpm.var,◆관리정보!C613,IF(_xlpm.var&lt;&gt;0,_xlpm.var,""))</f>
        <v/>
      </c>
      <c r="D613" s="83"/>
      <c r="E613" s="84" t="str">
        <f t="shared" si="22"/>
        <v/>
      </c>
      <c r="F613" s="87"/>
      <c r="G613" s="229"/>
      <c r="H613" s="229"/>
      <c r="I613" s="229"/>
      <c r="J613" s="229"/>
      <c r="K613" s="218"/>
      <c r="L613" s="87"/>
      <c r="M613" s="87"/>
      <c r="N613" s="82"/>
      <c r="O613" s="82"/>
      <c r="P613" s="241"/>
      <c r="Q613" s="241"/>
      <c r="R613" s="82"/>
      <c r="S613" s="241"/>
      <c r="T613" s="82"/>
      <c r="U613" s="241"/>
      <c r="V613" s="82"/>
      <c r="W613" s="88"/>
      <c r="X613" s="82"/>
      <c r="Y613" s="89"/>
      <c r="Z613" s="82"/>
      <c r="AA613" s="90"/>
      <c r="AB613" s="241"/>
      <c r="AC613" s="241"/>
      <c r="AD613" s="241"/>
      <c r="AE613" s="82"/>
      <c r="AF613" s="82"/>
      <c r="AG613" s="90"/>
      <c r="AH613" s="90"/>
      <c r="AI613" s="90"/>
      <c r="AJ613" s="90"/>
      <c r="AK613" s="82"/>
      <c r="AL613" s="82" t="str" cm="1">
        <f t="array" aca="1" ref="AL613" ca="1">_xlfn.IFS(
 AND($AK613&lt;&gt;"", M613&lt;&gt;0, M613&lt;=EDATE(TODAY(),2)),"도래",
 AND($AK613&lt;&gt;"", M613&lt;&gt;0, M613&lt;=EDATE(TODAY(),3)),"예정",
 AND($AK613&lt;&gt;"", M613&lt;&gt;0, M613&lt;=EDATE(TODAY(),6)),"관심",
 TRUE,""
)</f>
        <v/>
      </c>
      <c r="AM613" s="86"/>
    </row>
    <row r="614" spans="1:39" ht="18" customHeight="1">
      <c r="A614" s="81"/>
      <c r="B614" s="205" t="str">
        <f>_xlfn.LET(_xlpm.var,◆관리정보!B614,IF(_xlpm.var&lt;&gt;0,_xlpm.var,""))</f>
        <v/>
      </c>
      <c r="C614" s="82" t="str">
        <f>_xlfn.LET(_xlpm.var,◆관리정보!C614,IF(_xlpm.var&lt;&gt;0,_xlpm.var,""))</f>
        <v/>
      </c>
      <c r="D614" s="83"/>
      <c r="E614" s="84" t="str">
        <f t="shared" si="22"/>
        <v/>
      </c>
      <c r="F614" s="87"/>
      <c r="G614" s="229"/>
      <c r="H614" s="229"/>
      <c r="I614" s="229"/>
      <c r="J614" s="229"/>
      <c r="K614" s="218"/>
      <c r="L614" s="87"/>
      <c r="M614" s="87"/>
      <c r="N614" s="82"/>
      <c r="O614" s="82"/>
      <c r="P614" s="241"/>
      <c r="Q614" s="241"/>
      <c r="R614" s="82"/>
      <c r="S614" s="241"/>
      <c r="T614" s="82"/>
      <c r="U614" s="241"/>
      <c r="V614" s="82"/>
      <c r="W614" s="88"/>
      <c r="X614" s="82"/>
      <c r="Y614" s="89"/>
      <c r="Z614" s="82"/>
      <c r="AA614" s="90"/>
      <c r="AB614" s="241"/>
      <c r="AC614" s="241"/>
      <c r="AD614" s="241"/>
      <c r="AE614" s="82"/>
      <c r="AF614" s="82"/>
      <c r="AG614" s="90"/>
      <c r="AH614" s="90"/>
      <c r="AI614" s="90"/>
      <c r="AJ614" s="90"/>
      <c r="AK614" s="82"/>
      <c r="AL614" s="82" t="str" cm="1">
        <f t="array" aca="1" ref="AL614" ca="1">_xlfn.IFS(
 AND($AK614&lt;&gt;"", M614&lt;&gt;0, M614&lt;=EDATE(TODAY(),2)),"도래",
 AND($AK614&lt;&gt;"", M614&lt;&gt;0, M614&lt;=EDATE(TODAY(),3)),"예정",
 AND($AK614&lt;&gt;"", M614&lt;&gt;0, M614&lt;=EDATE(TODAY(),6)),"관심",
 TRUE,""
)</f>
        <v/>
      </c>
      <c r="AM614" s="86"/>
    </row>
    <row r="615" spans="1:39" ht="18" customHeight="1">
      <c r="A615" s="81"/>
      <c r="B615" s="205" t="str">
        <f>_xlfn.LET(_xlpm.var,◆관리정보!B615,IF(_xlpm.var&lt;&gt;0,_xlpm.var,""))</f>
        <v/>
      </c>
      <c r="C615" s="82" t="str">
        <f>_xlfn.LET(_xlpm.var,◆관리정보!C615,IF(_xlpm.var&lt;&gt;0,_xlpm.var,""))</f>
        <v/>
      </c>
      <c r="D615" s="83"/>
      <c r="E615" s="84" t="str">
        <f t="shared" si="22"/>
        <v/>
      </c>
      <c r="F615" s="87"/>
      <c r="G615" s="229"/>
      <c r="H615" s="229"/>
      <c r="I615" s="229"/>
      <c r="J615" s="229"/>
      <c r="K615" s="218"/>
      <c r="L615" s="87"/>
      <c r="M615" s="87"/>
      <c r="N615" s="82"/>
      <c r="O615" s="82"/>
      <c r="P615" s="241"/>
      <c r="Q615" s="241"/>
      <c r="R615" s="82"/>
      <c r="S615" s="241"/>
      <c r="T615" s="82"/>
      <c r="U615" s="241"/>
      <c r="V615" s="82"/>
      <c r="W615" s="88"/>
      <c r="X615" s="82"/>
      <c r="Y615" s="89"/>
      <c r="Z615" s="82"/>
      <c r="AA615" s="90"/>
      <c r="AB615" s="241"/>
      <c r="AC615" s="241"/>
      <c r="AD615" s="241"/>
      <c r="AE615" s="82"/>
      <c r="AF615" s="82"/>
      <c r="AG615" s="90"/>
      <c r="AH615" s="90"/>
      <c r="AI615" s="90"/>
      <c r="AJ615" s="90"/>
      <c r="AK615" s="82"/>
      <c r="AL615" s="82" t="str" cm="1">
        <f t="array" aca="1" ref="AL615" ca="1">_xlfn.IFS(
 AND($AK615&lt;&gt;"", M615&lt;&gt;0, M615&lt;=EDATE(TODAY(),2)),"도래",
 AND($AK615&lt;&gt;"", M615&lt;&gt;0, M615&lt;=EDATE(TODAY(),3)),"예정",
 AND($AK615&lt;&gt;"", M615&lt;&gt;0, M615&lt;=EDATE(TODAY(),6)),"관심",
 TRUE,""
)</f>
        <v/>
      </c>
      <c r="AM615" s="86"/>
    </row>
    <row r="616" spans="1:39" ht="18" customHeight="1">
      <c r="A616" s="81"/>
      <c r="B616" s="205" t="str">
        <f>_xlfn.LET(_xlpm.var,◆관리정보!B616,IF(_xlpm.var&lt;&gt;0,_xlpm.var,""))</f>
        <v/>
      </c>
      <c r="C616" s="82" t="str">
        <f>_xlfn.LET(_xlpm.var,◆관리정보!C616,IF(_xlpm.var&lt;&gt;0,_xlpm.var,""))</f>
        <v/>
      </c>
      <c r="D616" s="83"/>
      <c r="E616" s="84" t="str">
        <f t="shared" si="22"/>
        <v/>
      </c>
      <c r="F616" s="87"/>
      <c r="G616" s="229"/>
      <c r="H616" s="229"/>
      <c r="I616" s="229"/>
      <c r="J616" s="229"/>
      <c r="K616" s="218"/>
      <c r="L616" s="87"/>
      <c r="M616" s="87"/>
      <c r="N616" s="82"/>
      <c r="O616" s="82"/>
      <c r="P616" s="241"/>
      <c r="Q616" s="241"/>
      <c r="R616" s="82"/>
      <c r="S616" s="241"/>
      <c r="T616" s="82"/>
      <c r="U616" s="241"/>
      <c r="V616" s="82"/>
      <c r="W616" s="88"/>
      <c r="X616" s="82"/>
      <c r="Y616" s="89"/>
      <c r="Z616" s="82"/>
      <c r="AA616" s="90"/>
      <c r="AB616" s="241"/>
      <c r="AC616" s="241"/>
      <c r="AD616" s="241"/>
      <c r="AE616" s="82"/>
      <c r="AF616" s="82"/>
      <c r="AG616" s="90"/>
      <c r="AH616" s="90"/>
      <c r="AI616" s="90"/>
      <c r="AJ616" s="90"/>
      <c r="AK616" s="82"/>
      <c r="AL616" s="82" t="str" cm="1">
        <f t="array" aca="1" ref="AL616" ca="1">_xlfn.IFS(
 AND($AK616&lt;&gt;"", M616&lt;&gt;0, M616&lt;=EDATE(TODAY(),2)),"도래",
 AND($AK616&lt;&gt;"", M616&lt;&gt;0, M616&lt;=EDATE(TODAY(),3)),"예정",
 AND($AK616&lt;&gt;"", M616&lt;&gt;0, M616&lt;=EDATE(TODAY(),6)),"관심",
 TRUE,""
)</f>
        <v/>
      </c>
      <c r="AM616" s="86"/>
    </row>
    <row r="617" spans="1:39" ht="18" customHeight="1">
      <c r="A617" s="81"/>
      <c r="B617" s="205" t="str">
        <f>_xlfn.LET(_xlpm.var,◆관리정보!B617,IF(_xlpm.var&lt;&gt;0,_xlpm.var,""))</f>
        <v/>
      </c>
      <c r="C617" s="82" t="str">
        <f>_xlfn.LET(_xlpm.var,◆관리정보!C617,IF(_xlpm.var&lt;&gt;0,_xlpm.var,""))</f>
        <v/>
      </c>
      <c r="D617" s="83"/>
      <c r="E617" s="84" t="str">
        <f t="shared" si="22"/>
        <v/>
      </c>
      <c r="F617" s="87"/>
      <c r="G617" s="229"/>
      <c r="H617" s="229"/>
      <c r="I617" s="229"/>
      <c r="J617" s="229"/>
      <c r="K617" s="218"/>
      <c r="L617" s="87"/>
      <c r="M617" s="87"/>
      <c r="N617" s="82"/>
      <c r="O617" s="82"/>
      <c r="P617" s="241"/>
      <c r="Q617" s="241"/>
      <c r="R617" s="82"/>
      <c r="S617" s="241"/>
      <c r="T617" s="82"/>
      <c r="U617" s="241"/>
      <c r="V617" s="82"/>
      <c r="W617" s="88"/>
      <c r="X617" s="82"/>
      <c r="Y617" s="89"/>
      <c r="Z617" s="82"/>
      <c r="AA617" s="90"/>
      <c r="AB617" s="241"/>
      <c r="AC617" s="241"/>
      <c r="AD617" s="241"/>
      <c r="AE617" s="82"/>
      <c r="AF617" s="82"/>
      <c r="AG617" s="90"/>
      <c r="AH617" s="90"/>
      <c r="AI617" s="90"/>
      <c r="AJ617" s="90"/>
      <c r="AK617" s="82"/>
      <c r="AL617" s="82" t="str" cm="1">
        <f t="array" aca="1" ref="AL617" ca="1">_xlfn.IFS(
 AND($AK617&lt;&gt;"", M617&lt;&gt;0, M617&lt;=EDATE(TODAY(),2)),"도래",
 AND($AK617&lt;&gt;"", M617&lt;&gt;0, M617&lt;=EDATE(TODAY(),3)),"예정",
 AND($AK617&lt;&gt;"", M617&lt;&gt;0, M617&lt;=EDATE(TODAY(),6)),"관심",
 TRUE,""
)</f>
        <v/>
      </c>
      <c r="AM617" s="86"/>
    </row>
    <row r="618" spans="1:39" ht="18" customHeight="1">
      <c r="A618" s="81"/>
      <c r="B618" s="205" t="str">
        <f>_xlfn.LET(_xlpm.var,◆관리정보!B618,IF(_xlpm.var&lt;&gt;0,_xlpm.var,""))</f>
        <v/>
      </c>
      <c r="C618" s="82" t="str">
        <f>_xlfn.LET(_xlpm.var,◆관리정보!C618,IF(_xlpm.var&lt;&gt;0,_xlpm.var,""))</f>
        <v/>
      </c>
      <c r="D618" s="83"/>
      <c r="E618" s="84" t="str">
        <f t="shared" si="22"/>
        <v/>
      </c>
      <c r="F618" s="87"/>
      <c r="G618" s="229"/>
      <c r="H618" s="229"/>
      <c r="I618" s="229"/>
      <c r="J618" s="229"/>
      <c r="K618" s="218"/>
      <c r="L618" s="87"/>
      <c r="M618" s="87"/>
      <c r="N618" s="82"/>
      <c r="O618" s="82"/>
      <c r="P618" s="241"/>
      <c r="Q618" s="241"/>
      <c r="R618" s="82"/>
      <c r="S618" s="241"/>
      <c r="T618" s="82"/>
      <c r="U618" s="241"/>
      <c r="V618" s="82"/>
      <c r="W618" s="88"/>
      <c r="X618" s="82"/>
      <c r="Y618" s="89"/>
      <c r="Z618" s="82"/>
      <c r="AA618" s="90"/>
      <c r="AB618" s="241"/>
      <c r="AC618" s="241"/>
      <c r="AD618" s="241"/>
      <c r="AE618" s="82"/>
      <c r="AF618" s="82"/>
      <c r="AG618" s="90"/>
      <c r="AH618" s="90"/>
      <c r="AI618" s="90"/>
      <c r="AJ618" s="90"/>
      <c r="AK618" s="82"/>
      <c r="AL618" s="82" t="str" cm="1">
        <f t="array" aca="1" ref="AL618" ca="1">_xlfn.IFS(
 AND($AK618&lt;&gt;"", M618&lt;&gt;0, M618&lt;=EDATE(TODAY(),2)),"도래",
 AND($AK618&lt;&gt;"", M618&lt;&gt;0, M618&lt;=EDATE(TODAY(),3)),"예정",
 AND($AK618&lt;&gt;"", M618&lt;&gt;0, M618&lt;=EDATE(TODAY(),6)),"관심",
 TRUE,""
)</f>
        <v/>
      </c>
      <c r="AM618" s="86"/>
    </row>
    <row r="619" spans="1:39" ht="18" customHeight="1">
      <c r="A619" s="81"/>
      <c r="B619" s="205" t="str">
        <f>_xlfn.LET(_xlpm.var,◆관리정보!B619,IF(_xlpm.var&lt;&gt;0,_xlpm.var,""))</f>
        <v/>
      </c>
      <c r="C619" s="82" t="str">
        <f>_xlfn.LET(_xlpm.var,◆관리정보!C619,IF(_xlpm.var&lt;&gt;0,_xlpm.var,""))</f>
        <v/>
      </c>
      <c r="D619" s="83"/>
      <c r="E619" s="84" t="str">
        <f t="shared" si="22"/>
        <v/>
      </c>
      <c r="F619" s="87"/>
      <c r="G619" s="229"/>
      <c r="H619" s="229"/>
      <c r="I619" s="229"/>
      <c r="J619" s="229"/>
      <c r="K619" s="218"/>
      <c r="L619" s="87"/>
      <c r="M619" s="87"/>
      <c r="N619" s="82"/>
      <c r="O619" s="82"/>
      <c r="P619" s="241"/>
      <c r="Q619" s="241"/>
      <c r="R619" s="82"/>
      <c r="S619" s="241"/>
      <c r="T619" s="82"/>
      <c r="U619" s="241"/>
      <c r="V619" s="82"/>
      <c r="W619" s="88"/>
      <c r="X619" s="82"/>
      <c r="Y619" s="89"/>
      <c r="Z619" s="82"/>
      <c r="AA619" s="90"/>
      <c r="AB619" s="241"/>
      <c r="AC619" s="241"/>
      <c r="AD619" s="241"/>
      <c r="AE619" s="82"/>
      <c r="AF619" s="82"/>
      <c r="AG619" s="90"/>
      <c r="AH619" s="90"/>
      <c r="AI619" s="90"/>
      <c r="AJ619" s="90"/>
      <c r="AK619" s="82"/>
      <c r="AL619" s="82" t="str" cm="1">
        <f t="array" aca="1" ref="AL619" ca="1">_xlfn.IFS(
 AND($AK619&lt;&gt;"", M619&lt;&gt;0, M619&lt;=EDATE(TODAY(),2)),"도래",
 AND($AK619&lt;&gt;"", M619&lt;&gt;0, M619&lt;=EDATE(TODAY(),3)),"예정",
 AND($AK619&lt;&gt;"", M619&lt;&gt;0, M619&lt;=EDATE(TODAY(),6)),"관심",
 TRUE,""
)</f>
        <v/>
      </c>
      <c r="AM619" s="86"/>
    </row>
    <row r="620" spans="1:39" ht="18" customHeight="1">
      <c r="A620" s="81"/>
      <c r="B620" s="205" t="str">
        <f>_xlfn.LET(_xlpm.var,◆관리정보!B620,IF(_xlpm.var&lt;&gt;0,_xlpm.var,""))</f>
        <v/>
      </c>
      <c r="C620" s="82" t="str">
        <f>_xlfn.LET(_xlpm.var,◆관리정보!C620,IF(_xlpm.var&lt;&gt;0,_xlpm.var,""))</f>
        <v/>
      </c>
      <c r="D620" s="83"/>
      <c r="E620" s="84" t="str">
        <f t="shared" si="22"/>
        <v/>
      </c>
      <c r="F620" s="87"/>
      <c r="G620" s="229"/>
      <c r="H620" s="229"/>
      <c r="I620" s="229"/>
      <c r="J620" s="229"/>
      <c r="K620" s="218"/>
      <c r="L620" s="87"/>
      <c r="M620" s="87"/>
      <c r="N620" s="82"/>
      <c r="O620" s="82"/>
      <c r="P620" s="241"/>
      <c r="Q620" s="241"/>
      <c r="R620" s="82"/>
      <c r="S620" s="241"/>
      <c r="T620" s="82"/>
      <c r="U620" s="241"/>
      <c r="V620" s="82"/>
      <c r="W620" s="88"/>
      <c r="X620" s="82"/>
      <c r="Y620" s="89"/>
      <c r="Z620" s="82"/>
      <c r="AA620" s="90"/>
      <c r="AB620" s="241"/>
      <c r="AC620" s="241"/>
      <c r="AD620" s="241"/>
      <c r="AE620" s="82"/>
      <c r="AF620" s="82"/>
      <c r="AG620" s="90"/>
      <c r="AH620" s="90"/>
      <c r="AI620" s="90"/>
      <c r="AJ620" s="90"/>
      <c r="AK620" s="82"/>
      <c r="AL620" s="82" t="str" cm="1">
        <f t="array" aca="1" ref="AL620" ca="1">_xlfn.IFS(
 AND($AK620&lt;&gt;"", M620&lt;&gt;0, M620&lt;=EDATE(TODAY(),2)),"도래",
 AND($AK620&lt;&gt;"", M620&lt;&gt;0, M620&lt;=EDATE(TODAY(),3)),"예정",
 AND($AK620&lt;&gt;"", M620&lt;&gt;0, M620&lt;=EDATE(TODAY(),6)),"관심",
 TRUE,""
)</f>
        <v/>
      </c>
      <c r="AM620" s="86"/>
    </row>
    <row r="621" spans="1:39" ht="18" customHeight="1">
      <c r="A621" s="81"/>
      <c r="B621" s="205" t="str">
        <f>_xlfn.LET(_xlpm.var,◆관리정보!B621,IF(_xlpm.var&lt;&gt;0,_xlpm.var,""))</f>
        <v/>
      </c>
      <c r="C621" s="82" t="str">
        <f>_xlfn.LET(_xlpm.var,◆관리정보!C621,IF(_xlpm.var&lt;&gt;0,_xlpm.var,""))</f>
        <v/>
      </c>
      <c r="D621" s="83"/>
      <c r="E621" s="84" t="str">
        <f t="shared" si="22"/>
        <v/>
      </c>
      <c r="F621" s="87"/>
      <c r="G621" s="229"/>
      <c r="H621" s="229"/>
      <c r="I621" s="229"/>
      <c r="J621" s="229"/>
      <c r="K621" s="218"/>
      <c r="L621" s="87"/>
      <c r="M621" s="87"/>
      <c r="N621" s="82"/>
      <c r="O621" s="82"/>
      <c r="P621" s="241"/>
      <c r="Q621" s="241"/>
      <c r="R621" s="82"/>
      <c r="S621" s="241"/>
      <c r="T621" s="82"/>
      <c r="U621" s="241"/>
      <c r="V621" s="82"/>
      <c r="W621" s="88"/>
      <c r="X621" s="82"/>
      <c r="Y621" s="89"/>
      <c r="Z621" s="82"/>
      <c r="AA621" s="90"/>
      <c r="AB621" s="241"/>
      <c r="AC621" s="241"/>
      <c r="AD621" s="241"/>
      <c r="AE621" s="82"/>
      <c r="AF621" s="82"/>
      <c r="AG621" s="90"/>
      <c r="AH621" s="90"/>
      <c r="AI621" s="90"/>
      <c r="AJ621" s="90"/>
      <c r="AK621" s="82"/>
      <c r="AL621" s="82" t="str" cm="1">
        <f t="array" aca="1" ref="AL621" ca="1">_xlfn.IFS(
 AND($AK621&lt;&gt;"", M621&lt;&gt;0, M621&lt;=EDATE(TODAY(),2)),"도래",
 AND($AK621&lt;&gt;"", M621&lt;&gt;0, M621&lt;=EDATE(TODAY(),3)),"예정",
 AND($AK621&lt;&gt;"", M621&lt;&gt;0, M621&lt;=EDATE(TODAY(),6)),"관심",
 TRUE,""
)</f>
        <v/>
      </c>
      <c r="AM621" s="86"/>
    </row>
    <row r="622" spans="1:39" ht="18" customHeight="1">
      <c r="A622" s="81"/>
      <c r="B622" s="205" t="str">
        <f>_xlfn.LET(_xlpm.var,◆관리정보!B622,IF(_xlpm.var&lt;&gt;0,_xlpm.var,""))</f>
        <v/>
      </c>
      <c r="C622" s="82" t="str">
        <f>_xlfn.LET(_xlpm.var,◆관리정보!C622,IF(_xlpm.var&lt;&gt;0,_xlpm.var,""))</f>
        <v/>
      </c>
      <c r="D622" s="83"/>
      <c r="E622" s="84" t="str">
        <f t="shared" si="22"/>
        <v/>
      </c>
      <c r="F622" s="87"/>
      <c r="G622" s="229"/>
      <c r="H622" s="229"/>
      <c r="I622" s="229"/>
      <c r="J622" s="229"/>
      <c r="K622" s="218"/>
      <c r="L622" s="87"/>
      <c r="M622" s="87"/>
      <c r="N622" s="82"/>
      <c r="O622" s="82"/>
      <c r="P622" s="241"/>
      <c r="Q622" s="241"/>
      <c r="R622" s="82"/>
      <c r="S622" s="241"/>
      <c r="T622" s="82"/>
      <c r="U622" s="241"/>
      <c r="V622" s="82"/>
      <c r="W622" s="88"/>
      <c r="X622" s="82"/>
      <c r="Y622" s="89"/>
      <c r="Z622" s="82"/>
      <c r="AA622" s="90"/>
      <c r="AB622" s="241"/>
      <c r="AC622" s="241"/>
      <c r="AD622" s="241"/>
      <c r="AE622" s="82"/>
      <c r="AF622" s="82"/>
      <c r="AG622" s="90"/>
      <c r="AH622" s="90"/>
      <c r="AI622" s="90"/>
      <c r="AJ622" s="90"/>
      <c r="AK622" s="82"/>
      <c r="AL622" s="82" t="str" cm="1">
        <f t="array" aca="1" ref="AL622" ca="1">_xlfn.IFS(
 AND($AK622&lt;&gt;"", M622&lt;&gt;0, M622&lt;=EDATE(TODAY(),2)),"도래",
 AND($AK622&lt;&gt;"", M622&lt;&gt;0, M622&lt;=EDATE(TODAY(),3)),"예정",
 AND($AK622&lt;&gt;"", M622&lt;&gt;0, M622&lt;=EDATE(TODAY(),6)),"관심",
 TRUE,""
)</f>
        <v/>
      </c>
      <c r="AM622" s="86"/>
    </row>
    <row r="623" spans="1:39" ht="18" customHeight="1">
      <c r="A623" s="81"/>
      <c r="B623" s="205" t="str">
        <f>_xlfn.LET(_xlpm.var,◆관리정보!B623,IF(_xlpm.var&lt;&gt;0,_xlpm.var,""))</f>
        <v/>
      </c>
      <c r="C623" s="82" t="str">
        <f>_xlfn.LET(_xlpm.var,◆관리정보!C623,IF(_xlpm.var&lt;&gt;0,_xlpm.var,""))</f>
        <v/>
      </c>
      <c r="D623" s="83"/>
      <c r="E623" s="84" t="str">
        <f t="shared" si="22"/>
        <v/>
      </c>
      <c r="F623" s="87"/>
      <c r="G623" s="229"/>
      <c r="H623" s="229"/>
      <c r="I623" s="229"/>
      <c r="J623" s="229"/>
      <c r="K623" s="218"/>
      <c r="L623" s="87"/>
      <c r="M623" s="87"/>
      <c r="N623" s="82"/>
      <c r="O623" s="82"/>
      <c r="P623" s="241"/>
      <c r="Q623" s="241"/>
      <c r="R623" s="82"/>
      <c r="S623" s="241"/>
      <c r="T623" s="82"/>
      <c r="U623" s="241"/>
      <c r="V623" s="82"/>
      <c r="W623" s="88"/>
      <c r="X623" s="82"/>
      <c r="Y623" s="89"/>
      <c r="Z623" s="82"/>
      <c r="AA623" s="90"/>
      <c r="AB623" s="241"/>
      <c r="AC623" s="241"/>
      <c r="AD623" s="241"/>
      <c r="AE623" s="82"/>
      <c r="AF623" s="82"/>
      <c r="AG623" s="90"/>
      <c r="AH623" s="90"/>
      <c r="AI623" s="90"/>
      <c r="AJ623" s="90"/>
      <c r="AK623" s="82"/>
      <c r="AL623" s="82" t="str" cm="1">
        <f t="array" aca="1" ref="AL623" ca="1">_xlfn.IFS(
 AND($AK623&lt;&gt;"", M623&lt;&gt;0, M623&lt;=EDATE(TODAY(),2)),"도래",
 AND($AK623&lt;&gt;"", M623&lt;&gt;0, M623&lt;=EDATE(TODAY(),3)),"예정",
 AND($AK623&lt;&gt;"", M623&lt;&gt;0, M623&lt;=EDATE(TODAY(),6)),"관심",
 TRUE,""
)</f>
        <v/>
      </c>
      <c r="AM623" s="86"/>
    </row>
    <row r="624" spans="1:39" ht="18" customHeight="1">
      <c r="A624" s="81"/>
      <c r="B624" s="205" t="str">
        <f>_xlfn.LET(_xlpm.var,◆관리정보!B624,IF(_xlpm.var&lt;&gt;0,_xlpm.var,""))</f>
        <v/>
      </c>
      <c r="C624" s="82" t="str">
        <f>_xlfn.LET(_xlpm.var,◆관리정보!C624,IF(_xlpm.var&lt;&gt;0,_xlpm.var,""))</f>
        <v/>
      </c>
      <c r="D624" s="83"/>
      <c r="E624" s="84" t="str">
        <f t="shared" si="22"/>
        <v/>
      </c>
      <c r="F624" s="87"/>
      <c r="G624" s="229"/>
      <c r="H624" s="229"/>
      <c r="I624" s="229"/>
      <c r="J624" s="229"/>
      <c r="K624" s="218"/>
      <c r="L624" s="87"/>
      <c r="M624" s="87"/>
      <c r="N624" s="82"/>
      <c r="O624" s="82"/>
      <c r="P624" s="241"/>
      <c r="Q624" s="241"/>
      <c r="R624" s="82"/>
      <c r="S624" s="241"/>
      <c r="T624" s="82"/>
      <c r="U624" s="241"/>
      <c r="V624" s="82"/>
      <c r="W624" s="88"/>
      <c r="X624" s="82"/>
      <c r="Y624" s="89"/>
      <c r="Z624" s="82"/>
      <c r="AA624" s="90"/>
      <c r="AB624" s="241"/>
      <c r="AC624" s="241"/>
      <c r="AD624" s="241"/>
      <c r="AE624" s="82"/>
      <c r="AF624" s="82"/>
      <c r="AG624" s="90"/>
      <c r="AH624" s="90"/>
      <c r="AI624" s="90"/>
      <c r="AJ624" s="90"/>
      <c r="AK624" s="82"/>
      <c r="AL624" s="82" t="str" cm="1">
        <f t="array" aca="1" ref="AL624" ca="1">_xlfn.IFS(
 AND($AK624&lt;&gt;"", M624&lt;&gt;0, M624&lt;=EDATE(TODAY(),2)),"도래",
 AND($AK624&lt;&gt;"", M624&lt;&gt;0, M624&lt;=EDATE(TODAY(),3)),"예정",
 AND($AK624&lt;&gt;"", M624&lt;&gt;0, M624&lt;=EDATE(TODAY(),6)),"관심",
 TRUE,""
)</f>
        <v/>
      </c>
      <c r="AM624" s="86"/>
    </row>
    <row r="625" spans="1:39" ht="18" customHeight="1">
      <c r="A625" s="81"/>
      <c r="B625" s="205" t="str">
        <f>_xlfn.LET(_xlpm.var,◆관리정보!B625,IF(_xlpm.var&lt;&gt;0,_xlpm.var,""))</f>
        <v/>
      </c>
      <c r="C625" s="82" t="str">
        <f>_xlfn.LET(_xlpm.var,◆관리정보!C625,IF(_xlpm.var&lt;&gt;0,_xlpm.var,""))</f>
        <v/>
      </c>
      <c r="D625" s="83"/>
      <c r="E625" s="84" t="str">
        <f t="shared" si="22"/>
        <v/>
      </c>
      <c r="F625" s="87"/>
      <c r="G625" s="229"/>
      <c r="H625" s="229"/>
      <c r="I625" s="229"/>
      <c r="J625" s="229"/>
      <c r="K625" s="218"/>
      <c r="L625" s="87"/>
      <c r="M625" s="87"/>
      <c r="N625" s="82"/>
      <c r="O625" s="82"/>
      <c r="P625" s="241"/>
      <c r="Q625" s="241"/>
      <c r="R625" s="82"/>
      <c r="S625" s="241"/>
      <c r="T625" s="82"/>
      <c r="U625" s="241"/>
      <c r="V625" s="82"/>
      <c r="W625" s="88"/>
      <c r="X625" s="82"/>
      <c r="Y625" s="89"/>
      <c r="Z625" s="82"/>
      <c r="AA625" s="90"/>
      <c r="AB625" s="241"/>
      <c r="AC625" s="241"/>
      <c r="AD625" s="241"/>
      <c r="AE625" s="82"/>
      <c r="AF625" s="82"/>
      <c r="AG625" s="90"/>
      <c r="AH625" s="90"/>
      <c r="AI625" s="90"/>
      <c r="AJ625" s="90"/>
      <c r="AK625" s="82"/>
      <c r="AL625" s="82" t="str" cm="1">
        <f t="array" aca="1" ref="AL625" ca="1">_xlfn.IFS(
 AND($AK625&lt;&gt;"", M625&lt;&gt;0, M625&lt;=EDATE(TODAY(),2)),"도래",
 AND($AK625&lt;&gt;"", M625&lt;&gt;0, M625&lt;=EDATE(TODAY(),3)),"예정",
 AND($AK625&lt;&gt;"", M625&lt;&gt;0, M625&lt;=EDATE(TODAY(),6)),"관심",
 TRUE,""
)</f>
        <v/>
      </c>
      <c r="AM625" s="86"/>
    </row>
    <row r="626" spans="1:39" ht="18" customHeight="1">
      <c r="A626" s="81"/>
      <c r="B626" s="205" t="str">
        <f>_xlfn.LET(_xlpm.var,◆관리정보!B626,IF(_xlpm.var&lt;&gt;0,_xlpm.var,""))</f>
        <v/>
      </c>
      <c r="C626" s="82" t="str">
        <f>_xlfn.LET(_xlpm.var,◆관리정보!C626,IF(_xlpm.var&lt;&gt;0,_xlpm.var,""))</f>
        <v/>
      </c>
      <c r="D626" s="83"/>
      <c r="E626" s="84" t="str">
        <f t="shared" si="22"/>
        <v/>
      </c>
      <c r="F626" s="87"/>
      <c r="G626" s="229"/>
      <c r="H626" s="229"/>
      <c r="I626" s="229"/>
      <c r="J626" s="229"/>
      <c r="K626" s="218"/>
      <c r="L626" s="87"/>
      <c r="M626" s="87"/>
      <c r="N626" s="82"/>
      <c r="O626" s="82"/>
      <c r="P626" s="241"/>
      <c r="Q626" s="241"/>
      <c r="R626" s="82"/>
      <c r="S626" s="241"/>
      <c r="T626" s="82"/>
      <c r="U626" s="241"/>
      <c r="V626" s="82"/>
      <c r="W626" s="88"/>
      <c r="X626" s="82"/>
      <c r="Y626" s="89"/>
      <c r="Z626" s="82"/>
      <c r="AA626" s="90"/>
      <c r="AB626" s="241"/>
      <c r="AC626" s="241"/>
      <c r="AD626" s="241"/>
      <c r="AE626" s="82"/>
      <c r="AF626" s="82"/>
      <c r="AG626" s="90"/>
      <c r="AH626" s="90"/>
      <c r="AI626" s="90"/>
      <c r="AJ626" s="90"/>
      <c r="AK626" s="82"/>
      <c r="AL626" s="82" t="str" cm="1">
        <f t="array" aca="1" ref="AL626" ca="1">_xlfn.IFS(
 AND($AK626&lt;&gt;"", M626&lt;&gt;0, M626&lt;=EDATE(TODAY(),2)),"도래",
 AND($AK626&lt;&gt;"", M626&lt;&gt;0, M626&lt;=EDATE(TODAY(),3)),"예정",
 AND($AK626&lt;&gt;"", M626&lt;&gt;0, M626&lt;=EDATE(TODAY(),6)),"관심",
 TRUE,""
)</f>
        <v/>
      </c>
      <c r="AM626" s="86"/>
    </row>
    <row r="627" spans="1:39" ht="18" customHeight="1">
      <c r="A627" s="81"/>
      <c r="B627" s="205" t="str">
        <f>_xlfn.LET(_xlpm.var,◆관리정보!B627,IF(_xlpm.var&lt;&gt;0,_xlpm.var,""))</f>
        <v/>
      </c>
      <c r="C627" s="82" t="str">
        <f>_xlfn.LET(_xlpm.var,◆관리정보!C627,IF(_xlpm.var&lt;&gt;0,_xlpm.var,""))</f>
        <v/>
      </c>
      <c r="D627" s="83"/>
      <c r="E627" s="84" t="str">
        <f t="shared" si="22"/>
        <v/>
      </c>
      <c r="F627" s="87"/>
      <c r="G627" s="229"/>
      <c r="H627" s="229"/>
      <c r="I627" s="229"/>
      <c r="J627" s="229"/>
      <c r="K627" s="218"/>
      <c r="L627" s="87"/>
      <c r="M627" s="87"/>
      <c r="N627" s="82"/>
      <c r="O627" s="82"/>
      <c r="P627" s="241"/>
      <c r="Q627" s="241"/>
      <c r="R627" s="82"/>
      <c r="S627" s="241"/>
      <c r="T627" s="82"/>
      <c r="U627" s="241"/>
      <c r="V627" s="82"/>
      <c r="W627" s="88"/>
      <c r="X627" s="82"/>
      <c r="Y627" s="89"/>
      <c r="Z627" s="82"/>
      <c r="AA627" s="90"/>
      <c r="AB627" s="241"/>
      <c r="AC627" s="241"/>
      <c r="AD627" s="241"/>
      <c r="AE627" s="82"/>
      <c r="AF627" s="82"/>
      <c r="AG627" s="90"/>
      <c r="AH627" s="90"/>
      <c r="AI627" s="90"/>
      <c r="AJ627" s="90"/>
      <c r="AK627" s="82"/>
      <c r="AL627" s="82" t="str" cm="1">
        <f t="array" aca="1" ref="AL627" ca="1">_xlfn.IFS(
 AND($AK627&lt;&gt;"", M627&lt;&gt;0, M627&lt;=EDATE(TODAY(),2)),"도래",
 AND($AK627&lt;&gt;"", M627&lt;&gt;0, M627&lt;=EDATE(TODAY(),3)),"예정",
 AND($AK627&lt;&gt;"", M627&lt;&gt;0, M627&lt;=EDATE(TODAY(),6)),"관심",
 TRUE,""
)</f>
        <v/>
      </c>
      <c r="AM627" s="86"/>
    </row>
    <row r="628" spans="1:39" ht="18" customHeight="1">
      <c r="A628" s="81"/>
      <c r="B628" s="205" t="str">
        <f>_xlfn.LET(_xlpm.var,◆관리정보!B628,IF(_xlpm.var&lt;&gt;0,_xlpm.var,""))</f>
        <v/>
      </c>
      <c r="C628" s="82" t="str">
        <f>_xlfn.LET(_xlpm.var,◆관리정보!C628,IF(_xlpm.var&lt;&gt;0,_xlpm.var,""))</f>
        <v/>
      </c>
      <c r="D628" s="83"/>
      <c r="E628" s="84" t="str">
        <f t="shared" si="22"/>
        <v/>
      </c>
      <c r="F628" s="87"/>
      <c r="G628" s="229"/>
      <c r="H628" s="229"/>
      <c r="I628" s="229"/>
      <c r="J628" s="229"/>
      <c r="K628" s="218"/>
      <c r="L628" s="87"/>
      <c r="M628" s="87"/>
      <c r="N628" s="82"/>
      <c r="O628" s="82"/>
      <c r="P628" s="241"/>
      <c r="Q628" s="241"/>
      <c r="R628" s="82"/>
      <c r="S628" s="241"/>
      <c r="T628" s="82"/>
      <c r="U628" s="241"/>
      <c r="V628" s="82"/>
      <c r="W628" s="88"/>
      <c r="X628" s="82"/>
      <c r="Y628" s="89"/>
      <c r="Z628" s="82"/>
      <c r="AA628" s="90"/>
      <c r="AB628" s="241"/>
      <c r="AC628" s="241"/>
      <c r="AD628" s="241"/>
      <c r="AE628" s="82"/>
      <c r="AF628" s="82"/>
      <c r="AG628" s="90"/>
      <c r="AH628" s="90"/>
      <c r="AI628" s="90"/>
      <c r="AJ628" s="90"/>
      <c r="AK628" s="82"/>
      <c r="AL628" s="82" t="str" cm="1">
        <f t="array" aca="1" ref="AL628" ca="1">_xlfn.IFS(
 AND($AK628&lt;&gt;"", M628&lt;&gt;0, M628&lt;=EDATE(TODAY(),2)),"도래",
 AND($AK628&lt;&gt;"", M628&lt;&gt;0, M628&lt;=EDATE(TODAY(),3)),"예정",
 AND($AK628&lt;&gt;"", M628&lt;&gt;0, M628&lt;=EDATE(TODAY(),6)),"관심",
 TRUE,""
)</f>
        <v/>
      </c>
      <c r="AM628" s="86"/>
    </row>
    <row r="629" spans="1:39" ht="18" customHeight="1">
      <c r="A629" s="81"/>
      <c r="B629" s="205" t="str">
        <f>_xlfn.LET(_xlpm.var,◆관리정보!B629,IF(_xlpm.var&lt;&gt;0,_xlpm.var,""))</f>
        <v/>
      </c>
      <c r="C629" s="82" t="str">
        <f>_xlfn.LET(_xlpm.var,◆관리정보!C629,IF(_xlpm.var&lt;&gt;0,_xlpm.var,""))</f>
        <v/>
      </c>
      <c r="D629" s="83"/>
      <c r="E629" s="84" t="str">
        <f t="shared" si="22"/>
        <v/>
      </c>
      <c r="F629" s="87"/>
      <c r="G629" s="229"/>
      <c r="H629" s="229"/>
      <c r="I629" s="229"/>
      <c r="J629" s="229"/>
      <c r="K629" s="218"/>
      <c r="L629" s="87"/>
      <c r="M629" s="87"/>
      <c r="N629" s="82"/>
      <c r="O629" s="82"/>
      <c r="P629" s="241"/>
      <c r="Q629" s="241"/>
      <c r="R629" s="82"/>
      <c r="S629" s="241"/>
      <c r="T629" s="82"/>
      <c r="U629" s="241"/>
      <c r="V629" s="82"/>
      <c r="W629" s="88"/>
      <c r="X629" s="82"/>
      <c r="Y629" s="89"/>
      <c r="Z629" s="82"/>
      <c r="AA629" s="90"/>
      <c r="AB629" s="241"/>
      <c r="AC629" s="241"/>
      <c r="AD629" s="241"/>
      <c r="AE629" s="82"/>
      <c r="AF629" s="82"/>
      <c r="AG629" s="90"/>
      <c r="AH629" s="90"/>
      <c r="AI629" s="90"/>
      <c r="AJ629" s="90"/>
      <c r="AK629" s="82"/>
      <c r="AL629" s="82" t="str" cm="1">
        <f t="array" aca="1" ref="AL629" ca="1">_xlfn.IFS(
 AND($AK629&lt;&gt;"", M629&lt;&gt;0, M629&lt;=EDATE(TODAY(),2)),"도래",
 AND($AK629&lt;&gt;"", M629&lt;&gt;0, M629&lt;=EDATE(TODAY(),3)),"예정",
 AND($AK629&lt;&gt;"", M629&lt;&gt;0, M629&lt;=EDATE(TODAY(),6)),"관심",
 TRUE,""
)</f>
        <v/>
      </c>
      <c r="AM629" s="86"/>
    </row>
    <row r="630" spans="1:39" ht="18" customHeight="1">
      <c r="A630" s="81"/>
      <c r="B630" s="205" t="str">
        <f>_xlfn.LET(_xlpm.var,◆관리정보!B630,IF(_xlpm.var&lt;&gt;0,_xlpm.var,""))</f>
        <v/>
      </c>
      <c r="C630" s="82" t="str">
        <f>_xlfn.LET(_xlpm.var,◆관리정보!C630,IF(_xlpm.var&lt;&gt;0,_xlpm.var,""))</f>
        <v/>
      </c>
      <c r="D630" s="83"/>
      <c r="E630" s="84" t="str">
        <f t="shared" si="22"/>
        <v/>
      </c>
      <c r="F630" s="87"/>
      <c r="G630" s="229"/>
      <c r="H630" s="229"/>
      <c r="I630" s="229"/>
      <c r="J630" s="229"/>
      <c r="K630" s="218"/>
      <c r="L630" s="87"/>
      <c r="M630" s="87"/>
      <c r="N630" s="82"/>
      <c r="O630" s="82"/>
      <c r="P630" s="241"/>
      <c r="Q630" s="241"/>
      <c r="R630" s="82"/>
      <c r="S630" s="241"/>
      <c r="T630" s="82"/>
      <c r="U630" s="241"/>
      <c r="V630" s="82"/>
      <c r="W630" s="88"/>
      <c r="X630" s="82"/>
      <c r="Y630" s="89"/>
      <c r="Z630" s="82"/>
      <c r="AA630" s="90"/>
      <c r="AB630" s="241"/>
      <c r="AC630" s="241"/>
      <c r="AD630" s="241"/>
      <c r="AE630" s="82"/>
      <c r="AF630" s="82"/>
      <c r="AG630" s="90"/>
      <c r="AH630" s="90"/>
      <c r="AI630" s="90"/>
      <c r="AJ630" s="90"/>
      <c r="AK630" s="82"/>
      <c r="AL630" s="82" t="str" cm="1">
        <f t="array" aca="1" ref="AL630" ca="1">_xlfn.IFS(
 AND($AK630&lt;&gt;"", M630&lt;&gt;0, M630&lt;=EDATE(TODAY(),2)),"도래",
 AND($AK630&lt;&gt;"", M630&lt;&gt;0, M630&lt;=EDATE(TODAY(),3)),"예정",
 AND($AK630&lt;&gt;"", M630&lt;&gt;0, M630&lt;=EDATE(TODAY(),6)),"관심",
 TRUE,""
)</f>
        <v/>
      </c>
      <c r="AM630" s="86"/>
    </row>
    <row r="631" spans="1:39" ht="18" customHeight="1">
      <c r="A631" s="81"/>
      <c r="B631" s="205" t="str">
        <f>_xlfn.LET(_xlpm.var,◆관리정보!B631,IF(_xlpm.var&lt;&gt;0,_xlpm.var,""))</f>
        <v/>
      </c>
      <c r="C631" s="82" t="str">
        <f>_xlfn.LET(_xlpm.var,◆관리정보!C631,IF(_xlpm.var&lt;&gt;0,_xlpm.var,""))</f>
        <v/>
      </c>
      <c r="D631" s="83"/>
      <c r="E631" s="84" t="str">
        <f t="shared" si="22"/>
        <v/>
      </c>
      <c r="F631" s="87"/>
      <c r="G631" s="229"/>
      <c r="H631" s="229"/>
      <c r="I631" s="229"/>
      <c r="J631" s="229"/>
      <c r="K631" s="218"/>
      <c r="L631" s="87"/>
      <c r="M631" s="87"/>
      <c r="N631" s="82"/>
      <c r="O631" s="82"/>
      <c r="P631" s="241"/>
      <c r="Q631" s="241"/>
      <c r="R631" s="82"/>
      <c r="S631" s="241"/>
      <c r="T631" s="82"/>
      <c r="U631" s="241"/>
      <c r="V631" s="82"/>
      <c r="W631" s="88"/>
      <c r="X631" s="82"/>
      <c r="Y631" s="89"/>
      <c r="Z631" s="82"/>
      <c r="AA631" s="90"/>
      <c r="AB631" s="241"/>
      <c r="AC631" s="241"/>
      <c r="AD631" s="241"/>
      <c r="AE631" s="82"/>
      <c r="AF631" s="82"/>
      <c r="AG631" s="90"/>
      <c r="AH631" s="90"/>
      <c r="AI631" s="90"/>
      <c r="AJ631" s="90"/>
      <c r="AK631" s="82"/>
      <c r="AL631" s="82" t="str" cm="1">
        <f t="array" aca="1" ref="AL631" ca="1">_xlfn.IFS(
 AND($AK631&lt;&gt;"", M631&lt;&gt;0, M631&lt;=EDATE(TODAY(),2)),"도래",
 AND($AK631&lt;&gt;"", M631&lt;&gt;0, M631&lt;=EDATE(TODAY(),3)),"예정",
 AND($AK631&lt;&gt;"", M631&lt;&gt;0, M631&lt;=EDATE(TODAY(),6)),"관심",
 TRUE,""
)</f>
        <v/>
      </c>
      <c r="AM631" s="86"/>
    </row>
    <row r="632" spans="1:39" ht="18" customHeight="1">
      <c r="A632" s="81"/>
      <c r="B632" s="205" t="str">
        <f>_xlfn.LET(_xlpm.var,◆관리정보!B632,IF(_xlpm.var&lt;&gt;0,_xlpm.var,""))</f>
        <v/>
      </c>
      <c r="C632" s="82" t="str">
        <f>_xlfn.LET(_xlpm.var,◆관리정보!C632,IF(_xlpm.var&lt;&gt;0,_xlpm.var,""))</f>
        <v/>
      </c>
      <c r="D632" s="83"/>
      <c r="E632" s="84" t="str">
        <f t="shared" si="22"/>
        <v/>
      </c>
      <c r="F632" s="87"/>
      <c r="G632" s="229"/>
      <c r="H632" s="229"/>
      <c r="I632" s="229"/>
      <c r="J632" s="229"/>
      <c r="K632" s="218"/>
      <c r="L632" s="87"/>
      <c r="M632" s="87"/>
      <c r="N632" s="82"/>
      <c r="O632" s="82"/>
      <c r="P632" s="241"/>
      <c r="Q632" s="241"/>
      <c r="R632" s="82"/>
      <c r="S632" s="241"/>
      <c r="T632" s="82"/>
      <c r="U632" s="241"/>
      <c r="V632" s="82"/>
      <c r="W632" s="88"/>
      <c r="X632" s="82"/>
      <c r="Y632" s="89"/>
      <c r="Z632" s="82"/>
      <c r="AA632" s="90"/>
      <c r="AB632" s="241"/>
      <c r="AC632" s="241"/>
      <c r="AD632" s="241"/>
      <c r="AE632" s="82"/>
      <c r="AF632" s="82"/>
      <c r="AG632" s="90"/>
      <c r="AH632" s="90"/>
      <c r="AI632" s="90"/>
      <c r="AJ632" s="90"/>
      <c r="AK632" s="82"/>
      <c r="AL632" s="82" t="str" cm="1">
        <f t="array" aca="1" ref="AL632" ca="1">_xlfn.IFS(
 AND($AK632&lt;&gt;"", M632&lt;&gt;0, M632&lt;=EDATE(TODAY(),2)),"도래",
 AND($AK632&lt;&gt;"", M632&lt;&gt;0, M632&lt;=EDATE(TODAY(),3)),"예정",
 AND($AK632&lt;&gt;"", M632&lt;&gt;0, M632&lt;=EDATE(TODAY(),6)),"관심",
 TRUE,""
)</f>
        <v/>
      </c>
      <c r="AM632" s="86"/>
    </row>
    <row r="633" spans="1:39" ht="18" customHeight="1">
      <c r="A633" s="81"/>
      <c r="B633" s="205" t="str">
        <f>_xlfn.LET(_xlpm.var,◆관리정보!B633,IF(_xlpm.var&lt;&gt;0,_xlpm.var,""))</f>
        <v/>
      </c>
      <c r="C633" s="82" t="str">
        <f>_xlfn.LET(_xlpm.var,◆관리정보!C633,IF(_xlpm.var&lt;&gt;0,_xlpm.var,""))</f>
        <v/>
      </c>
      <c r="D633" s="83"/>
      <c r="E633" s="84" t="str">
        <f t="shared" si="22"/>
        <v/>
      </c>
      <c r="F633" s="87"/>
      <c r="G633" s="229"/>
      <c r="H633" s="229"/>
      <c r="I633" s="229"/>
      <c r="J633" s="229"/>
      <c r="K633" s="218"/>
      <c r="L633" s="87"/>
      <c r="M633" s="87"/>
      <c r="N633" s="82"/>
      <c r="O633" s="82"/>
      <c r="P633" s="241"/>
      <c r="Q633" s="241"/>
      <c r="R633" s="82"/>
      <c r="S633" s="241"/>
      <c r="T633" s="82"/>
      <c r="U633" s="241"/>
      <c r="V633" s="82"/>
      <c r="W633" s="88"/>
      <c r="X633" s="82"/>
      <c r="Y633" s="89"/>
      <c r="Z633" s="82"/>
      <c r="AA633" s="90"/>
      <c r="AB633" s="241"/>
      <c r="AC633" s="241"/>
      <c r="AD633" s="241"/>
      <c r="AE633" s="82"/>
      <c r="AF633" s="82"/>
      <c r="AG633" s="90"/>
      <c r="AH633" s="90"/>
      <c r="AI633" s="90"/>
      <c r="AJ633" s="90"/>
      <c r="AK633" s="82"/>
      <c r="AL633" s="82" t="str" cm="1">
        <f t="array" aca="1" ref="AL633" ca="1">_xlfn.IFS(
 AND($AK633&lt;&gt;"", M633&lt;&gt;0, M633&lt;=EDATE(TODAY(),2)),"도래",
 AND($AK633&lt;&gt;"", M633&lt;&gt;0, M633&lt;=EDATE(TODAY(),3)),"예정",
 AND($AK633&lt;&gt;"", M633&lt;&gt;0, M633&lt;=EDATE(TODAY(),6)),"관심",
 TRUE,""
)</f>
        <v/>
      </c>
      <c r="AM633" s="86"/>
    </row>
    <row r="634" spans="1:39" ht="18" customHeight="1">
      <c r="A634" s="81"/>
      <c r="B634" s="205" t="str">
        <f>_xlfn.LET(_xlpm.var,◆관리정보!B634,IF(_xlpm.var&lt;&gt;0,_xlpm.var,""))</f>
        <v/>
      </c>
      <c r="C634" s="82" t="str">
        <f>_xlfn.LET(_xlpm.var,◆관리정보!C634,IF(_xlpm.var&lt;&gt;0,_xlpm.var,""))</f>
        <v/>
      </c>
      <c r="D634" s="83"/>
      <c r="E634" s="84" t="str">
        <f t="shared" si="22"/>
        <v/>
      </c>
      <c r="F634" s="87"/>
      <c r="G634" s="229"/>
      <c r="H634" s="229"/>
      <c r="I634" s="229"/>
      <c r="J634" s="229"/>
      <c r="K634" s="218"/>
      <c r="L634" s="87"/>
      <c r="M634" s="87"/>
      <c r="N634" s="82"/>
      <c r="O634" s="82"/>
      <c r="P634" s="241"/>
      <c r="Q634" s="241"/>
      <c r="R634" s="82"/>
      <c r="S634" s="241"/>
      <c r="T634" s="82"/>
      <c r="U634" s="241"/>
      <c r="V634" s="82"/>
      <c r="W634" s="88"/>
      <c r="X634" s="82"/>
      <c r="Y634" s="89"/>
      <c r="Z634" s="82"/>
      <c r="AA634" s="90"/>
      <c r="AB634" s="241"/>
      <c r="AC634" s="241"/>
      <c r="AD634" s="241"/>
      <c r="AE634" s="82"/>
      <c r="AF634" s="82"/>
      <c r="AG634" s="90"/>
      <c r="AH634" s="90"/>
      <c r="AI634" s="90"/>
      <c r="AJ634" s="90"/>
      <c r="AK634" s="82"/>
      <c r="AL634" s="82" t="str" cm="1">
        <f t="array" aca="1" ref="AL634" ca="1">_xlfn.IFS(
 AND($AK634&lt;&gt;"", M634&lt;&gt;0, M634&lt;=EDATE(TODAY(),2)),"도래",
 AND($AK634&lt;&gt;"", M634&lt;&gt;0, M634&lt;=EDATE(TODAY(),3)),"예정",
 AND($AK634&lt;&gt;"", M634&lt;&gt;0, M634&lt;=EDATE(TODAY(),6)),"관심",
 TRUE,""
)</f>
        <v/>
      </c>
      <c r="AM634" s="86"/>
    </row>
    <row r="635" spans="1:39" ht="18" customHeight="1">
      <c r="A635" s="81"/>
      <c r="B635" s="205" t="str">
        <f>_xlfn.LET(_xlpm.var,◆관리정보!B635,IF(_xlpm.var&lt;&gt;0,_xlpm.var,""))</f>
        <v/>
      </c>
      <c r="C635" s="82" t="str">
        <f>_xlfn.LET(_xlpm.var,◆관리정보!C635,IF(_xlpm.var&lt;&gt;0,_xlpm.var,""))</f>
        <v/>
      </c>
      <c r="D635" s="83"/>
      <c r="E635" s="84" t="str">
        <f t="shared" si="22"/>
        <v/>
      </c>
      <c r="F635" s="87"/>
      <c r="G635" s="229"/>
      <c r="H635" s="229"/>
      <c r="I635" s="229"/>
      <c r="J635" s="229"/>
      <c r="K635" s="218"/>
      <c r="L635" s="87"/>
      <c r="M635" s="87"/>
      <c r="N635" s="82"/>
      <c r="O635" s="82"/>
      <c r="P635" s="241"/>
      <c r="Q635" s="241"/>
      <c r="R635" s="82"/>
      <c r="S635" s="241"/>
      <c r="T635" s="82"/>
      <c r="U635" s="241"/>
      <c r="V635" s="82"/>
      <c r="W635" s="88"/>
      <c r="X635" s="82"/>
      <c r="Y635" s="89"/>
      <c r="Z635" s="82"/>
      <c r="AA635" s="90"/>
      <c r="AB635" s="241"/>
      <c r="AC635" s="241"/>
      <c r="AD635" s="241"/>
      <c r="AE635" s="82"/>
      <c r="AF635" s="82"/>
      <c r="AG635" s="90"/>
      <c r="AH635" s="90"/>
      <c r="AI635" s="90"/>
      <c r="AJ635" s="90"/>
      <c r="AK635" s="82"/>
      <c r="AL635" s="82" t="str" cm="1">
        <f t="array" aca="1" ref="AL635" ca="1">_xlfn.IFS(
 AND($AK635&lt;&gt;"", M635&lt;&gt;0, M635&lt;=EDATE(TODAY(),2)),"도래",
 AND($AK635&lt;&gt;"", M635&lt;&gt;0, M635&lt;=EDATE(TODAY(),3)),"예정",
 AND($AK635&lt;&gt;"", M635&lt;&gt;0, M635&lt;=EDATE(TODAY(),6)),"관심",
 TRUE,""
)</f>
        <v/>
      </c>
      <c r="AM635" s="86"/>
    </row>
    <row r="636" spans="1:39" ht="18" customHeight="1">
      <c r="A636" s="81"/>
      <c r="B636" s="205" t="str">
        <f>_xlfn.LET(_xlpm.var,◆관리정보!B636,IF(_xlpm.var&lt;&gt;0,_xlpm.var,""))</f>
        <v/>
      </c>
      <c r="C636" s="82" t="str">
        <f>_xlfn.LET(_xlpm.var,◆관리정보!C636,IF(_xlpm.var&lt;&gt;0,_xlpm.var,""))</f>
        <v/>
      </c>
      <c r="D636" s="83"/>
      <c r="E636" s="84" t="str">
        <f t="shared" si="22"/>
        <v/>
      </c>
      <c r="F636" s="87"/>
      <c r="G636" s="229"/>
      <c r="H636" s="229"/>
      <c r="I636" s="229"/>
      <c r="J636" s="229"/>
      <c r="K636" s="218"/>
      <c r="L636" s="87"/>
      <c r="M636" s="87"/>
      <c r="N636" s="82"/>
      <c r="O636" s="82"/>
      <c r="P636" s="241"/>
      <c r="Q636" s="241"/>
      <c r="R636" s="82"/>
      <c r="S636" s="241"/>
      <c r="T636" s="82"/>
      <c r="U636" s="241"/>
      <c r="V636" s="82"/>
      <c r="W636" s="88"/>
      <c r="X636" s="82"/>
      <c r="Y636" s="89"/>
      <c r="Z636" s="82"/>
      <c r="AA636" s="90"/>
      <c r="AB636" s="241"/>
      <c r="AC636" s="241"/>
      <c r="AD636" s="241"/>
      <c r="AE636" s="82"/>
      <c r="AF636" s="82"/>
      <c r="AG636" s="90"/>
      <c r="AH636" s="90"/>
      <c r="AI636" s="90"/>
      <c r="AJ636" s="90"/>
      <c r="AK636" s="82"/>
      <c r="AL636" s="82" t="str" cm="1">
        <f t="array" aca="1" ref="AL636" ca="1">_xlfn.IFS(
 AND($AK636&lt;&gt;"", M636&lt;&gt;0, M636&lt;=EDATE(TODAY(),2)),"도래",
 AND($AK636&lt;&gt;"", M636&lt;&gt;0, M636&lt;=EDATE(TODAY(),3)),"예정",
 AND($AK636&lt;&gt;"", M636&lt;&gt;0, M636&lt;=EDATE(TODAY(),6)),"관심",
 TRUE,""
)</f>
        <v/>
      </c>
      <c r="AM636" s="86"/>
    </row>
    <row r="637" spans="1:39" ht="18" customHeight="1">
      <c r="A637" s="81"/>
      <c r="B637" s="205" t="str">
        <f>_xlfn.LET(_xlpm.var,◆관리정보!B637,IF(_xlpm.var&lt;&gt;0,_xlpm.var,""))</f>
        <v/>
      </c>
      <c r="C637" s="82" t="str">
        <f>_xlfn.LET(_xlpm.var,◆관리정보!C637,IF(_xlpm.var&lt;&gt;0,_xlpm.var,""))</f>
        <v/>
      </c>
      <c r="D637" s="83"/>
      <c r="E637" s="84" t="str">
        <f t="shared" si="22"/>
        <v/>
      </c>
      <c r="F637" s="87"/>
      <c r="G637" s="229"/>
      <c r="H637" s="229"/>
      <c r="I637" s="229"/>
      <c r="J637" s="229"/>
      <c r="K637" s="218"/>
      <c r="L637" s="87"/>
      <c r="M637" s="87"/>
      <c r="N637" s="82"/>
      <c r="O637" s="82"/>
      <c r="P637" s="241"/>
      <c r="Q637" s="241"/>
      <c r="R637" s="82"/>
      <c r="S637" s="241"/>
      <c r="T637" s="82"/>
      <c r="U637" s="241"/>
      <c r="V637" s="82"/>
      <c r="W637" s="88"/>
      <c r="X637" s="82"/>
      <c r="Y637" s="89"/>
      <c r="Z637" s="82"/>
      <c r="AA637" s="90"/>
      <c r="AB637" s="241"/>
      <c r="AC637" s="241"/>
      <c r="AD637" s="241"/>
      <c r="AE637" s="82"/>
      <c r="AF637" s="82"/>
      <c r="AG637" s="90"/>
      <c r="AH637" s="90"/>
      <c r="AI637" s="90"/>
      <c r="AJ637" s="90"/>
      <c r="AK637" s="82"/>
      <c r="AL637" s="82" t="str" cm="1">
        <f t="array" aca="1" ref="AL637" ca="1">_xlfn.IFS(
 AND($AK637&lt;&gt;"", M637&lt;&gt;0, M637&lt;=EDATE(TODAY(),2)),"도래",
 AND($AK637&lt;&gt;"", M637&lt;&gt;0, M637&lt;=EDATE(TODAY(),3)),"예정",
 AND($AK637&lt;&gt;"", M637&lt;&gt;0, M637&lt;=EDATE(TODAY(),6)),"관심",
 TRUE,""
)</f>
        <v/>
      </c>
      <c r="AM637" s="86"/>
    </row>
    <row r="638" spans="1:39" ht="18" customHeight="1">
      <c r="A638" s="81"/>
      <c r="B638" s="205" t="str">
        <f>_xlfn.LET(_xlpm.var,◆관리정보!B638,IF(_xlpm.var&lt;&gt;0,_xlpm.var,""))</f>
        <v/>
      </c>
      <c r="C638" s="82" t="str">
        <f>_xlfn.LET(_xlpm.var,◆관리정보!C638,IF(_xlpm.var&lt;&gt;0,_xlpm.var,""))</f>
        <v/>
      </c>
      <c r="D638" s="83"/>
      <c r="E638" s="84" t="str">
        <f t="shared" si="22"/>
        <v/>
      </c>
      <c r="F638" s="87"/>
      <c r="G638" s="229"/>
      <c r="H638" s="229"/>
      <c r="I638" s="229"/>
      <c r="J638" s="229"/>
      <c r="K638" s="218"/>
      <c r="L638" s="87"/>
      <c r="M638" s="87"/>
      <c r="N638" s="82"/>
      <c r="O638" s="82"/>
      <c r="P638" s="241"/>
      <c r="Q638" s="241"/>
      <c r="R638" s="82"/>
      <c r="S638" s="241"/>
      <c r="T638" s="82"/>
      <c r="U638" s="241"/>
      <c r="V638" s="82"/>
      <c r="W638" s="88"/>
      <c r="X638" s="82"/>
      <c r="Y638" s="89"/>
      <c r="Z638" s="82"/>
      <c r="AA638" s="90"/>
      <c r="AB638" s="241"/>
      <c r="AC638" s="241"/>
      <c r="AD638" s="241"/>
      <c r="AE638" s="82"/>
      <c r="AF638" s="82"/>
      <c r="AG638" s="90"/>
      <c r="AH638" s="90"/>
      <c r="AI638" s="90"/>
      <c r="AJ638" s="90"/>
      <c r="AK638" s="82"/>
      <c r="AL638" s="82" t="str" cm="1">
        <f t="array" aca="1" ref="AL638" ca="1">_xlfn.IFS(
 AND($AK638&lt;&gt;"", M638&lt;&gt;0, M638&lt;=EDATE(TODAY(),2)),"도래",
 AND($AK638&lt;&gt;"", M638&lt;&gt;0, M638&lt;=EDATE(TODAY(),3)),"예정",
 AND($AK638&lt;&gt;"", M638&lt;&gt;0, M638&lt;=EDATE(TODAY(),6)),"관심",
 TRUE,""
)</f>
        <v/>
      </c>
      <c r="AM638" s="86"/>
    </row>
    <row r="639" spans="1:39" ht="18" customHeight="1">
      <c r="A639" s="81"/>
      <c r="B639" s="205" t="str">
        <f>_xlfn.LET(_xlpm.var,◆관리정보!B639,IF(_xlpm.var&lt;&gt;0,_xlpm.var,""))</f>
        <v/>
      </c>
      <c r="C639" s="82" t="str">
        <f>_xlfn.LET(_xlpm.var,◆관리정보!C639,IF(_xlpm.var&lt;&gt;0,_xlpm.var,""))</f>
        <v/>
      </c>
      <c r="D639" s="83"/>
      <c r="E639" s="84" t="str">
        <f t="shared" si="22"/>
        <v/>
      </c>
      <c r="F639" s="87"/>
      <c r="G639" s="229"/>
      <c r="H639" s="229"/>
      <c r="I639" s="229"/>
      <c r="J639" s="229"/>
      <c r="K639" s="218"/>
      <c r="L639" s="87"/>
      <c r="M639" s="87"/>
      <c r="N639" s="82"/>
      <c r="O639" s="82"/>
      <c r="P639" s="241"/>
      <c r="Q639" s="241"/>
      <c r="R639" s="82"/>
      <c r="S639" s="241"/>
      <c r="T639" s="82"/>
      <c r="U639" s="241"/>
      <c r="V639" s="82"/>
      <c r="W639" s="88"/>
      <c r="X639" s="82"/>
      <c r="Y639" s="89"/>
      <c r="Z639" s="82"/>
      <c r="AA639" s="90"/>
      <c r="AB639" s="241"/>
      <c r="AC639" s="241"/>
      <c r="AD639" s="241"/>
      <c r="AE639" s="82"/>
      <c r="AF639" s="82"/>
      <c r="AG639" s="90"/>
      <c r="AH639" s="90"/>
      <c r="AI639" s="90"/>
      <c r="AJ639" s="90"/>
      <c r="AK639" s="82"/>
      <c r="AL639" s="82" t="str" cm="1">
        <f t="array" aca="1" ref="AL639" ca="1">_xlfn.IFS(
 AND($AK639&lt;&gt;"", M639&lt;&gt;0, M639&lt;=EDATE(TODAY(),2)),"도래",
 AND($AK639&lt;&gt;"", M639&lt;&gt;0, M639&lt;=EDATE(TODAY(),3)),"예정",
 AND($AK639&lt;&gt;"", M639&lt;&gt;0, M639&lt;=EDATE(TODAY(),6)),"관심",
 TRUE,""
)</f>
        <v/>
      </c>
      <c r="AM639" s="86"/>
    </row>
    <row r="640" spans="1:39" ht="18" customHeight="1">
      <c r="A640" s="81"/>
      <c r="B640" s="205" t="str">
        <f>_xlfn.LET(_xlpm.var,◆관리정보!B640,IF(_xlpm.var&lt;&gt;0,_xlpm.var,""))</f>
        <v/>
      </c>
      <c r="C640" s="82" t="str">
        <f>_xlfn.LET(_xlpm.var,◆관리정보!C640,IF(_xlpm.var&lt;&gt;0,_xlpm.var,""))</f>
        <v/>
      </c>
      <c r="D640" s="83"/>
      <c r="E640" s="84" t="str">
        <f t="shared" si="22"/>
        <v/>
      </c>
      <c r="F640" s="87"/>
      <c r="G640" s="229"/>
      <c r="H640" s="229"/>
      <c r="I640" s="229"/>
      <c r="J640" s="229"/>
      <c r="K640" s="218"/>
      <c r="L640" s="87"/>
      <c r="M640" s="87"/>
      <c r="N640" s="82"/>
      <c r="O640" s="82"/>
      <c r="P640" s="241"/>
      <c r="Q640" s="241"/>
      <c r="R640" s="82"/>
      <c r="S640" s="241"/>
      <c r="T640" s="82"/>
      <c r="U640" s="241"/>
      <c r="V640" s="82"/>
      <c r="W640" s="88"/>
      <c r="X640" s="82"/>
      <c r="Y640" s="89"/>
      <c r="Z640" s="82"/>
      <c r="AA640" s="90"/>
      <c r="AB640" s="241"/>
      <c r="AC640" s="241"/>
      <c r="AD640" s="241"/>
      <c r="AE640" s="82"/>
      <c r="AF640" s="82"/>
      <c r="AG640" s="90"/>
      <c r="AH640" s="90"/>
      <c r="AI640" s="90"/>
      <c r="AJ640" s="90"/>
      <c r="AK640" s="82"/>
      <c r="AL640" s="82" t="str" cm="1">
        <f t="array" aca="1" ref="AL640" ca="1">_xlfn.IFS(
 AND($AK640&lt;&gt;"", M640&lt;&gt;0, M640&lt;=EDATE(TODAY(),2)),"도래",
 AND($AK640&lt;&gt;"", M640&lt;&gt;0, M640&lt;=EDATE(TODAY(),3)),"예정",
 AND($AK640&lt;&gt;"", M640&lt;&gt;0, M640&lt;=EDATE(TODAY(),6)),"관심",
 TRUE,""
)</f>
        <v/>
      </c>
      <c r="AM640" s="86"/>
    </row>
    <row r="641" spans="1:39" ht="18" customHeight="1">
      <c r="A641" s="81"/>
      <c r="B641" s="205" t="str">
        <f>_xlfn.LET(_xlpm.var,◆관리정보!B641,IF(_xlpm.var&lt;&gt;0,_xlpm.var,""))</f>
        <v/>
      </c>
      <c r="C641" s="82" t="str">
        <f>_xlfn.LET(_xlpm.var,◆관리정보!C641,IF(_xlpm.var&lt;&gt;0,_xlpm.var,""))</f>
        <v/>
      </c>
      <c r="D641" s="83"/>
      <c r="E641" s="84" t="str">
        <f t="shared" si="22"/>
        <v/>
      </c>
      <c r="F641" s="87"/>
      <c r="G641" s="229"/>
      <c r="H641" s="229"/>
      <c r="I641" s="229"/>
      <c r="J641" s="229"/>
      <c r="K641" s="218"/>
      <c r="L641" s="87"/>
      <c r="M641" s="87"/>
      <c r="N641" s="82"/>
      <c r="O641" s="82"/>
      <c r="P641" s="241"/>
      <c r="Q641" s="241"/>
      <c r="R641" s="82"/>
      <c r="S641" s="241"/>
      <c r="T641" s="82"/>
      <c r="U641" s="241"/>
      <c r="V641" s="82"/>
      <c r="W641" s="88"/>
      <c r="X641" s="82"/>
      <c r="Y641" s="89"/>
      <c r="Z641" s="82"/>
      <c r="AA641" s="90"/>
      <c r="AB641" s="241"/>
      <c r="AC641" s="241"/>
      <c r="AD641" s="241"/>
      <c r="AE641" s="82"/>
      <c r="AF641" s="82"/>
      <c r="AG641" s="90"/>
      <c r="AH641" s="90"/>
      <c r="AI641" s="90"/>
      <c r="AJ641" s="90"/>
      <c r="AK641" s="82"/>
      <c r="AL641" s="82" t="str" cm="1">
        <f t="array" aca="1" ref="AL641" ca="1">_xlfn.IFS(
 AND($AK641&lt;&gt;"", M641&lt;&gt;0, M641&lt;=EDATE(TODAY(),2)),"도래",
 AND($AK641&lt;&gt;"", M641&lt;&gt;0, M641&lt;=EDATE(TODAY(),3)),"예정",
 AND($AK641&lt;&gt;"", M641&lt;&gt;0, M641&lt;=EDATE(TODAY(),6)),"관심",
 TRUE,""
)</f>
        <v/>
      </c>
      <c r="AM641" s="86"/>
    </row>
    <row r="642" spans="1:39" ht="18" customHeight="1">
      <c r="A642" s="81"/>
      <c r="B642" s="205" t="str">
        <f>_xlfn.LET(_xlpm.var,◆관리정보!B642,IF(_xlpm.var&lt;&gt;0,_xlpm.var,""))</f>
        <v/>
      </c>
      <c r="C642" s="82" t="str">
        <f>_xlfn.LET(_xlpm.var,◆관리정보!C642,IF(_xlpm.var&lt;&gt;0,_xlpm.var,""))</f>
        <v/>
      </c>
      <c r="D642" s="83"/>
      <c r="E642" s="84" t="str">
        <f t="shared" si="22"/>
        <v/>
      </c>
      <c r="F642" s="87"/>
      <c r="G642" s="229"/>
      <c r="H642" s="229"/>
      <c r="I642" s="229"/>
      <c r="J642" s="229"/>
      <c r="K642" s="218"/>
      <c r="L642" s="87"/>
      <c r="M642" s="87"/>
      <c r="N642" s="82"/>
      <c r="O642" s="82"/>
      <c r="P642" s="241"/>
      <c r="Q642" s="241"/>
      <c r="R642" s="82"/>
      <c r="S642" s="241"/>
      <c r="T642" s="82"/>
      <c r="U642" s="241"/>
      <c r="V642" s="82"/>
      <c r="W642" s="88"/>
      <c r="X642" s="82"/>
      <c r="Y642" s="89"/>
      <c r="Z642" s="82"/>
      <c r="AA642" s="90"/>
      <c r="AB642" s="241"/>
      <c r="AC642" s="241"/>
      <c r="AD642" s="241"/>
      <c r="AE642" s="82"/>
      <c r="AF642" s="82"/>
      <c r="AG642" s="90"/>
      <c r="AH642" s="90"/>
      <c r="AI642" s="90"/>
      <c r="AJ642" s="90"/>
      <c r="AK642" s="82"/>
      <c r="AL642" s="82" t="str" cm="1">
        <f t="array" aca="1" ref="AL642" ca="1">_xlfn.IFS(
 AND($AK642&lt;&gt;"", M642&lt;&gt;0, M642&lt;=EDATE(TODAY(),2)),"도래",
 AND($AK642&lt;&gt;"", M642&lt;&gt;0, M642&lt;=EDATE(TODAY(),3)),"예정",
 AND($AK642&lt;&gt;"", M642&lt;&gt;0, M642&lt;=EDATE(TODAY(),6)),"관심",
 TRUE,""
)</f>
        <v/>
      </c>
      <c r="AM642" s="86"/>
    </row>
    <row r="643" spans="1:39" ht="18" customHeight="1">
      <c r="A643" s="81"/>
      <c r="B643" s="205" t="str">
        <f>_xlfn.LET(_xlpm.var,◆관리정보!B643,IF(_xlpm.var&lt;&gt;0,_xlpm.var,""))</f>
        <v/>
      </c>
      <c r="C643" s="82" t="str">
        <f>_xlfn.LET(_xlpm.var,◆관리정보!C643,IF(_xlpm.var&lt;&gt;0,_xlpm.var,""))</f>
        <v/>
      </c>
      <c r="D643" s="83"/>
      <c r="E643" s="84" t="str">
        <f t="shared" si="22"/>
        <v/>
      </c>
      <c r="F643" s="87"/>
      <c r="G643" s="229"/>
      <c r="H643" s="229"/>
      <c r="I643" s="229"/>
      <c r="J643" s="229"/>
      <c r="K643" s="218"/>
      <c r="L643" s="87"/>
      <c r="M643" s="87"/>
      <c r="N643" s="82"/>
      <c r="O643" s="82"/>
      <c r="P643" s="241"/>
      <c r="Q643" s="241"/>
      <c r="R643" s="82"/>
      <c r="S643" s="241"/>
      <c r="T643" s="82"/>
      <c r="U643" s="241"/>
      <c r="V643" s="82"/>
      <c r="W643" s="88"/>
      <c r="X643" s="82"/>
      <c r="Y643" s="89"/>
      <c r="Z643" s="82"/>
      <c r="AA643" s="90"/>
      <c r="AB643" s="241"/>
      <c r="AC643" s="241"/>
      <c r="AD643" s="241"/>
      <c r="AE643" s="82"/>
      <c r="AF643" s="82"/>
      <c r="AG643" s="90"/>
      <c r="AH643" s="90"/>
      <c r="AI643" s="90"/>
      <c r="AJ643" s="90"/>
      <c r="AK643" s="82"/>
      <c r="AL643" s="82" t="str" cm="1">
        <f t="array" aca="1" ref="AL643" ca="1">_xlfn.IFS(
 AND($AK643&lt;&gt;"", M643&lt;&gt;0, M643&lt;=EDATE(TODAY(),2)),"도래",
 AND($AK643&lt;&gt;"", M643&lt;&gt;0, M643&lt;=EDATE(TODAY(),3)),"예정",
 AND($AK643&lt;&gt;"", M643&lt;&gt;0, M643&lt;=EDATE(TODAY(),6)),"관심",
 TRUE,""
)</f>
        <v/>
      </c>
      <c r="AM643" s="86"/>
    </row>
    <row r="644" spans="1:39" ht="18" customHeight="1">
      <c r="A644" s="81"/>
      <c r="B644" s="205" t="str">
        <f>_xlfn.LET(_xlpm.var,◆관리정보!B644,IF(_xlpm.var&lt;&gt;0,_xlpm.var,""))</f>
        <v/>
      </c>
      <c r="C644" s="82" t="str">
        <f>_xlfn.LET(_xlpm.var,◆관리정보!C644,IF(_xlpm.var&lt;&gt;0,_xlpm.var,""))</f>
        <v/>
      </c>
      <c r="D644" s="83"/>
      <c r="E644" s="84" t="str">
        <f t="shared" ref="E644:E707" si="23">_xlfn.CONCAT(B644,C644)</f>
        <v/>
      </c>
      <c r="F644" s="87"/>
      <c r="G644" s="229"/>
      <c r="H644" s="229"/>
      <c r="I644" s="229"/>
      <c r="J644" s="229"/>
      <c r="K644" s="218"/>
      <c r="L644" s="87"/>
      <c r="M644" s="87"/>
      <c r="N644" s="82"/>
      <c r="O644" s="82"/>
      <c r="P644" s="241"/>
      <c r="Q644" s="241"/>
      <c r="R644" s="82"/>
      <c r="S644" s="241"/>
      <c r="T644" s="82"/>
      <c r="U644" s="241"/>
      <c r="V644" s="82"/>
      <c r="W644" s="88"/>
      <c r="X644" s="82"/>
      <c r="Y644" s="89"/>
      <c r="Z644" s="82"/>
      <c r="AA644" s="90"/>
      <c r="AB644" s="241"/>
      <c r="AC644" s="241"/>
      <c r="AD644" s="241"/>
      <c r="AE644" s="82"/>
      <c r="AF644" s="82"/>
      <c r="AG644" s="90"/>
      <c r="AH644" s="90"/>
      <c r="AI644" s="90"/>
      <c r="AJ644" s="90"/>
      <c r="AK644" s="82"/>
      <c r="AL644" s="82" t="str" cm="1">
        <f t="array" aca="1" ref="AL644" ca="1">_xlfn.IFS(
 AND($AK644&lt;&gt;"", M644&lt;&gt;0, M644&lt;=EDATE(TODAY(),2)),"도래",
 AND($AK644&lt;&gt;"", M644&lt;&gt;0, M644&lt;=EDATE(TODAY(),3)),"예정",
 AND($AK644&lt;&gt;"", M644&lt;&gt;0, M644&lt;=EDATE(TODAY(),6)),"관심",
 TRUE,""
)</f>
        <v/>
      </c>
      <c r="AM644" s="86"/>
    </row>
    <row r="645" spans="1:39" ht="18" customHeight="1">
      <c r="A645" s="81"/>
      <c r="B645" s="205" t="str">
        <f>_xlfn.LET(_xlpm.var,◆관리정보!B645,IF(_xlpm.var&lt;&gt;0,_xlpm.var,""))</f>
        <v/>
      </c>
      <c r="C645" s="82" t="str">
        <f>_xlfn.LET(_xlpm.var,◆관리정보!C645,IF(_xlpm.var&lt;&gt;0,_xlpm.var,""))</f>
        <v/>
      </c>
      <c r="D645" s="83"/>
      <c r="E645" s="84" t="str">
        <f t="shared" si="23"/>
        <v/>
      </c>
      <c r="F645" s="87"/>
      <c r="G645" s="229"/>
      <c r="H645" s="229"/>
      <c r="I645" s="229"/>
      <c r="J645" s="229"/>
      <c r="K645" s="218"/>
      <c r="L645" s="87"/>
      <c r="M645" s="87"/>
      <c r="N645" s="82"/>
      <c r="O645" s="82"/>
      <c r="P645" s="241"/>
      <c r="Q645" s="241"/>
      <c r="R645" s="82"/>
      <c r="S645" s="241"/>
      <c r="T645" s="82"/>
      <c r="U645" s="241"/>
      <c r="V645" s="82"/>
      <c r="W645" s="88"/>
      <c r="X645" s="82"/>
      <c r="Y645" s="89"/>
      <c r="Z645" s="82"/>
      <c r="AA645" s="90"/>
      <c r="AB645" s="241"/>
      <c r="AC645" s="241"/>
      <c r="AD645" s="241"/>
      <c r="AE645" s="82"/>
      <c r="AF645" s="82"/>
      <c r="AG645" s="90"/>
      <c r="AH645" s="90"/>
      <c r="AI645" s="90"/>
      <c r="AJ645" s="90"/>
      <c r="AK645" s="82"/>
      <c r="AL645" s="82" t="str" cm="1">
        <f t="array" aca="1" ref="AL645" ca="1">_xlfn.IFS(
 AND($AK645&lt;&gt;"", M645&lt;&gt;0, M645&lt;=EDATE(TODAY(),2)),"도래",
 AND($AK645&lt;&gt;"", M645&lt;&gt;0, M645&lt;=EDATE(TODAY(),3)),"예정",
 AND($AK645&lt;&gt;"", M645&lt;&gt;0, M645&lt;=EDATE(TODAY(),6)),"관심",
 TRUE,""
)</f>
        <v/>
      </c>
      <c r="AM645" s="86"/>
    </row>
    <row r="646" spans="1:39" ht="18" customHeight="1">
      <c r="A646" s="81"/>
      <c r="B646" s="205" t="str">
        <f>_xlfn.LET(_xlpm.var,◆관리정보!B646,IF(_xlpm.var&lt;&gt;0,_xlpm.var,""))</f>
        <v/>
      </c>
      <c r="C646" s="82" t="str">
        <f>_xlfn.LET(_xlpm.var,◆관리정보!C646,IF(_xlpm.var&lt;&gt;0,_xlpm.var,""))</f>
        <v/>
      </c>
      <c r="D646" s="83"/>
      <c r="E646" s="84" t="str">
        <f t="shared" si="23"/>
        <v/>
      </c>
      <c r="F646" s="87"/>
      <c r="G646" s="229"/>
      <c r="H646" s="229"/>
      <c r="I646" s="229"/>
      <c r="J646" s="229"/>
      <c r="K646" s="218"/>
      <c r="L646" s="87"/>
      <c r="M646" s="87"/>
      <c r="N646" s="82"/>
      <c r="O646" s="82"/>
      <c r="P646" s="241"/>
      <c r="Q646" s="241"/>
      <c r="R646" s="82"/>
      <c r="S646" s="241"/>
      <c r="T646" s="82"/>
      <c r="U646" s="241"/>
      <c r="V646" s="82"/>
      <c r="W646" s="88"/>
      <c r="X646" s="82"/>
      <c r="Y646" s="89"/>
      <c r="Z646" s="82"/>
      <c r="AA646" s="90"/>
      <c r="AB646" s="241"/>
      <c r="AC646" s="241"/>
      <c r="AD646" s="241"/>
      <c r="AE646" s="82"/>
      <c r="AF646" s="82"/>
      <c r="AG646" s="90"/>
      <c r="AH646" s="90"/>
      <c r="AI646" s="90"/>
      <c r="AJ646" s="90"/>
      <c r="AK646" s="82"/>
      <c r="AL646" s="82" t="str" cm="1">
        <f t="array" aca="1" ref="AL646" ca="1">_xlfn.IFS(
 AND($AK646&lt;&gt;"", M646&lt;&gt;0, M646&lt;=EDATE(TODAY(),2)),"도래",
 AND($AK646&lt;&gt;"", M646&lt;&gt;0, M646&lt;=EDATE(TODAY(),3)),"예정",
 AND($AK646&lt;&gt;"", M646&lt;&gt;0, M646&lt;=EDATE(TODAY(),6)),"관심",
 TRUE,""
)</f>
        <v/>
      </c>
      <c r="AM646" s="86"/>
    </row>
    <row r="647" spans="1:39" ht="18" customHeight="1">
      <c r="A647" s="81"/>
      <c r="B647" s="205" t="str">
        <f>_xlfn.LET(_xlpm.var,◆관리정보!B647,IF(_xlpm.var&lt;&gt;0,_xlpm.var,""))</f>
        <v/>
      </c>
      <c r="C647" s="82" t="str">
        <f>_xlfn.LET(_xlpm.var,◆관리정보!C647,IF(_xlpm.var&lt;&gt;0,_xlpm.var,""))</f>
        <v/>
      </c>
      <c r="D647" s="83"/>
      <c r="E647" s="84" t="str">
        <f t="shared" si="23"/>
        <v/>
      </c>
      <c r="F647" s="87"/>
      <c r="G647" s="229"/>
      <c r="H647" s="229"/>
      <c r="I647" s="229"/>
      <c r="J647" s="229"/>
      <c r="K647" s="218"/>
      <c r="L647" s="87"/>
      <c r="M647" s="87"/>
      <c r="N647" s="82"/>
      <c r="O647" s="82"/>
      <c r="P647" s="241"/>
      <c r="Q647" s="241"/>
      <c r="R647" s="82"/>
      <c r="S647" s="241"/>
      <c r="T647" s="82"/>
      <c r="U647" s="241"/>
      <c r="V647" s="82"/>
      <c r="W647" s="88"/>
      <c r="X647" s="82"/>
      <c r="Y647" s="89"/>
      <c r="Z647" s="82"/>
      <c r="AA647" s="90"/>
      <c r="AB647" s="241"/>
      <c r="AC647" s="241"/>
      <c r="AD647" s="241"/>
      <c r="AE647" s="82"/>
      <c r="AF647" s="82"/>
      <c r="AG647" s="90"/>
      <c r="AH647" s="90"/>
      <c r="AI647" s="90"/>
      <c r="AJ647" s="90"/>
      <c r="AK647" s="82"/>
      <c r="AL647" s="82" t="str" cm="1">
        <f t="array" aca="1" ref="AL647" ca="1">_xlfn.IFS(
 AND($AK647&lt;&gt;"", M647&lt;&gt;0, M647&lt;=EDATE(TODAY(),2)),"도래",
 AND($AK647&lt;&gt;"", M647&lt;&gt;0, M647&lt;=EDATE(TODAY(),3)),"예정",
 AND($AK647&lt;&gt;"", M647&lt;&gt;0, M647&lt;=EDATE(TODAY(),6)),"관심",
 TRUE,""
)</f>
        <v/>
      </c>
      <c r="AM647" s="86"/>
    </row>
    <row r="648" spans="1:39" ht="18" customHeight="1">
      <c r="A648" s="81"/>
      <c r="B648" s="205" t="str">
        <f>_xlfn.LET(_xlpm.var,◆관리정보!B648,IF(_xlpm.var&lt;&gt;0,_xlpm.var,""))</f>
        <v/>
      </c>
      <c r="C648" s="82" t="str">
        <f>_xlfn.LET(_xlpm.var,◆관리정보!C648,IF(_xlpm.var&lt;&gt;0,_xlpm.var,""))</f>
        <v/>
      </c>
      <c r="D648" s="83"/>
      <c r="E648" s="84" t="str">
        <f t="shared" si="23"/>
        <v/>
      </c>
      <c r="F648" s="87"/>
      <c r="G648" s="229"/>
      <c r="H648" s="229"/>
      <c r="I648" s="229"/>
      <c r="J648" s="229"/>
      <c r="K648" s="218"/>
      <c r="L648" s="87"/>
      <c r="M648" s="87"/>
      <c r="N648" s="82"/>
      <c r="O648" s="82"/>
      <c r="P648" s="241"/>
      <c r="Q648" s="241"/>
      <c r="R648" s="82"/>
      <c r="S648" s="241"/>
      <c r="T648" s="82"/>
      <c r="U648" s="241"/>
      <c r="V648" s="82"/>
      <c r="W648" s="88"/>
      <c r="X648" s="82"/>
      <c r="Y648" s="89"/>
      <c r="Z648" s="82"/>
      <c r="AA648" s="90"/>
      <c r="AB648" s="241"/>
      <c r="AC648" s="241"/>
      <c r="AD648" s="241"/>
      <c r="AE648" s="82"/>
      <c r="AF648" s="82"/>
      <c r="AG648" s="90"/>
      <c r="AH648" s="90"/>
      <c r="AI648" s="90"/>
      <c r="AJ648" s="90"/>
      <c r="AK648" s="82"/>
      <c r="AL648" s="82" t="str" cm="1">
        <f t="array" aca="1" ref="AL648" ca="1">_xlfn.IFS(
 AND($AK648&lt;&gt;"", M648&lt;&gt;0, M648&lt;=EDATE(TODAY(),2)),"도래",
 AND($AK648&lt;&gt;"", M648&lt;&gt;0, M648&lt;=EDATE(TODAY(),3)),"예정",
 AND($AK648&lt;&gt;"", M648&lt;&gt;0, M648&lt;=EDATE(TODAY(),6)),"관심",
 TRUE,""
)</f>
        <v/>
      </c>
      <c r="AM648" s="86"/>
    </row>
    <row r="649" spans="1:39" ht="18" customHeight="1">
      <c r="A649" s="81"/>
      <c r="B649" s="205" t="str">
        <f>_xlfn.LET(_xlpm.var,◆관리정보!B649,IF(_xlpm.var&lt;&gt;0,_xlpm.var,""))</f>
        <v/>
      </c>
      <c r="C649" s="82" t="str">
        <f>_xlfn.LET(_xlpm.var,◆관리정보!C649,IF(_xlpm.var&lt;&gt;0,_xlpm.var,""))</f>
        <v/>
      </c>
      <c r="D649" s="83"/>
      <c r="E649" s="84" t="str">
        <f t="shared" si="23"/>
        <v/>
      </c>
      <c r="F649" s="87"/>
      <c r="G649" s="229"/>
      <c r="H649" s="229"/>
      <c r="I649" s="229"/>
      <c r="J649" s="229"/>
      <c r="K649" s="218"/>
      <c r="L649" s="87"/>
      <c r="M649" s="87"/>
      <c r="N649" s="82"/>
      <c r="O649" s="82"/>
      <c r="P649" s="241"/>
      <c r="Q649" s="241"/>
      <c r="R649" s="82"/>
      <c r="S649" s="241"/>
      <c r="T649" s="82"/>
      <c r="U649" s="241"/>
      <c r="V649" s="82"/>
      <c r="W649" s="88"/>
      <c r="X649" s="82"/>
      <c r="Y649" s="89"/>
      <c r="Z649" s="82"/>
      <c r="AA649" s="90"/>
      <c r="AB649" s="241"/>
      <c r="AC649" s="241"/>
      <c r="AD649" s="241"/>
      <c r="AE649" s="82"/>
      <c r="AF649" s="82"/>
      <c r="AG649" s="90"/>
      <c r="AH649" s="90"/>
      <c r="AI649" s="90"/>
      <c r="AJ649" s="90"/>
      <c r="AK649" s="82"/>
      <c r="AL649" s="82" t="str" cm="1">
        <f t="array" aca="1" ref="AL649" ca="1">_xlfn.IFS(
 AND($AK649&lt;&gt;"", M649&lt;&gt;0, M649&lt;=EDATE(TODAY(),2)),"도래",
 AND($AK649&lt;&gt;"", M649&lt;&gt;0, M649&lt;=EDATE(TODAY(),3)),"예정",
 AND($AK649&lt;&gt;"", M649&lt;&gt;0, M649&lt;=EDATE(TODAY(),6)),"관심",
 TRUE,""
)</f>
        <v/>
      </c>
      <c r="AM649" s="86"/>
    </row>
    <row r="650" spans="1:39" ht="18" customHeight="1">
      <c r="A650" s="81"/>
      <c r="B650" s="205" t="str">
        <f>_xlfn.LET(_xlpm.var,◆관리정보!B650,IF(_xlpm.var&lt;&gt;0,_xlpm.var,""))</f>
        <v/>
      </c>
      <c r="C650" s="82" t="str">
        <f>_xlfn.LET(_xlpm.var,◆관리정보!C650,IF(_xlpm.var&lt;&gt;0,_xlpm.var,""))</f>
        <v/>
      </c>
      <c r="D650" s="83"/>
      <c r="E650" s="84" t="str">
        <f t="shared" si="23"/>
        <v/>
      </c>
      <c r="F650" s="87"/>
      <c r="G650" s="229"/>
      <c r="H650" s="229"/>
      <c r="I650" s="229"/>
      <c r="J650" s="229"/>
      <c r="K650" s="218"/>
      <c r="L650" s="87"/>
      <c r="M650" s="87"/>
      <c r="N650" s="82"/>
      <c r="O650" s="82"/>
      <c r="P650" s="241"/>
      <c r="Q650" s="241"/>
      <c r="R650" s="82"/>
      <c r="S650" s="241"/>
      <c r="T650" s="82"/>
      <c r="U650" s="241"/>
      <c r="V650" s="82"/>
      <c r="W650" s="88"/>
      <c r="X650" s="82"/>
      <c r="Y650" s="89"/>
      <c r="Z650" s="82"/>
      <c r="AA650" s="90"/>
      <c r="AB650" s="241"/>
      <c r="AC650" s="241"/>
      <c r="AD650" s="241"/>
      <c r="AE650" s="82"/>
      <c r="AF650" s="82"/>
      <c r="AG650" s="90"/>
      <c r="AH650" s="90"/>
      <c r="AI650" s="90"/>
      <c r="AJ650" s="90"/>
      <c r="AK650" s="82"/>
      <c r="AL650" s="82" t="str" cm="1">
        <f t="array" aca="1" ref="AL650" ca="1">_xlfn.IFS(
 AND($AK650&lt;&gt;"", M650&lt;&gt;0, M650&lt;=EDATE(TODAY(),2)),"도래",
 AND($AK650&lt;&gt;"", M650&lt;&gt;0, M650&lt;=EDATE(TODAY(),3)),"예정",
 AND($AK650&lt;&gt;"", M650&lt;&gt;0, M650&lt;=EDATE(TODAY(),6)),"관심",
 TRUE,""
)</f>
        <v/>
      </c>
      <c r="AM650" s="86"/>
    </row>
    <row r="651" spans="1:39" ht="18" customHeight="1">
      <c r="A651" s="81"/>
      <c r="B651" s="205" t="str">
        <f>_xlfn.LET(_xlpm.var,◆관리정보!B651,IF(_xlpm.var&lt;&gt;0,_xlpm.var,""))</f>
        <v/>
      </c>
      <c r="C651" s="82" t="str">
        <f>_xlfn.LET(_xlpm.var,◆관리정보!C651,IF(_xlpm.var&lt;&gt;0,_xlpm.var,""))</f>
        <v/>
      </c>
      <c r="D651" s="83"/>
      <c r="E651" s="84" t="str">
        <f t="shared" si="23"/>
        <v/>
      </c>
      <c r="F651" s="87"/>
      <c r="G651" s="229"/>
      <c r="H651" s="229"/>
      <c r="I651" s="229"/>
      <c r="J651" s="229"/>
      <c r="K651" s="218"/>
      <c r="L651" s="87"/>
      <c r="M651" s="87"/>
      <c r="N651" s="82"/>
      <c r="O651" s="82"/>
      <c r="P651" s="241"/>
      <c r="Q651" s="241"/>
      <c r="R651" s="82"/>
      <c r="S651" s="241"/>
      <c r="T651" s="82"/>
      <c r="U651" s="241"/>
      <c r="V651" s="82"/>
      <c r="W651" s="88"/>
      <c r="X651" s="82"/>
      <c r="Y651" s="89"/>
      <c r="Z651" s="82"/>
      <c r="AA651" s="90"/>
      <c r="AB651" s="241"/>
      <c r="AC651" s="241"/>
      <c r="AD651" s="241"/>
      <c r="AE651" s="82"/>
      <c r="AF651" s="82"/>
      <c r="AG651" s="90"/>
      <c r="AH651" s="90"/>
      <c r="AI651" s="90"/>
      <c r="AJ651" s="90"/>
      <c r="AK651" s="82"/>
      <c r="AL651" s="82" t="str" cm="1">
        <f t="array" aca="1" ref="AL651" ca="1">_xlfn.IFS(
 AND($AK651&lt;&gt;"", M651&lt;&gt;0, M651&lt;=EDATE(TODAY(),2)),"도래",
 AND($AK651&lt;&gt;"", M651&lt;&gt;0, M651&lt;=EDATE(TODAY(),3)),"예정",
 AND($AK651&lt;&gt;"", M651&lt;&gt;0, M651&lt;=EDATE(TODAY(),6)),"관심",
 TRUE,""
)</f>
        <v/>
      </c>
      <c r="AM651" s="86"/>
    </row>
    <row r="652" spans="1:39" ht="18" customHeight="1">
      <c r="A652" s="81"/>
      <c r="B652" s="205" t="str">
        <f>_xlfn.LET(_xlpm.var,◆관리정보!B652,IF(_xlpm.var&lt;&gt;0,_xlpm.var,""))</f>
        <v/>
      </c>
      <c r="C652" s="82" t="str">
        <f>_xlfn.LET(_xlpm.var,◆관리정보!C652,IF(_xlpm.var&lt;&gt;0,_xlpm.var,""))</f>
        <v/>
      </c>
      <c r="D652" s="83"/>
      <c r="E652" s="84" t="str">
        <f t="shared" si="23"/>
        <v/>
      </c>
      <c r="F652" s="87"/>
      <c r="G652" s="229"/>
      <c r="H652" s="229"/>
      <c r="I652" s="229"/>
      <c r="J652" s="229"/>
      <c r="K652" s="218"/>
      <c r="L652" s="87"/>
      <c r="M652" s="87"/>
      <c r="N652" s="82"/>
      <c r="O652" s="82"/>
      <c r="P652" s="241"/>
      <c r="Q652" s="241"/>
      <c r="R652" s="82"/>
      <c r="S652" s="241"/>
      <c r="T652" s="82"/>
      <c r="U652" s="241"/>
      <c r="V652" s="82"/>
      <c r="W652" s="88"/>
      <c r="X652" s="82"/>
      <c r="Y652" s="89"/>
      <c r="Z652" s="82"/>
      <c r="AA652" s="90"/>
      <c r="AB652" s="241"/>
      <c r="AC652" s="241"/>
      <c r="AD652" s="241"/>
      <c r="AE652" s="82"/>
      <c r="AF652" s="82"/>
      <c r="AG652" s="90"/>
      <c r="AH652" s="90"/>
      <c r="AI652" s="90"/>
      <c r="AJ652" s="90"/>
      <c r="AK652" s="82"/>
      <c r="AL652" s="82" t="str" cm="1">
        <f t="array" aca="1" ref="AL652" ca="1">_xlfn.IFS(
 AND($AK652&lt;&gt;"", M652&lt;&gt;0, M652&lt;=EDATE(TODAY(),2)),"도래",
 AND($AK652&lt;&gt;"", M652&lt;&gt;0, M652&lt;=EDATE(TODAY(),3)),"예정",
 AND($AK652&lt;&gt;"", M652&lt;&gt;0, M652&lt;=EDATE(TODAY(),6)),"관심",
 TRUE,""
)</f>
        <v/>
      </c>
      <c r="AM652" s="86"/>
    </row>
    <row r="653" spans="1:39" ht="18" customHeight="1">
      <c r="A653" s="81"/>
      <c r="B653" s="205" t="str">
        <f>_xlfn.LET(_xlpm.var,◆관리정보!B653,IF(_xlpm.var&lt;&gt;0,_xlpm.var,""))</f>
        <v/>
      </c>
      <c r="C653" s="82" t="str">
        <f>_xlfn.LET(_xlpm.var,◆관리정보!C653,IF(_xlpm.var&lt;&gt;0,_xlpm.var,""))</f>
        <v/>
      </c>
      <c r="D653" s="83"/>
      <c r="E653" s="84" t="str">
        <f t="shared" si="23"/>
        <v/>
      </c>
      <c r="F653" s="87"/>
      <c r="G653" s="229"/>
      <c r="H653" s="229"/>
      <c r="I653" s="229"/>
      <c r="J653" s="229"/>
      <c r="K653" s="218"/>
      <c r="L653" s="87"/>
      <c r="M653" s="87"/>
      <c r="N653" s="82"/>
      <c r="O653" s="82"/>
      <c r="P653" s="241"/>
      <c r="Q653" s="241"/>
      <c r="R653" s="82"/>
      <c r="S653" s="241"/>
      <c r="T653" s="82"/>
      <c r="U653" s="241"/>
      <c r="V653" s="82"/>
      <c r="W653" s="88"/>
      <c r="X653" s="82"/>
      <c r="Y653" s="89"/>
      <c r="Z653" s="82"/>
      <c r="AA653" s="90"/>
      <c r="AB653" s="241"/>
      <c r="AC653" s="241"/>
      <c r="AD653" s="241"/>
      <c r="AE653" s="82"/>
      <c r="AF653" s="82"/>
      <c r="AG653" s="90"/>
      <c r="AH653" s="90"/>
      <c r="AI653" s="90"/>
      <c r="AJ653" s="90"/>
      <c r="AK653" s="82"/>
      <c r="AL653" s="82" t="str" cm="1">
        <f t="array" aca="1" ref="AL653" ca="1">_xlfn.IFS(
 AND($AK653&lt;&gt;"", M653&lt;&gt;0, M653&lt;=EDATE(TODAY(),2)),"도래",
 AND($AK653&lt;&gt;"", M653&lt;&gt;0, M653&lt;=EDATE(TODAY(),3)),"예정",
 AND($AK653&lt;&gt;"", M653&lt;&gt;0, M653&lt;=EDATE(TODAY(),6)),"관심",
 TRUE,""
)</f>
        <v/>
      </c>
      <c r="AM653" s="86"/>
    </row>
    <row r="654" spans="1:39" ht="18" customHeight="1">
      <c r="A654" s="81"/>
      <c r="B654" s="205" t="str">
        <f>_xlfn.LET(_xlpm.var,◆관리정보!B654,IF(_xlpm.var&lt;&gt;0,_xlpm.var,""))</f>
        <v/>
      </c>
      <c r="C654" s="82" t="str">
        <f>_xlfn.LET(_xlpm.var,◆관리정보!C654,IF(_xlpm.var&lt;&gt;0,_xlpm.var,""))</f>
        <v/>
      </c>
      <c r="D654" s="83"/>
      <c r="E654" s="84" t="str">
        <f t="shared" si="23"/>
        <v/>
      </c>
      <c r="F654" s="87"/>
      <c r="G654" s="229"/>
      <c r="H654" s="229"/>
      <c r="I654" s="229"/>
      <c r="J654" s="229"/>
      <c r="K654" s="218"/>
      <c r="L654" s="87"/>
      <c r="M654" s="87"/>
      <c r="N654" s="82"/>
      <c r="O654" s="82"/>
      <c r="P654" s="241"/>
      <c r="Q654" s="241"/>
      <c r="R654" s="82"/>
      <c r="S654" s="241"/>
      <c r="T654" s="82"/>
      <c r="U654" s="241"/>
      <c r="V654" s="82"/>
      <c r="W654" s="88"/>
      <c r="X654" s="82"/>
      <c r="Y654" s="89"/>
      <c r="Z654" s="82"/>
      <c r="AA654" s="90"/>
      <c r="AB654" s="241"/>
      <c r="AC654" s="241"/>
      <c r="AD654" s="241"/>
      <c r="AE654" s="82"/>
      <c r="AF654" s="82"/>
      <c r="AG654" s="90"/>
      <c r="AH654" s="90"/>
      <c r="AI654" s="90"/>
      <c r="AJ654" s="90"/>
      <c r="AK654" s="82"/>
      <c r="AL654" s="82" t="str" cm="1">
        <f t="array" aca="1" ref="AL654" ca="1">_xlfn.IFS(
 AND($AK654&lt;&gt;"", M654&lt;&gt;0, M654&lt;=EDATE(TODAY(),2)),"도래",
 AND($AK654&lt;&gt;"", M654&lt;&gt;0, M654&lt;=EDATE(TODAY(),3)),"예정",
 AND($AK654&lt;&gt;"", M654&lt;&gt;0, M654&lt;=EDATE(TODAY(),6)),"관심",
 TRUE,""
)</f>
        <v/>
      </c>
      <c r="AM654" s="86"/>
    </row>
    <row r="655" spans="1:39" ht="18" customHeight="1">
      <c r="A655" s="81"/>
      <c r="B655" s="205" t="str">
        <f>_xlfn.LET(_xlpm.var,◆관리정보!B655,IF(_xlpm.var&lt;&gt;0,_xlpm.var,""))</f>
        <v/>
      </c>
      <c r="C655" s="82" t="str">
        <f>_xlfn.LET(_xlpm.var,◆관리정보!C655,IF(_xlpm.var&lt;&gt;0,_xlpm.var,""))</f>
        <v/>
      </c>
      <c r="D655" s="83"/>
      <c r="E655" s="84" t="str">
        <f t="shared" si="23"/>
        <v/>
      </c>
      <c r="F655" s="87"/>
      <c r="G655" s="229"/>
      <c r="H655" s="229"/>
      <c r="I655" s="229"/>
      <c r="J655" s="229"/>
      <c r="K655" s="218"/>
      <c r="L655" s="87"/>
      <c r="M655" s="87"/>
      <c r="N655" s="82"/>
      <c r="O655" s="82"/>
      <c r="P655" s="241"/>
      <c r="Q655" s="241"/>
      <c r="R655" s="82"/>
      <c r="S655" s="241"/>
      <c r="T655" s="82"/>
      <c r="U655" s="241"/>
      <c r="V655" s="82"/>
      <c r="W655" s="88"/>
      <c r="X655" s="82"/>
      <c r="Y655" s="89"/>
      <c r="Z655" s="82"/>
      <c r="AA655" s="90"/>
      <c r="AB655" s="241"/>
      <c r="AC655" s="241"/>
      <c r="AD655" s="241"/>
      <c r="AE655" s="82"/>
      <c r="AF655" s="82"/>
      <c r="AG655" s="90"/>
      <c r="AH655" s="90"/>
      <c r="AI655" s="90"/>
      <c r="AJ655" s="90"/>
      <c r="AK655" s="82"/>
      <c r="AL655" s="82" t="str" cm="1">
        <f t="array" aca="1" ref="AL655" ca="1">_xlfn.IFS(
 AND($AK655&lt;&gt;"", M655&lt;&gt;0, M655&lt;=EDATE(TODAY(),2)),"도래",
 AND($AK655&lt;&gt;"", M655&lt;&gt;0, M655&lt;=EDATE(TODAY(),3)),"예정",
 AND($AK655&lt;&gt;"", M655&lt;&gt;0, M655&lt;=EDATE(TODAY(),6)),"관심",
 TRUE,""
)</f>
        <v/>
      </c>
      <c r="AM655" s="86"/>
    </row>
    <row r="656" spans="1:39" ht="18" customHeight="1">
      <c r="A656" s="81"/>
      <c r="B656" s="205" t="str">
        <f>_xlfn.LET(_xlpm.var,◆관리정보!B656,IF(_xlpm.var&lt;&gt;0,_xlpm.var,""))</f>
        <v/>
      </c>
      <c r="C656" s="82" t="str">
        <f>_xlfn.LET(_xlpm.var,◆관리정보!C656,IF(_xlpm.var&lt;&gt;0,_xlpm.var,""))</f>
        <v/>
      </c>
      <c r="D656" s="83"/>
      <c r="E656" s="84" t="str">
        <f t="shared" si="23"/>
        <v/>
      </c>
      <c r="F656" s="87"/>
      <c r="G656" s="229"/>
      <c r="H656" s="229"/>
      <c r="I656" s="229"/>
      <c r="J656" s="229"/>
      <c r="K656" s="218"/>
      <c r="L656" s="87"/>
      <c r="M656" s="87"/>
      <c r="N656" s="82"/>
      <c r="O656" s="82"/>
      <c r="P656" s="241"/>
      <c r="Q656" s="241"/>
      <c r="R656" s="82"/>
      <c r="S656" s="241"/>
      <c r="T656" s="82"/>
      <c r="U656" s="241"/>
      <c r="V656" s="82"/>
      <c r="W656" s="88"/>
      <c r="X656" s="82"/>
      <c r="Y656" s="89"/>
      <c r="Z656" s="82"/>
      <c r="AA656" s="90"/>
      <c r="AB656" s="241"/>
      <c r="AC656" s="241"/>
      <c r="AD656" s="241"/>
      <c r="AE656" s="82"/>
      <c r="AF656" s="82"/>
      <c r="AG656" s="90"/>
      <c r="AH656" s="90"/>
      <c r="AI656" s="90"/>
      <c r="AJ656" s="90"/>
      <c r="AK656" s="82"/>
      <c r="AL656" s="82" t="str" cm="1">
        <f t="array" aca="1" ref="AL656" ca="1">_xlfn.IFS(
 AND($AK656&lt;&gt;"", M656&lt;&gt;0, M656&lt;=EDATE(TODAY(),2)),"도래",
 AND($AK656&lt;&gt;"", M656&lt;&gt;0, M656&lt;=EDATE(TODAY(),3)),"예정",
 AND($AK656&lt;&gt;"", M656&lt;&gt;0, M656&lt;=EDATE(TODAY(),6)),"관심",
 TRUE,""
)</f>
        <v/>
      </c>
      <c r="AM656" s="86"/>
    </row>
    <row r="657" spans="1:39" ht="18" customHeight="1">
      <c r="A657" s="81"/>
      <c r="B657" s="205" t="str">
        <f>_xlfn.LET(_xlpm.var,◆관리정보!B657,IF(_xlpm.var&lt;&gt;0,_xlpm.var,""))</f>
        <v/>
      </c>
      <c r="C657" s="82" t="str">
        <f>_xlfn.LET(_xlpm.var,◆관리정보!C657,IF(_xlpm.var&lt;&gt;0,_xlpm.var,""))</f>
        <v/>
      </c>
      <c r="D657" s="83"/>
      <c r="E657" s="84" t="str">
        <f t="shared" si="23"/>
        <v/>
      </c>
      <c r="F657" s="87"/>
      <c r="G657" s="229"/>
      <c r="H657" s="229"/>
      <c r="I657" s="229"/>
      <c r="J657" s="229"/>
      <c r="K657" s="218"/>
      <c r="L657" s="87"/>
      <c r="M657" s="87"/>
      <c r="N657" s="82"/>
      <c r="O657" s="82"/>
      <c r="P657" s="241"/>
      <c r="Q657" s="241"/>
      <c r="R657" s="82"/>
      <c r="S657" s="241"/>
      <c r="T657" s="82"/>
      <c r="U657" s="241"/>
      <c r="V657" s="82"/>
      <c r="W657" s="88"/>
      <c r="X657" s="82"/>
      <c r="Y657" s="89"/>
      <c r="Z657" s="82"/>
      <c r="AA657" s="90"/>
      <c r="AB657" s="241"/>
      <c r="AC657" s="241"/>
      <c r="AD657" s="241"/>
      <c r="AE657" s="82"/>
      <c r="AF657" s="82"/>
      <c r="AG657" s="90"/>
      <c r="AH657" s="90"/>
      <c r="AI657" s="90"/>
      <c r="AJ657" s="90"/>
      <c r="AK657" s="82"/>
      <c r="AL657" s="82" t="str" cm="1">
        <f t="array" aca="1" ref="AL657" ca="1">_xlfn.IFS(
 AND($AK657&lt;&gt;"", M657&lt;&gt;0, M657&lt;=EDATE(TODAY(),2)),"도래",
 AND($AK657&lt;&gt;"", M657&lt;&gt;0, M657&lt;=EDATE(TODAY(),3)),"예정",
 AND($AK657&lt;&gt;"", M657&lt;&gt;0, M657&lt;=EDATE(TODAY(),6)),"관심",
 TRUE,""
)</f>
        <v/>
      </c>
      <c r="AM657" s="86"/>
    </row>
    <row r="658" spans="1:39" ht="18" customHeight="1">
      <c r="A658" s="81"/>
      <c r="B658" s="205" t="str">
        <f>_xlfn.LET(_xlpm.var,◆관리정보!B658,IF(_xlpm.var&lt;&gt;0,_xlpm.var,""))</f>
        <v/>
      </c>
      <c r="C658" s="82" t="str">
        <f>_xlfn.LET(_xlpm.var,◆관리정보!C658,IF(_xlpm.var&lt;&gt;0,_xlpm.var,""))</f>
        <v/>
      </c>
      <c r="D658" s="83"/>
      <c r="E658" s="84" t="str">
        <f t="shared" si="23"/>
        <v/>
      </c>
      <c r="F658" s="87"/>
      <c r="G658" s="229"/>
      <c r="H658" s="229"/>
      <c r="I658" s="229"/>
      <c r="J658" s="229"/>
      <c r="K658" s="218"/>
      <c r="L658" s="87"/>
      <c r="M658" s="87"/>
      <c r="N658" s="82"/>
      <c r="O658" s="82"/>
      <c r="P658" s="241"/>
      <c r="Q658" s="241"/>
      <c r="R658" s="82"/>
      <c r="S658" s="241"/>
      <c r="T658" s="82"/>
      <c r="U658" s="241"/>
      <c r="V658" s="82"/>
      <c r="W658" s="88"/>
      <c r="X658" s="82"/>
      <c r="Y658" s="89"/>
      <c r="Z658" s="82"/>
      <c r="AA658" s="90"/>
      <c r="AB658" s="241"/>
      <c r="AC658" s="241"/>
      <c r="AD658" s="241"/>
      <c r="AE658" s="82"/>
      <c r="AF658" s="82"/>
      <c r="AG658" s="90"/>
      <c r="AH658" s="90"/>
      <c r="AI658" s="90"/>
      <c r="AJ658" s="90"/>
      <c r="AK658" s="82"/>
      <c r="AL658" s="82" t="str" cm="1">
        <f t="array" aca="1" ref="AL658" ca="1">_xlfn.IFS(
 AND($AK658&lt;&gt;"", M658&lt;&gt;0, M658&lt;=EDATE(TODAY(),2)),"도래",
 AND($AK658&lt;&gt;"", M658&lt;&gt;0, M658&lt;=EDATE(TODAY(),3)),"예정",
 AND($AK658&lt;&gt;"", M658&lt;&gt;0, M658&lt;=EDATE(TODAY(),6)),"관심",
 TRUE,""
)</f>
        <v/>
      </c>
      <c r="AM658" s="86"/>
    </row>
    <row r="659" spans="1:39" ht="18" customHeight="1">
      <c r="A659" s="81"/>
      <c r="B659" s="205" t="str">
        <f>_xlfn.LET(_xlpm.var,◆관리정보!B659,IF(_xlpm.var&lt;&gt;0,_xlpm.var,""))</f>
        <v/>
      </c>
      <c r="C659" s="82" t="str">
        <f>_xlfn.LET(_xlpm.var,◆관리정보!C659,IF(_xlpm.var&lt;&gt;0,_xlpm.var,""))</f>
        <v/>
      </c>
      <c r="D659" s="83"/>
      <c r="E659" s="84" t="str">
        <f t="shared" si="23"/>
        <v/>
      </c>
      <c r="F659" s="87"/>
      <c r="G659" s="229"/>
      <c r="H659" s="229"/>
      <c r="I659" s="229"/>
      <c r="J659" s="229"/>
      <c r="K659" s="218"/>
      <c r="L659" s="87"/>
      <c r="M659" s="87"/>
      <c r="N659" s="82"/>
      <c r="O659" s="82"/>
      <c r="P659" s="241"/>
      <c r="Q659" s="241"/>
      <c r="R659" s="82"/>
      <c r="S659" s="241"/>
      <c r="T659" s="82"/>
      <c r="U659" s="241"/>
      <c r="V659" s="82"/>
      <c r="W659" s="88"/>
      <c r="X659" s="82"/>
      <c r="Y659" s="89"/>
      <c r="Z659" s="82"/>
      <c r="AA659" s="90"/>
      <c r="AB659" s="241"/>
      <c r="AC659" s="241"/>
      <c r="AD659" s="241"/>
      <c r="AE659" s="82"/>
      <c r="AF659" s="82"/>
      <c r="AG659" s="90"/>
      <c r="AH659" s="90"/>
      <c r="AI659" s="90"/>
      <c r="AJ659" s="90"/>
      <c r="AK659" s="82"/>
      <c r="AL659" s="82" t="str" cm="1">
        <f t="array" aca="1" ref="AL659" ca="1">_xlfn.IFS(
 AND($AK659&lt;&gt;"", M659&lt;&gt;0, M659&lt;=EDATE(TODAY(),2)),"도래",
 AND($AK659&lt;&gt;"", M659&lt;&gt;0, M659&lt;=EDATE(TODAY(),3)),"예정",
 AND($AK659&lt;&gt;"", M659&lt;&gt;0, M659&lt;=EDATE(TODAY(),6)),"관심",
 TRUE,""
)</f>
        <v/>
      </c>
      <c r="AM659" s="86"/>
    </row>
    <row r="660" spans="1:39" ht="18" customHeight="1">
      <c r="A660" s="81"/>
      <c r="B660" s="205" t="str">
        <f>_xlfn.LET(_xlpm.var,◆관리정보!B660,IF(_xlpm.var&lt;&gt;0,_xlpm.var,""))</f>
        <v/>
      </c>
      <c r="C660" s="82" t="str">
        <f>_xlfn.LET(_xlpm.var,◆관리정보!C660,IF(_xlpm.var&lt;&gt;0,_xlpm.var,""))</f>
        <v/>
      </c>
      <c r="D660" s="83"/>
      <c r="E660" s="84" t="str">
        <f t="shared" si="23"/>
        <v/>
      </c>
      <c r="F660" s="87"/>
      <c r="G660" s="229"/>
      <c r="H660" s="229"/>
      <c r="I660" s="229"/>
      <c r="J660" s="229"/>
      <c r="K660" s="218"/>
      <c r="L660" s="87"/>
      <c r="M660" s="87"/>
      <c r="N660" s="82"/>
      <c r="O660" s="82"/>
      <c r="P660" s="241"/>
      <c r="Q660" s="241"/>
      <c r="R660" s="82"/>
      <c r="S660" s="241"/>
      <c r="T660" s="82"/>
      <c r="U660" s="241"/>
      <c r="V660" s="82"/>
      <c r="W660" s="88"/>
      <c r="X660" s="82"/>
      <c r="Y660" s="89"/>
      <c r="Z660" s="82"/>
      <c r="AA660" s="90"/>
      <c r="AB660" s="241"/>
      <c r="AC660" s="241"/>
      <c r="AD660" s="241"/>
      <c r="AE660" s="82"/>
      <c r="AF660" s="82"/>
      <c r="AG660" s="90"/>
      <c r="AH660" s="90"/>
      <c r="AI660" s="90"/>
      <c r="AJ660" s="90"/>
      <c r="AK660" s="82"/>
      <c r="AL660" s="82" t="str" cm="1">
        <f t="array" aca="1" ref="AL660" ca="1">_xlfn.IFS(
 AND($AK660&lt;&gt;"", M660&lt;&gt;0, M660&lt;=EDATE(TODAY(),2)),"도래",
 AND($AK660&lt;&gt;"", M660&lt;&gt;0, M660&lt;=EDATE(TODAY(),3)),"예정",
 AND($AK660&lt;&gt;"", M660&lt;&gt;0, M660&lt;=EDATE(TODAY(),6)),"관심",
 TRUE,""
)</f>
        <v/>
      </c>
      <c r="AM660" s="86"/>
    </row>
    <row r="661" spans="1:39" ht="18" customHeight="1">
      <c r="A661" s="81"/>
      <c r="B661" s="205" t="str">
        <f>_xlfn.LET(_xlpm.var,◆관리정보!B661,IF(_xlpm.var&lt;&gt;0,_xlpm.var,""))</f>
        <v/>
      </c>
      <c r="C661" s="82" t="str">
        <f>_xlfn.LET(_xlpm.var,◆관리정보!C661,IF(_xlpm.var&lt;&gt;0,_xlpm.var,""))</f>
        <v/>
      </c>
      <c r="D661" s="83"/>
      <c r="E661" s="84" t="str">
        <f t="shared" si="23"/>
        <v/>
      </c>
      <c r="F661" s="87"/>
      <c r="G661" s="229"/>
      <c r="H661" s="229"/>
      <c r="I661" s="229"/>
      <c r="J661" s="229"/>
      <c r="K661" s="218"/>
      <c r="L661" s="87"/>
      <c r="M661" s="87"/>
      <c r="N661" s="82"/>
      <c r="O661" s="82"/>
      <c r="P661" s="241"/>
      <c r="Q661" s="241"/>
      <c r="R661" s="82"/>
      <c r="S661" s="241"/>
      <c r="T661" s="82"/>
      <c r="U661" s="241"/>
      <c r="V661" s="82"/>
      <c r="W661" s="88"/>
      <c r="X661" s="82"/>
      <c r="Y661" s="89"/>
      <c r="Z661" s="82"/>
      <c r="AA661" s="90"/>
      <c r="AB661" s="241"/>
      <c r="AC661" s="241"/>
      <c r="AD661" s="241"/>
      <c r="AE661" s="82"/>
      <c r="AF661" s="82"/>
      <c r="AG661" s="90"/>
      <c r="AH661" s="90"/>
      <c r="AI661" s="90"/>
      <c r="AJ661" s="90"/>
      <c r="AK661" s="82"/>
      <c r="AL661" s="82" t="str" cm="1">
        <f t="array" aca="1" ref="AL661" ca="1">_xlfn.IFS(
 AND($AK661&lt;&gt;"", M661&lt;&gt;0, M661&lt;=EDATE(TODAY(),2)),"도래",
 AND($AK661&lt;&gt;"", M661&lt;&gt;0, M661&lt;=EDATE(TODAY(),3)),"예정",
 AND($AK661&lt;&gt;"", M661&lt;&gt;0, M661&lt;=EDATE(TODAY(),6)),"관심",
 TRUE,""
)</f>
        <v/>
      </c>
      <c r="AM661" s="86"/>
    </row>
    <row r="662" spans="1:39" ht="18" customHeight="1">
      <c r="A662" s="81"/>
      <c r="B662" s="205" t="str">
        <f>_xlfn.LET(_xlpm.var,◆관리정보!B662,IF(_xlpm.var&lt;&gt;0,_xlpm.var,""))</f>
        <v/>
      </c>
      <c r="C662" s="82" t="str">
        <f>_xlfn.LET(_xlpm.var,◆관리정보!C662,IF(_xlpm.var&lt;&gt;0,_xlpm.var,""))</f>
        <v/>
      </c>
      <c r="D662" s="83"/>
      <c r="E662" s="84" t="str">
        <f t="shared" si="23"/>
        <v/>
      </c>
      <c r="F662" s="87"/>
      <c r="G662" s="229"/>
      <c r="H662" s="229"/>
      <c r="I662" s="229"/>
      <c r="J662" s="229"/>
      <c r="K662" s="218"/>
      <c r="L662" s="87"/>
      <c r="M662" s="87"/>
      <c r="N662" s="82"/>
      <c r="O662" s="82"/>
      <c r="P662" s="241"/>
      <c r="Q662" s="241"/>
      <c r="R662" s="82"/>
      <c r="S662" s="241"/>
      <c r="T662" s="82"/>
      <c r="U662" s="241"/>
      <c r="V662" s="82"/>
      <c r="W662" s="88"/>
      <c r="X662" s="82"/>
      <c r="Y662" s="89"/>
      <c r="Z662" s="82"/>
      <c r="AA662" s="90"/>
      <c r="AB662" s="241"/>
      <c r="AC662" s="241"/>
      <c r="AD662" s="241"/>
      <c r="AE662" s="82"/>
      <c r="AF662" s="82"/>
      <c r="AG662" s="90"/>
      <c r="AH662" s="90"/>
      <c r="AI662" s="90"/>
      <c r="AJ662" s="90"/>
      <c r="AK662" s="82"/>
      <c r="AL662" s="82" t="str" cm="1">
        <f t="array" aca="1" ref="AL662" ca="1">_xlfn.IFS(
 AND($AK662&lt;&gt;"", M662&lt;&gt;0, M662&lt;=EDATE(TODAY(),2)),"도래",
 AND($AK662&lt;&gt;"", M662&lt;&gt;0, M662&lt;=EDATE(TODAY(),3)),"예정",
 AND($AK662&lt;&gt;"", M662&lt;&gt;0, M662&lt;=EDATE(TODAY(),6)),"관심",
 TRUE,""
)</f>
        <v/>
      </c>
      <c r="AM662" s="86"/>
    </row>
    <row r="663" spans="1:39" ht="18" customHeight="1">
      <c r="A663" s="81"/>
      <c r="B663" s="205" t="str">
        <f>_xlfn.LET(_xlpm.var,◆관리정보!B663,IF(_xlpm.var&lt;&gt;0,_xlpm.var,""))</f>
        <v/>
      </c>
      <c r="C663" s="82" t="str">
        <f>_xlfn.LET(_xlpm.var,◆관리정보!C663,IF(_xlpm.var&lt;&gt;0,_xlpm.var,""))</f>
        <v/>
      </c>
      <c r="D663" s="83"/>
      <c r="E663" s="84" t="str">
        <f t="shared" si="23"/>
        <v/>
      </c>
      <c r="F663" s="87"/>
      <c r="G663" s="229"/>
      <c r="H663" s="229"/>
      <c r="I663" s="229"/>
      <c r="J663" s="229"/>
      <c r="K663" s="218"/>
      <c r="L663" s="87"/>
      <c r="M663" s="87"/>
      <c r="N663" s="82"/>
      <c r="O663" s="82"/>
      <c r="P663" s="241"/>
      <c r="Q663" s="241"/>
      <c r="R663" s="82"/>
      <c r="S663" s="241"/>
      <c r="T663" s="82"/>
      <c r="U663" s="241"/>
      <c r="V663" s="82"/>
      <c r="W663" s="88"/>
      <c r="X663" s="82"/>
      <c r="Y663" s="89"/>
      <c r="Z663" s="82"/>
      <c r="AA663" s="90"/>
      <c r="AB663" s="241"/>
      <c r="AC663" s="241"/>
      <c r="AD663" s="241"/>
      <c r="AE663" s="82"/>
      <c r="AF663" s="82"/>
      <c r="AG663" s="90"/>
      <c r="AH663" s="90"/>
      <c r="AI663" s="90"/>
      <c r="AJ663" s="90"/>
      <c r="AK663" s="82"/>
      <c r="AL663" s="82" t="str" cm="1">
        <f t="array" aca="1" ref="AL663" ca="1">_xlfn.IFS(
 AND($AK663&lt;&gt;"", M663&lt;&gt;0, M663&lt;=EDATE(TODAY(),2)),"도래",
 AND($AK663&lt;&gt;"", M663&lt;&gt;0, M663&lt;=EDATE(TODAY(),3)),"예정",
 AND($AK663&lt;&gt;"", M663&lt;&gt;0, M663&lt;=EDATE(TODAY(),6)),"관심",
 TRUE,""
)</f>
        <v/>
      </c>
      <c r="AM663" s="86"/>
    </row>
    <row r="664" spans="1:39" ht="18" customHeight="1">
      <c r="A664" s="81"/>
      <c r="B664" s="205" t="str">
        <f>_xlfn.LET(_xlpm.var,◆관리정보!B664,IF(_xlpm.var&lt;&gt;0,_xlpm.var,""))</f>
        <v/>
      </c>
      <c r="C664" s="82" t="str">
        <f>_xlfn.LET(_xlpm.var,◆관리정보!C664,IF(_xlpm.var&lt;&gt;0,_xlpm.var,""))</f>
        <v/>
      </c>
      <c r="D664" s="83"/>
      <c r="E664" s="84" t="str">
        <f t="shared" si="23"/>
        <v/>
      </c>
      <c r="F664" s="87"/>
      <c r="G664" s="229"/>
      <c r="H664" s="229"/>
      <c r="I664" s="229"/>
      <c r="J664" s="229"/>
      <c r="K664" s="218"/>
      <c r="L664" s="87"/>
      <c r="M664" s="87"/>
      <c r="N664" s="82"/>
      <c r="O664" s="82"/>
      <c r="P664" s="241"/>
      <c r="Q664" s="241"/>
      <c r="R664" s="82"/>
      <c r="S664" s="241"/>
      <c r="T664" s="82"/>
      <c r="U664" s="241"/>
      <c r="V664" s="82"/>
      <c r="W664" s="88"/>
      <c r="X664" s="82"/>
      <c r="Y664" s="89"/>
      <c r="Z664" s="82"/>
      <c r="AA664" s="90"/>
      <c r="AB664" s="241"/>
      <c r="AC664" s="241"/>
      <c r="AD664" s="241"/>
      <c r="AE664" s="82"/>
      <c r="AF664" s="82"/>
      <c r="AG664" s="90"/>
      <c r="AH664" s="90"/>
      <c r="AI664" s="90"/>
      <c r="AJ664" s="90"/>
      <c r="AK664" s="82"/>
      <c r="AL664" s="82" t="str" cm="1">
        <f t="array" aca="1" ref="AL664" ca="1">_xlfn.IFS(
 AND($AK664&lt;&gt;"", M664&lt;&gt;0, M664&lt;=EDATE(TODAY(),2)),"도래",
 AND($AK664&lt;&gt;"", M664&lt;&gt;0, M664&lt;=EDATE(TODAY(),3)),"예정",
 AND($AK664&lt;&gt;"", M664&lt;&gt;0, M664&lt;=EDATE(TODAY(),6)),"관심",
 TRUE,""
)</f>
        <v/>
      </c>
      <c r="AM664" s="86"/>
    </row>
    <row r="665" spans="1:39" ht="18" customHeight="1">
      <c r="A665" s="81"/>
      <c r="B665" s="205" t="str">
        <f>_xlfn.LET(_xlpm.var,◆관리정보!B665,IF(_xlpm.var&lt;&gt;0,_xlpm.var,""))</f>
        <v/>
      </c>
      <c r="C665" s="82" t="str">
        <f>_xlfn.LET(_xlpm.var,◆관리정보!C665,IF(_xlpm.var&lt;&gt;0,_xlpm.var,""))</f>
        <v/>
      </c>
      <c r="D665" s="83"/>
      <c r="E665" s="84" t="str">
        <f t="shared" si="23"/>
        <v/>
      </c>
      <c r="F665" s="87"/>
      <c r="G665" s="229"/>
      <c r="H665" s="229"/>
      <c r="I665" s="229"/>
      <c r="J665" s="229"/>
      <c r="K665" s="218"/>
      <c r="L665" s="87"/>
      <c r="M665" s="87"/>
      <c r="N665" s="82"/>
      <c r="O665" s="82"/>
      <c r="P665" s="241"/>
      <c r="Q665" s="241"/>
      <c r="R665" s="82"/>
      <c r="S665" s="241"/>
      <c r="T665" s="82"/>
      <c r="U665" s="241"/>
      <c r="V665" s="82"/>
      <c r="W665" s="88"/>
      <c r="X665" s="82"/>
      <c r="Y665" s="89"/>
      <c r="Z665" s="82"/>
      <c r="AA665" s="90"/>
      <c r="AB665" s="241"/>
      <c r="AC665" s="241"/>
      <c r="AD665" s="241"/>
      <c r="AE665" s="82"/>
      <c r="AF665" s="82"/>
      <c r="AG665" s="90"/>
      <c r="AH665" s="90"/>
      <c r="AI665" s="90"/>
      <c r="AJ665" s="90"/>
      <c r="AK665" s="82"/>
      <c r="AL665" s="82" t="str" cm="1">
        <f t="array" aca="1" ref="AL665" ca="1">_xlfn.IFS(
 AND($AK665&lt;&gt;"", M665&lt;&gt;0, M665&lt;=EDATE(TODAY(),2)),"도래",
 AND($AK665&lt;&gt;"", M665&lt;&gt;0, M665&lt;=EDATE(TODAY(),3)),"예정",
 AND($AK665&lt;&gt;"", M665&lt;&gt;0, M665&lt;=EDATE(TODAY(),6)),"관심",
 TRUE,""
)</f>
        <v/>
      </c>
      <c r="AM665" s="86"/>
    </row>
    <row r="666" spans="1:39" ht="18" customHeight="1">
      <c r="A666" s="81"/>
      <c r="B666" s="205" t="str">
        <f>_xlfn.LET(_xlpm.var,◆관리정보!B666,IF(_xlpm.var&lt;&gt;0,_xlpm.var,""))</f>
        <v/>
      </c>
      <c r="C666" s="82" t="str">
        <f>_xlfn.LET(_xlpm.var,◆관리정보!C666,IF(_xlpm.var&lt;&gt;0,_xlpm.var,""))</f>
        <v/>
      </c>
      <c r="D666" s="83"/>
      <c r="E666" s="84" t="str">
        <f t="shared" si="23"/>
        <v/>
      </c>
      <c r="F666" s="87"/>
      <c r="G666" s="229"/>
      <c r="H666" s="229"/>
      <c r="I666" s="229"/>
      <c r="J666" s="229"/>
      <c r="K666" s="218"/>
      <c r="L666" s="87"/>
      <c r="M666" s="87"/>
      <c r="N666" s="82"/>
      <c r="O666" s="82"/>
      <c r="P666" s="241"/>
      <c r="Q666" s="241"/>
      <c r="R666" s="82"/>
      <c r="S666" s="241"/>
      <c r="T666" s="82"/>
      <c r="U666" s="241"/>
      <c r="V666" s="82"/>
      <c r="W666" s="88"/>
      <c r="X666" s="82"/>
      <c r="Y666" s="89"/>
      <c r="Z666" s="82"/>
      <c r="AA666" s="90"/>
      <c r="AB666" s="241"/>
      <c r="AC666" s="241"/>
      <c r="AD666" s="241"/>
      <c r="AE666" s="82"/>
      <c r="AF666" s="82"/>
      <c r="AG666" s="90"/>
      <c r="AH666" s="90"/>
      <c r="AI666" s="90"/>
      <c r="AJ666" s="90"/>
      <c r="AK666" s="82"/>
      <c r="AL666" s="82" t="str" cm="1">
        <f t="array" aca="1" ref="AL666" ca="1">_xlfn.IFS(
 AND($AK666&lt;&gt;"", M666&lt;&gt;0, M666&lt;=EDATE(TODAY(),2)),"도래",
 AND($AK666&lt;&gt;"", M666&lt;&gt;0, M666&lt;=EDATE(TODAY(),3)),"예정",
 AND($AK666&lt;&gt;"", M666&lt;&gt;0, M666&lt;=EDATE(TODAY(),6)),"관심",
 TRUE,""
)</f>
        <v/>
      </c>
      <c r="AM666" s="86"/>
    </row>
    <row r="667" spans="1:39" ht="18" customHeight="1">
      <c r="A667" s="81"/>
      <c r="B667" s="205" t="str">
        <f>_xlfn.LET(_xlpm.var,◆관리정보!B667,IF(_xlpm.var&lt;&gt;0,_xlpm.var,""))</f>
        <v/>
      </c>
      <c r="C667" s="82" t="str">
        <f>_xlfn.LET(_xlpm.var,◆관리정보!C667,IF(_xlpm.var&lt;&gt;0,_xlpm.var,""))</f>
        <v/>
      </c>
      <c r="D667" s="83"/>
      <c r="E667" s="84" t="str">
        <f t="shared" si="23"/>
        <v/>
      </c>
      <c r="F667" s="87"/>
      <c r="G667" s="229"/>
      <c r="H667" s="229"/>
      <c r="I667" s="229"/>
      <c r="J667" s="229"/>
      <c r="K667" s="218"/>
      <c r="L667" s="87"/>
      <c r="M667" s="87"/>
      <c r="N667" s="82"/>
      <c r="O667" s="82"/>
      <c r="P667" s="241"/>
      <c r="Q667" s="241"/>
      <c r="R667" s="82"/>
      <c r="S667" s="241"/>
      <c r="T667" s="82"/>
      <c r="U667" s="241"/>
      <c r="V667" s="82"/>
      <c r="W667" s="88"/>
      <c r="X667" s="82"/>
      <c r="Y667" s="89"/>
      <c r="Z667" s="82"/>
      <c r="AA667" s="90"/>
      <c r="AB667" s="241"/>
      <c r="AC667" s="241"/>
      <c r="AD667" s="241"/>
      <c r="AE667" s="82"/>
      <c r="AF667" s="82"/>
      <c r="AG667" s="90"/>
      <c r="AH667" s="90"/>
      <c r="AI667" s="90"/>
      <c r="AJ667" s="90"/>
      <c r="AK667" s="82"/>
      <c r="AL667" s="82" t="str" cm="1">
        <f t="array" aca="1" ref="AL667" ca="1">_xlfn.IFS(
 AND($AK667&lt;&gt;"", M667&lt;&gt;0, M667&lt;=EDATE(TODAY(),2)),"도래",
 AND($AK667&lt;&gt;"", M667&lt;&gt;0, M667&lt;=EDATE(TODAY(),3)),"예정",
 AND($AK667&lt;&gt;"", M667&lt;&gt;0, M667&lt;=EDATE(TODAY(),6)),"관심",
 TRUE,""
)</f>
        <v/>
      </c>
      <c r="AM667" s="86"/>
    </row>
    <row r="668" spans="1:39" ht="18" customHeight="1">
      <c r="A668" s="81"/>
      <c r="B668" s="205" t="str">
        <f>_xlfn.LET(_xlpm.var,◆관리정보!B668,IF(_xlpm.var&lt;&gt;0,_xlpm.var,""))</f>
        <v/>
      </c>
      <c r="C668" s="82" t="str">
        <f>_xlfn.LET(_xlpm.var,◆관리정보!C668,IF(_xlpm.var&lt;&gt;0,_xlpm.var,""))</f>
        <v/>
      </c>
      <c r="D668" s="83"/>
      <c r="E668" s="84" t="str">
        <f t="shared" si="23"/>
        <v/>
      </c>
      <c r="F668" s="87"/>
      <c r="G668" s="229"/>
      <c r="H668" s="229"/>
      <c r="I668" s="229"/>
      <c r="J668" s="229"/>
      <c r="K668" s="218"/>
      <c r="L668" s="87"/>
      <c r="M668" s="87"/>
      <c r="N668" s="82"/>
      <c r="O668" s="82"/>
      <c r="P668" s="241"/>
      <c r="Q668" s="241"/>
      <c r="R668" s="82"/>
      <c r="S668" s="241"/>
      <c r="T668" s="82"/>
      <c r="U668" s="241"/>
      <c r="V668" s="82"/>
      <c r="W668" s="88"/>
      <c r="X668" s="82"/>
      <c r="Y668" s="89"/>
      <c r="Z668" s="82"/>
      <c r="AA668" s="90"/>
      <c r="AB668" s="241"/>
      <c r="AC668" s="241"/>
      <c r="AD668" s="241"/>
      <c r="AE668" s="82"/>
      <c r="AF668" s="82"/>
      <c r="AG668" s="90"/>
      <c r="AH668" s="90"/>
      <c r="AI668" s="90"/>
      <c r="AJ668" s="90"/>
      <c r="AK668" s="82"/>
      <c r="AL668" s="82" t="str" cm="1">
        <f t="array" aca="1" ref="AL668" ca="1">_xlfn.IFS(
 AND($AK668&lt;&gt;"", M668&lt;&gt;0, M668&lt;=EDATE(TODAY(),2)),"도래",
 AND($AK668&lt;&gt;"", M668&lt;&gt;0, M668&lt;=EDATE(TODAY(),3)),"예정",
 AND($AK668&lt;&gt;"", M668&lt;&gt;0, M668&lt;=EDATE(TODAY(),6)),"관심",
 TRUE,""
)</f>
        <v/>
      </c>
      <c r="AM668" s="86"/>
    </row>
    <row r="669" spans="1:39" ht="18" customHeight="1">
      <c r="A669" s="81"/>
      <c r="B669" s="205" t="str">
        <f>_xlfn.LET(_xlpm.var,◆관리정보!B669,IF(_xlpm.var&lt;&gt;0,_xlpm.var,""))</f>
        <v/>
      </c>
      <c r="C669" s="82" t="str">
        <f>_xlfn.LET(_xlpm.var,◆관리정보!C669,IF(_xlpm.var&lt;&gt;0,_xlpm.var,""))</f>
        <v/>
      </c>
      <c r="D669" s="83"/>
      <c r="E669" s="84" t="str">
        <f t="shared" si="23"/>
        <v/>
      </c>
      <c r="F669" s="87"/>
      <c r="G669" s="229"/>
      <c r="H669" s="229"/>
      <c r="I669" s="229"/>
      <c r="J669" s="229"/>
      <c r="K669" s="218"/>
      <c r="L669" s="87"/>
      <c r="M669" s="87"/>
      <c r="N669" s="82"/>
      <c r="O669" s="82"/>
      <c r="P669" s="241"/>
      <c r="Q669" s="241"/>
      <c r="R669" s="82"/>
      <c r="S669" s="241"/>
      <c r="T669" s="82"/>
      <c r="U669" s="241"/>
      <c r="V669" s="82"/>
      <c r="W669" s="88"/>
      <c r="X669" s="82"/>
      <c r="Y669" s="89"/>
      <c r="Z669" s="82"/>
      <c r="AA669" s="90"/>
      <c r="AB669" s="241"/>
      <c r="AC669" s="241"/>
      <c r="AD669" s="241"/>
      <c r="AE669" s="82"/>
      <c r="AF669" s="82"/>
      <c r="AG669" s="90"/>
      <c r="AH669" s="90"/>
      <c r="AI669" s="90"/>
      <c r="AJ669" s="90"/>
      <c r="AK669" s="82"/>
      <c r="AL669" s="82" t="str" cm="1">
        <f t="array" aca="1" ref="AL669" ca="1">_xlfn.IFS(
 AND($AK669&lt;&gt;"", M669&lt;&gt;0, M669&lt;=EDATE(TODAY(),2)),"도래",
 AND($AK669&lt;&gt;"", M669&lt;&gt;0, M669&lt;=EDATE(TODAY(),3)),"예정",
 AND($AK669&lt;&gt;"", M669&lt;&gt;0, M669&lt;=EDATE(TODAY(),6)),"관심",
 TRUE,""
)</f>
        <v/>
      </c>
      <c r="AM669" s="86"/>
    </row>
    <row r="670" spans="1:39" ht="18" customHeight="1">
      <c r="A670" s="81"/>
      <c r="B670" s="205" t="str">
        <f>_xlfn.LET(_xlpm.var,◆관리정보!B670,IF(_xlpm.var&lt;&gt;0,_xlpm.var,""))</f>
        <v/>
      </c>
      <c r="C670" s="82" t="str">
        <f>_xlfn.LET(_xlpm.var,◆관리정보!C670,IF(_xlpm.var&lt;&gt;0,_xlpm.var,""))</f>
        <v/>
      </c>
      <c r="D670" s="83"/>
      <c r="E670" s="84" t="str">
        <f t="shared" si="23"/>
        <v/>
      </c>
      <c r="F670" s="87"/>
      <c r="G670" s="229"/>
      <c r="H670" s="229"/>
      <c r="I670" s="229"/>
      <c r="J670" s="229"/>
      <c r="K670" s="218"/>
      <c r="L670" s="87"/>
      <c r="M670" s="87"/>
      <c r="N670" s="82"/>
      <c r="O670" s="82"/>
      <c r="P670" s="241"/>
      <c r="Q670" s="241"/>
      <c r="R670" s="82"/>
      <c r="S670" s="241"/>
      <c r="T670" s="82"/>
      <c r="U670" s="241"/>
      <c r="V670" s="82"/>
      <c r="W670" s="88"/>
      <c r="X670" s="82"/>
      <c r="Y670" s="89"/>
      <c r="Z670" s="82"/>
      <c r="AA670" s="90"/>
      <c r="AB670" s="241"/>
      <c r="AC670" s="241"/>
      <c r="AD670" s="241"/>
      <c r="AE670" s="82"/>
      <c r="AF670" s="82"/>
      <c r="AG670" s="90"/>
      <c r="AH670" s="90"/>
      <c r="AI670" s="90"/>
      <c r="AJ670" s="90"/>
      <c r="AK670" s="82"/>
      <c r="AL670" s="82" t="str" cm="1">
        <f t="array" aca="1" ref="AL670" ca="1">_xlfn.IFS(
 AND($AK670&lt;&gt;"", M670&lt;&gt;0, M670&lt;=EDATE(TODAY(),2)),"도래",
 AND($AK670&lt;&gt;"", M670&lt;&gt;0, M670&lt;=EDATE(TODAY(),3)),"예정",
 AND($AK670&lt;&gt;"", M670&lt;&gt;0, M670&lt;=EDATE(TODAY(),6)),"관심",
 TRUE,""
)</f>
        <v/>
      </c>
      <c r="AM670" s="86"/>
    </row>
    <row r="671" spans="1:39" ht="18" customHeight="1">
      <c r="A671" s="81"/>
      <c r="B671" s="205" t="str">
        <f>_xlfn.LET(_xlpm.var,◆관리정보!B671,IF(_xlpm.var&lt;&gt;0,_xlpm.var,""))</f>
        <v/>
      </c>
      <c r="C671" s="82" t="str">
        <f>_xlfn.LET(_xlpm.var,◆관리정보!C671,IF(_xlpm.var&lt;&gt;0,_xlpm.var,""))</f>
        <v/>
      </c>
      <c r="D671" s="83"/>
      <c r="E671" s="84" t="str">
        <f t="shared" si="23"/>
        <v/>
      </c>
      <c r="F671" s="87"/>
      <c r="G671" s="229"/>
      <c r="H671" s="229"/>
      <c r="I671" s="229"/>
      <c r="J671" s="229"/>
      <c r="K671" s="218"/>
      <c r="L671" s="87"/>
      <c r="M671" s="87"/>
      <c r="N671" s="82"/>
      <c r="O671" s="82"/>
      <c r="P671" s="241"/>
      <c r="Q671" s="241"/>
      <c r="R671" s="82"/>
      <c r="S671" s="241"/>
      <c r="T671" s="82"/>
      <c r="U671" s="241"/>
      <c r="V671" s="82"/>
      <c r="W671" s="88"/>
      <c r="X671" s="82"/>
      <c r="Y671" s="89"/>
      <c r="Z671" s="82"/>
      <c r="AA671" s="90"/>
      <c r="AB671" s="241"/>
      <c r="AC671" s="241"/>
      <c r="AD671" s="241"/>
      <c r="AE671" s="82"/>
      <c r="AF671" s="82"/>
      <c r="AG671" s="90"/>
      <c r="AH671" s="90"/>
      <c r="AI671" s="90"/>
      <c r="AJ671" s="90"/>
      <c r="AK671" s="82"/>
      <c r="AL671" s="82" t="str" cm="1">
        <f t="array" aca="1" ref="AL671" ca="1">_xlfn.IFS(
 AND($AK671&lt;&gt;"", M671&lt;&gt;0, M671&lt;=EDATE(TODAY(),2)),"도래",
 AND($AK671&lt;&gt;"", M671&lt;&gt;0, M671&lt;=EDATE(TODAY(),3)),"예정",
 AND($AK671&lt;&gt;"", M671&lt;&gt;0, M671&lt;=EDATE(TODAY(),6)),"관심",
 TRUE,""
)</f>
        <v/>
      </c>
      <c r="AM671" s="86"/>
    </row>
    <row r="672" spans="1:39" ht="18" customHeight="1">
      <c r="A672" s="81"/>
      <c r="B672" s="205" t="str">
        <f>_xlfn.LET(_xlpm.var,◆관리정보!B672,IF(_xlpm.var&lt;&gt;0,_xlpm.var,""))</f>
        <v/>
      </c>
      <c r="C672" s="82" t="str">
        <f>_xlfn.LET(_xlpm.var,◆관리정보!C672,IF(_xlpm.var&lt;&gt;0,_xlpm.var,""))</f>
        <v/>
      </c>
      <c r="D672" s="83"/>
      <c r="E672" s="84" t="str">
        <f t="shared" si="23"/>
        <v/>
      </c>
      <c r="F672" s="87"/>
      <c r="G672" s="229"/>
      <c r="H672" s="229"/>
      <c r="I672" s="229"/>
      <c r="J672" s="229"/>
      <c r="K672" s="218"/>
      <c r="L672" s="87"/>
      <c r="M672" s="87"/>
      <c r="N672" s="82"/>
      <c r="O672" s="82"/>
      <c r="P672" s="241"/>
      <c r="Q672" s="241"/>
      <c r="R672" s="82"/>
      <c r="S672" s="241"/>
      <c r="T672" s="82"/>
      <c r="U672" s="241"/>
      <c r="V672" s="82"/>
      <c r="W672" s="88"/>
      <c r="X672" s="82"/>
      <c r="Y672" s="89"/>
      <c r="Z672" s="82"/>
      <c r="AA672" s="90"/>
      <c r="AB672" s="241"/>
      <c r="AC672" s="241"/>
      <c r="AD672" s="241"/>
      <c r="AE672" s="82"/>
      <c r="AF672" s="82"/>
      <c r="AG672" s="90"/>
      <c r="AH672" s="90"/>
      <c r="AI672" s="90"/>
      <c r="AJ672" s="90"/>
      <c r="AK672" s="82"/>
      <c r="AL672" s="82" t="str" cm="1">
        <f t="array" aca="1" ref="AL672" ca="1">_xlfn.IFS(
 AND($AK672&lt;&gt;"", M672&lt;&gt;0, M672&lt;=EDATE(TODAY(),2)),"도래",
 AND($AK672&lt;&gt;"", M672&lt;&gt;0, M672&lt;=EDATE(TODAY(),3)),"예정",
 AND($AK672&lt;&gt;"", M672&lt;&gt;0, M672&lt;=EDATE(TODAY(),6)),"관심",
 TRUE,""
)</f>
        <v/>
      </c>
      <c r="AM672" s="86"/>
    </row>
    <row r="673" spans="1:39" ht="18" customHeight="1">
      <c r="A673" s="81"/>
      <c r="B673" s="205" t="str">
        <f>_xlfn.LET(_xlpm.var,◆관리정보!B673,IF(_xlpm.var&lt;&gt;0,_xlpm.var,""))</f>
        <v/>
      </c>
      <c r="C673" s="82" t="str">
        <f>_xlfn.LET(_xlpm.var,◆관리정보!C673,IF(_xlpm.var&lt;&gt;0,_xlpm.var,""))</f>
        <v/>
      </c>
      <c r="D673" s="83"/>
      <c r="E673" s="84" t="str">
        <f t="shared" si="23"/>
        <v/>
      </c>
      <c r="F673" s="87"/>
      <c r="G673" s="229"/>
      <c r="H673" s="229"/>
      <c r="I673" s="229"/>
      <c r="J673" s="229"/>
      <c r="K673" s="218"/>
      <c r="L673" s="87"/>
      <c r="M673" s="87"/>
      <c r="N673" s="82"/>
      <c r="O673" s="82"/>
      <c r="P673" s="241"/>
      <c r="Q673" s="241"/>
      <c r="R673" s="82"/>
      <c r="S673" s="241"/>
      <c r="T673" s="82"/>
      <c r="U673" s="241"/>
      <c r="V673" s="82"/>
      <c r="W673" s="88"/>
      <c r="X673" s="82"/>
      <c r="Y673" s="89"/>
      <c r="Z673" s="82"/>
      <c r="AA673" s="90"/>
      <c r="AB673" s="241"/>
      <c r="AC673" s="241"/>
      <c r="AD673" s="241"/>
      <c r="AE673" s="82"/>
      <c r="AF673" s="82"/>
      <c r="AG673" s="90"/>
      <c r="AH673" s="90"/>
      <c r="AI673" s="90"/>
      <c r="AJ673" s="90"/>
      <c r="AK673" s="82"/>
      <c r="AL673" s="82" t="str" cm="1">
        <f t="array" aca="1" ref="AL673" ca="1">_xlfn.IFS(
 AND($AK673&lt;&gt;"", M673&lt;&gt;0, M673&lt;=EDATE(TODAY(),2)),"도래",
 AND($AK673&lt;&gt;"", M673&lt;&gt;0, M673&lt;=EDATE(TODAY(),3)),"예정",
 AND($AK673&lt;&gt;"", M673&lt;&gt;0, M673&lt;=EDATE(TODAY(),6)),"관심",
 TRUE,""
)</f>
        <v/>
      </c>
      <c r="AM673" s="86"/>
    </row>
    <row r="674" spans="1:39" ht="18" customHeight="1">
      <c r="A674" s="81"/>
      <c r="B674" s="205" t="str">
        <f>_xlfn.LET(_xlpm.var,◆관리정보!B674,IF(_xlpm.var&lt;&gt;0,_xlpm.var,""))</f>
        <v/>
      </c>
      <c r="C674" s="82" t="str">
        <f>_xlfn.LET(_xlpm.var,◆관리정보!C674,IF(_xlpm.var&lt;&gt;0,_xlpm.var,""))</f>
        <v/>
      </c>
      <c r="D674" s="83"/>
      <c r="E674" s="84" t="str">
        <f t="shared" si="23"/>
        <v/>
      </c>
      <c r="F674" s="87"/>
      <c r="G674" s="229"/>
      <c r="H674" s="229"/>
      <c r="I674" s="229"/>
      <c r="J674" s="229"/>
      <c r="K674" s="218"/>
      <c r="L674" s="87"/>
      <c r="M674" s="87"/>
      <c r="N674" s="82"/>
      <c r="O674" s="82"/>
      <c r="P674" s="241"/>
      <c r="Q674" s="241"/>
      <c r="R674" s="82"/>
      <c r="S674" s="241"/>
      <c r="T674" s="82"/>
      <c r="U674" s="241"/>
      <c r="V674" s="82"/>
      <c r="W674" s="88"/>
      <c r="X674" s="82"/>
      <c r="Y674" s="89"/>
      <c r="Z674" s="82"/>
      <c r="AA674" s="90"/>
      <c r="AB674" s="241"/>
      <c r="AC674" s="241"/>
      <c r="AD674" s="241"/>
      <c r="AE674" s="82"/>
      <c r="AF674" s="82"/>
      <c r="AG674" s="90"/>
      <c r="AH674" s="90"/>
      <c r="AI674" s="90"/>
      <c r="AJ674" s="90"/>
      <c r="AK674" s="82"/>
      <c r="AL674" s="82" t="str" cm="1">
        <f t="array" aca="1" ref="AL674" ca="1">_xlfn.IFS(
 AND($AK674&lt;&gt;"", M674&lt;&gt;0, M674&lt;=EDATE(TODAY(),2)),"도래",
 AND($AK674&lt;&gt;"", M674&lt;&gt;0, M674&lt;=EDATE(TODAY(),3)),"예정",
 AND($AK674&lt;&gt;"", M674&lt;&gt;0, M674&lt;=EDATE(TODAY(),6)),"관심",
 TRUE,""
)</f>
        <v/>
      </c>
      <c r="AM674" s="86"/>
    </row>
    <row r="675" spans="1:39" ht="18" customHeight="1">
      <c r="A675" s="81"/>
      <c r="B675" s="205" t="str">
        <f>_xlfn.LET(_xlpm.var,◆관리정보!B675,IF(_xlpm.var&lt;&gt;0,_xlpm.var,""))</f>
        <v/>
      </c>
      <c r="C675" s="82" t="str">
        <f>_xlfn.LET(_xlpm.var,◆관리정보!C675,IF(_xlpm.var&lt;&gt;0,_xlpm.var,""))</f>
        <v/>
      </c>
      <c r="D675" s="83"/>
      <c r="E675" s="84" t="str">
        <f t="shared" si="23"/>
        <v/>
      </c>
      <c r="F675" s="87"/>
      <c r="G675" s="229"/>
      <c r="H675" s="229"/>
      <c r="I675" s="229"/>
      <c r="J675" s="229"/>
      <c r="K675" s="218"/>
      <c r="L675" s="87"/>
      <c r="M675" s="87"/>
      <c r="N675" s="82"/>
      <c r="O675" s="82"/>
      <c r="P675" s="241"/>
      <c r="Q675" s="241"/>
      <c r="R675" s="82"/>
      <c r="S675" s="241"/>
      <c r="T675" s="82"/>
      <c r="U675" s="241"/>
      <c r="V675" s="82"/>
      <c r="W675" s="88"/>
      <c r="X675" s="82"/>
      <c r="Y675" s="89"/>
      <c r="Z675" s="82"/>
      <c r="AA675" s="90"/>
      <c r="AB675" s="241"/>
      <c r="AC675" s="241"/>
      <c r="AD675" s="241"/>
      <c r="AE675" s="82"/>
      <c r="AF675" s="82"/>
      <c r="AG675" s="90"/>
      <c r="AH675" s="90"/>
      <c r="AI675" s="90"/>
      <c r="AJ675" s="90"/>
      <c r="AK675" s="82"/>
      <c r="AL675" s="82" t="str" cm="1">
        <f t="array" aca="1" ref="AL675" ca="1">_xlfn.IFS(
 AND($AK675&lt;&gt;"", M675&lt;&gt;0, M675&lt;=EDATE(TODAY(),2)),"도래",
 AND($AK675&lt;&gt;"", M675&lt;&gt;0, M675&lt;=EDATE(TODAY(),3)),"예정",
 AND($AK675&lt;&gt;"", M675&lt;&gt;0, M675&lt;=EDATE(TODAY(),6)),"관심",
 TRUE,""
)</f>
        <v/>
      </c>
      <c r="AM675" s="86"/>
    </row>
    <row r="676" spans="1:39" ht="18" customHeight="1">
      <c r="A676" s="81"/>
      <c r="B676" s="205" t="str">
        <f>_xlfn.LET(_xlpm.var,◆관리정보!B676,IF(_xlpm.var&lt;&gt;0,_xlpm.var,""))</f>
        <v/>
      </c>
      <c r="C676" s="82" t="str">
        <f>_xlfn.LET(_xlpm.var,◆관리정보!C676,IF(_xlpm.var&lt;&gt;0,_xlpm.var,""))</f>
        <v/>
      </c>
      <c r="D676" s="83"/>
      <c r="E676" s="84" t="str">
        <f t="shared" si="23"/>
        <v/>
      </c>
      <c r="F676" s="87"/>
      <c r="G676" s="229"/>
      <c r="H676" s="229"/>
      <c r="I676" s="229"/>
      <c r="J676" s="229"/>
      <c r="K676" s="218"/>
      <c r="L676" s="87"/>
      <c r="M676" s="87"/>
      <c r="N676" s="82"/>
      <c r="O676" s="82"/>
      <c r="P676" s="241"/>
      <c r="Q676" s="241"/>
      <c r="R676" s="82"/>
      <c r="S676" s="241"/>
      <c r="T676" s="82"/>
      <c r="U676" s="241"/>
      <c r="V676" s="82"/>
      <c r="W676" s="88"/>
      <c r="X676" s="82"/>
      <c r="Y676" s="89"/>
      <c r="Z676" s="82"/>
      <c r="AA676" s="90"/>
      <c r="AB676" s="241"/>
      <c r="AC676" s="241"/>
      <c r="AD676" s="241"/>
      <c r="AE676" s="82"/>
      <c r="AF676" s="82"/>
      <c r="AG676" s="90"/>
      <c r="AH676" s="90"/>
      <c r="AI676" s="90"/>
      <c r="AJ676" s="90"/>
      <c r="AK676" s="82"/>
      <c r="AL676" s="82" t="str" cm="1">
        <f t="array" aca="1" ref="AL676" ca="1">_xlfn.IFS(
 AND($AK676&lt;&gt;"", M676&lt;&gt;0, M676&lt;=EDATE(TODAY(),2)),"도래",
 AND($AK676&lt;&gt;"", M676&lt;&gt;0, M676&lt;=EDATE(TODAY(),3)),"예정",
 AND($AK676&lt;&gt;"", M676&lt;&gt;0, M676&lt;=EDATE(TODAY(),6)),"관심",
 TRUE,""
)</f>
        <v/>
      </c>
      <c r="AM676" s="86"/>
    </row>
    <row r="677" spans="1:39" ht="18" customHeight="1">
      <c r="A677" s="81"/>
      <c r="B677" s="205" t="str">
        <f>_xlfn.LET(_xlpm.var,◆관리정보!B677,IF(_xlpm.var&lt;&gt;0,_xlpm.var,""))</f>
        <v/>
      </c>
      <c r="C677" s="82" t="str">
        <f>_xlfn.LET(_xlpm.var,◆관리정보!C677,IF(_xlpm.var&lt;&gt;0,_xlpm.var,""))</f>
        <v/>
      </c>
      <c r="D677" s="83"/>
      <c r="E677" s="84" t="str">
        <f t="shared" si="23"/>
        <v/>
      </c>
      <c r="F677" s="87"/>
      <c r="G677" s="229"/>
      <c r="H677" s="229"/>
      <c r="I677" s="229"/>
      <c r="J677" s="229"/>
      <c r="K677" s="218"/>
      <c r="L677" s="87"/>
      <c r="M677" s="87"/>
      <c r="N677" s="82"/>
      <c r="O677" s="82"/>
      <c r="P677" s="241"/>
      <c r="Q677" s="241"/>
      <c r="R677" s="82"/>
      <c r="S677" s="241"/>
      <c r="T677" s="82"/>
      <c r="U677" s="241"/>
      <c r="V677" s="82"/>
      <c r="W677" s="88"/>
      <c r="X677" s="82"/>
      <c r="Y677" s="89"/>
      <c r="Z677" s="82"/>
      <c r="AA677" s="90"/>
      <c r="AB677" s="241"/>
      <c r="AC677" s="241"/>
      <c r="AD677" s="241"/>
      <c r="AE677" s="82"/>
      <c r="AF677" s="82"/>
      <c r="AG677" s="90"/>
      <c r="AH677" s="90"/>
      <c r="AI677" s="90"/>
      <c r="AJ677" s="90"/>
      <c r="AK677" s="82"/>
      <c r="AL677" s="82" t="str" cm="1">
        <f t="array" aca="1" ref="AL677" ca="1">_xlfn.IFS(
 AND($AK677&lt;&gt;"", M677&lt;&gt;0, M677&lt;=EDATE(TODAY(),2)),"도래",
 AND($AK677&lt;&gt;"", M677&lt;&gt;0, M677&lt;=EDATE(TODAY(),3)),"예정",
 AND($AK677&lt;&gt;"", M677&lt;&gt;0, M677&lt;=EDATE(TODAY(),6)),"관심",
 TRUE,""
)</f>
        <v/>
      </c>
      <c r="AM677" s="86"/>
    </row>
    <row r="678" spans="1:39" ht="18" customHeight="1">
      <c r="A678" s="81"/>
      <c r="B678" s="205" t="str">
        <f>_xlfn.LET(_xlpm.var,◆관리정보!B678,IF(_xlpm.var&lt;&gt;0,_xlpm.var,""))</f>
        <v/>
      </c>
      <c r="C678" s="82" t="str">
        <f>_xlfn.LET(_xlpm.var,◆관리정보!C678,IF(_xlpm.var&lt;&gt;0,_xlpm.var,""))</f>
        <v/>
      </c>
      <c r="D678" s="83"/>
      <c r="E678" s="84" t="str">
        <f t="shared" si="23"/>
        <v/>
      </c>
      <c r="F678" s="87"/>
      <c r="G678" s="229"/>
      <c r="H678" s="229"/>
      <c r="I678" s="229"/>
      <c r="J678" s="229"/>
      <c r="K678" s="218"/>
      <c r="L678" s="87"/>
      <c r="M678" s="87"/>
      <c r="N678" s="82"/>
      <c r="O678" s="82"/>
      <c r="P678" s="241"/>
      <c r="Q678" s="241"/>
      <c r="R678" s="82"/>
      <c r="S678" s="241"/>
      <c r="T678" s="82"/>
      <c r="U678" s="241"/>
      <c r="V678" s="82"/>
      <c r="W678" s="88"/>
      <c r="X678" s="82"/>
      <c r="Y678" s="89"/>
      <c r="Z678" s="82"/>
      <c r="AA678" s="90"/>
      <c r="AB678" s="241"/>
      <c r="AC678" s="241"/>
      <c r="AD678" s="241"/>
      <c r="AE678" s="82"/>
      <c r="AF678" s="82"/>
      <c r="AG678" s="90"/>
      <c r="AH678" s="90"/>
      <c r="AI678" s="90"/>
      <c r="AJ678" s="90"/>
      <c r="AK678" s="82"/>
      <c r="AL678" s="82" t="str" cm="1">
        <f t="array" aca="1" ref="AL678" ca="1">_xlfn.IFS(
 AND($AK678&lt;&gt;"", M678&lt;&gt;0, M678&lt;=EDATE(TODAY(),2)),"도래",
 AND($AK678&lt;&gt;"", M678&lt;&gt;0, M678&lt;=EDATE(TODAY(),3)),"예정",
 AND($AK678&lt;&gt;"", M678&lt;&gt;0, M678&lt;=EDATE(TODAY(),6)),"관심",
 TRUE,""
)</f>
        <v/>
      </c>
      <c r="AM678" s="86"/>
    </row>
    <row r="679" spans="1:39" ht="18" customHeight="1">
      <c r="A679" s="81"/>
      <c r="B679" s="205" t="str">
        <f>_xlfn.LET(_xlpm.var,◆관리정보!B679,IF(_xlpm.var&lt;&gt;0,_xlpm.var,""))</f>
        <v/>
      </c>
      <c r="C679" s="82" t="str">
        <f>_xlfn.LET(_xlpm.var,◆관리정보!C679,IF(_xlpm.var&lt;&gt;0,_xlpm.var,""))</f>
        <v/>
      </c>
      <c r="D679" s="83"/>
      <c r="E679" s="84" t="str">
        <f t="shared" si="23"/>
        <v/>
      </c>
      <c r="F679" s="87"/>
      <c r="G679" s="229"/>
      <c r="H679" s="229"/>
      <c r="I679" s="229"/>
      <c r="J679" s="229"/>
      <c r="K679" s="218"/>
      <c r="L679" s="87"/>
      <c r="M679" s="87"/>
      <c r="N679" s="82"/>
      <c r="O679" s="82"/>
      <c r="P679" s="241"/>
      <c r="Q679" s="241"/>
      <c r="R679" s="82"/>
      <c r="S679" s="241"/>
      <c r="T679" s="82"/>
      <c r="U679" s="241"/>
      <c r="V679" s="82"/>
      <c r="W679" s="88"/>
      <c r="X679" s="82"/>
      <c r="Y679" s="89"/>
      <c r="Z679" s="82"/>
      <c r="AA679" s="90"/>
      <c r="AB679" s="241"/>
      <c r="AC679" s="241"/>
      <c r="AD679" s="241"/>
      <c r="AE679" s="82"/>
      <c r="AF679" s="82"/>
      <c r="AG679" s="90"/>
      <c r="AH679" s="90"/>
      <c r="AI679" s="90"/>
      <c r="AJ679" s="90"/>
      <c r="AK679" s="82"/>
      <c r="AL679" s="82" t="str" cm="1">
        <f t="array" aca="1" ref="AL679" ca="1">_xlfn.IFS(
 AND($AK679&lt;&gt;"", M679&lt;&gt;0, M679&lt;=EDATE(TODAY(),2)),"도래",
 AND($AK679&lt;&gt;"", M679&lt;&gt;0, M679&lt;=EDATE(TODAY(),3)),"예정",
 AND($AK679&lt;&gt;"", M679&lt;&gt;0, M679&lt;=EDATE(TODAY(),6)),"관심",
 TRUE,""
)</f>
        <v/>
      </c>
      <c r="AM679" s="86"/>
    </row>
    <row r="680" spans="1:39" ht="18" customHeight="1">
      <c r="A680" s="81"/>
      <c r="B680" s="205" t="str">
        <f>_xlfn.LET(_xlpm.var,◆관리정보!B680,IF(_xlpm.var&lt;&gt;0,_xlpm.var,""))</f>
        <v/>
      </c>
      <c r="C680" s="82" t="str">
        <f>_xlfn.LET(_xlpm.var,◆관리정보!C680,IF(_xlpm.var&lt;&gt;0,_xlpm.var,""))</f>
        <v/>
      </c>
      <c r="D680" s="83"/>
      <c r="E680" s="84" t="str">
        <f t="shared" si="23"/>
        <v/>
      </c>
      <c r="F680" s="87"/>
      <c r="G680" s="229"/>
      <c r="H680" s="229"/>
      <c r="I680" s="229"/>
      <c r="J680" s="229"/>
      <c r="K680" s="218"/>
      <c r="L680" s="87"/>
      <c r="M680" s="87"/>
      <c r="N680" s="82"/>
      <c r="O680" s="82"/>
      <c r="P680" s="241"/>
      <c r="Q680" s="241"/>
      <c r="R680" s="82"/>
      <c r="S680" s="241"/>
      <c r="T680" s="82"/>
      <c r="U680" s="241"/>
      <c r="V680" s="82"/>
      <c r="W680" s="88"/>
      <c r="X680" s="82"/>
      <c r="Y680" s="89"/>
      <c r="Z680" s="82"/>
      <c r="AA680" s="90"/>
      <c r="AB680" s="241"/>
      <c r="AC680" s="241"/>
      <c r="AD680" s="241"/>
      <c r="AE680" s="82"/>
      <c r="AF680" s="82"/>
      <c r="AG680" s="90"/>
      <c r="AH680" s="90"/>
      <c r="AI680" s="90"/>
      <c r="AJ680" s="90"/>
      <c r="AK680" s="82"/>
      <c r="AL680" s="82" t="str" cm="1">
        <f t="array" aca="1" ref="AL680" ca="1">_xlfn.IFS(
 AND($AK680&lt;&gt;"", M680&lt;&gt;0, M680&lt;=EDATE(TODAY(),2)),"도래",
 AND($AK680&lt;&gt;"", M680&lt;&gt;0, M680&lt;=EDATE(TODAY(),3)),"예정",
 AND($AK680&lt;&gt;"", M680&lt;&gt;0, M680&lt;=EDATE(TODAY(),6)),"관심",
 TRUE,""
)</f>
        <v/>
      </c>
      <c r="AM680" s="86"/>
    </row>
    <row r="681" spans="1:39" ht="18" customHeight="1">
      <c r="A681" s="81"/>
      <c r="B681" s="205" t="str">
        <f>_xlfn.LET(_xlpm.var,◆관리정보!B681,IF(_xlpm.var&lt;&gt;0,_xlpm.var,""))</f>
        <v/>
      </c>
      <c r="C681" s="82" t="str">
        <f>_xlfn.LET(_xlpm.var,◆관리정보!C681,IF(_xlpm.var&lt;&gt;0,_xlpm.var,""))</f>
        <v/>
      </c>
      <c r="D681" s="83"/>
      <c r="E681" s="84" t="str">
        <f t="shared" si="23"/>
        <v/>
      </c>
      <c r="F681" s="87"/>
      <c r="G681" s="229"/>
      <c r="H681" s="229"/>
      <c r="I681" s="229"/>
      <c r="J681" s="229"/>
      <c r="K681" s="218"/>
      <c r="L681" s="87"/>
      <c r="M681" s="87"/>
      <c r="N681" s="82"/>
      <c r="O681" s="82"/>
      <c r="P681" s="241"/>
      <c r="Q681" s="241"/>
      <c r="R681" s="82"/>
      <c r="S681" s="241"/>
      <c r="T681" s="82"/>
      <c r="U681" s="241"/>
      <c r="V681" s="82"/>
      <c r="W681" s="88"/>
      <c r="X681" s="82"/>
      <c r="Y681" s="89"/>
      <c r="Z681" s="82"/>
      <c r="AA681" s="90"/>
      <c r="AB681" s="241"/>
      <c r="AC681" s="241"/>
      <c r="AD681" s="241"/>
      <c r="AE681" s="82"/>
      <c r="AF681" s="82"/>
      <c r="AG681" s="90"/>
      <c r="AH681" s="90"/>
      <c r="AI681" s="90"/>
      <c r="AJ681" s="90"/>
      <c r="AK681" s="82"/>
      <c r="AL681" s="82" t="str" cm="1">
        <f t="array" aca="1" ref="AL681" ca="1">_xlfn.IFS(
 AND($AK681&lt;&gt;"", M681&lt;&gt;0, M681&lt;=EDATE(TODAY(),2)),"도래",
 AND($AK681&lt;&gt;"", M681&lt;&gt;0, M681&lt;=EDATE(TODAY(),3)),"예정",
 AND($AK681&lt;&gt;"", M681&lt;&gt;0, M681&lt;=EDATE(TODAY(),6)),"관심",
 TRUE,""
)</f>
        <v/>
      </c>
      <c r="AM681" s="86"/>
    </row>
    <row r="682" spans="1:39" ht="18" customHeight="1">
      <c r="A682" s="81"/>
      <c r="B682" s="205" t="str">
        <f>_xlfn.LET(_xlpm.var,◆관리정보!B682,IF(_xlpm.var&lt;&gt;0,_xlpm.var,""))</f>
        <v/>
      </c>
      <c r="C682" s="82" t="str">
        <f>_xlfn.LET(_xlpm.var,◆관리정보!C682,IF(_xlpm.var&lt;&gt;0,_xlpm.var,""))</f>
        <v/>
      </c>
      <c r="D682" s="83"/>
      <c r="E682" s="84" t="str">
        <f t="shared" si="23"/>
        <v/>
      </c>
      <c r="F682" s="87"/>
      <c r="G682" s="229"/>
      <c r="H682" s="229"/>
      <c r="I682" s="229"/>
      <c r="J682" s="229"/>
      <c r="K682" s="218"/>
      <c r="L682" s="87"/>
      <c r="M682" s="87"/>
      <c r="N682" s="82"/>
      <c r="O682" s="82"/>
      <c r="P682" s="241"/>
      <c r="Q682" s="241"/>
      <c r="R682" s="82"/>
      <c r="S682" s="241"/>
      <c r="T682" s="82"/>
      <c r="U682" s="241"/>
      <c r="V682" s="82"/>
      <c r="W682" s="88"/>
      <c r="X682" s="82"/>
      <c r="Y682" s="89"/>
      <c r="Z682" s="82"/>
      <c r="AA682" s="90"/>
      <c r="AB682" s="241"/>
      <c r="AC682" s="241"/>
      <c r="AD682" s="241"/>
      <c r="AE682" s="82"/>
      <c r="AF682" s="82"/>
      <c r="AG682" s="90"/>
      <c r="AH682" s="90"/>
      <c r="AI682" s="90"/>
      <c r="AJ682" s="90"/>
      <c r="AK682" s="82"/>
      <c r="AL682" s="82" t="str" cm="1">
        <f t="array" aca="1" ref="AL682" ca="1">_xlfn.IFS(
 AND($AK682&lt;&gt;"", M682&lt;&gt;0, M682&lt;=EDATE(TODAY(),2)),"도래",
 AND($AK682&lt;&gt;"", M682&lt;&gt;0, M682&lt;=EDATE(TODAY(),3)),"예정",
 AND($AK682&lt;&gt;"", M682&lt;&gt;0, M682&lt;=EDATE(TODAY(),6)),"관심",
 TRUE,""
)</f>
        <v/>
      </c>
      <c r="AM682" s="86"/>
    </row>
    <row r="683" spans="1:39" ht="18" customHeight="1">
      <c r="A683" s="81"/>
      <c r="B683" s="205" t="str">
        <f>_xlfn.LET(_xlpm.var,◆관리정보!B683,IF(_xlpm.var&lt;&gt;0,_xlpm.var,""))</f>
        <v/>
      </c>
      <c r="C683" s="82" t="str">
        <f>_xlfn.LET(_xlpm.var,◆관리정보!C683,IF(_xlpm.var&lt;&gt;0,_xlpm.var,""))</f>
        <v/>
      </c>
      <c r="D683" s="83"/>
      <c r="E683" s="84" t="str">
        <f t="shared" si="23"/>
        <v/>
      </c>
      <c r="F683" s="87"/>
      <c r="G683" s="229"/>
      <c r="H683" s="229"/>
      <c r="I683" s="229"/>
      <c r="J683" s="229"/>
      <c r="K683" s="218"/>
      <c r="L683" s="87"/>
      <c r="M683" s="87"/>
      <c r="N683" s="82"/>
      <c r="O683" s="82"/>
      <c r="P683" s="241"/>
      <c r="Q683" s="241"/>
      <c r="R683" s="82"/>
      <c r="S683" s="241"/>
      <c r="T683" s="82"/>
      <c r="U683" s="241"/>
      <c r="V683" s="82"/>
      <c r="W683" s="88"/>
      <c r="X683" s="82"/>
      <c r="Y683" s="89"/>
      <c r="Z683" s="82"/>
      <c r="AA683" s="90"/>
      <c r="AB683" s="241"/>
      <c r="AC683" s="241"/>
      <c r="AD683" s="241"/>
      <c r="AE683" s="82"/>
      <c r="AF683" s="82"/>
      <c r="AG683" s="90"/>
      <c r="AH683" s="90"/>
      <c r="AI683" s="90"/>
      <c r="AJ683" s="90"/>
      <c r="AK683" s="82"/>
      <c r="AL683" s="82" t="str" cm="1">
        <f t="array" aca="1" ref="AL683" ca="1">_xlfn.IFS(
 AND($AK683&lt;&gt;"", M683&lt;&gt;0, M683&lt;=EDATE(TODAY(),2)),"도래",
 AND($AK683&lt;&gt;"", M683&lt;&gt;0, M683&lt;=EDATE(TODAY(),3)),"예정",
 AND($AK683&lt;&gt;"", M683&lt;&gt;0, M683&lt;=EDATE(TODAY(),6)),"관심",
 TRUE,""
)</f>
        <v/>
      </c>
      <c r="AM683" s="86"/>
    </row>
    <row r="684" spans="1:39" ht="18" customHeight="1">
      <c r="A684" s="81"/>
      <c r="B684" s="205" t="str">
        <f>_xlfn.LET(_xlpm.var,◆관리정보!B684,IF(_xlpm.var&lt;&gt;0,_xlpm.var,""))</f>
        <v/>
      </c>
      <c r="C684" s="82" t="str">
        <f>_xlfn.LET(_xlpm.var,◆관리정보!C684,IF(_xlpm.var&lt;&gt;0,_xlpm.var,""))</f>
        <v/>
      </c>
      <c r="D684" s="83"/>
      <c r="E684" s="84" t="str">
        <f t="shared" si="23"/>
        <v/>
      </c>
      <c r="F684" s="87"/>
      <c r="G684" s="229"/>
      <c r="H684" s="229"/>
      <c r="I684" s="229"/>
      <c r="J684" s="229"/>
      <c r="K684" s="218"/>
      <c r="L684" s="87"/>
      <c r="M684" s="87"/>
      <c r="N684" s="82"/>
      <c r="O684" s="82"/>
      <c r="P684" s="241"/>
      <c r="Q684" s="241"/>
      <c r="R684" s="82"/>
      <c r="S684" s="241"/>
      <c r="T684" s="82"/>
      <c r="U684" s="241"/>
      <c r="V684" s="82"/>
      <c r="W684" s="88"/>
      <c r="X684" s="82"/>
      <c r="Y684" s="89"/>
      <c r="Z684" s="82"/>
      <c r="AA684" s="90"/>
      <c r="AB684" s="241"/>
      <c r="AC684" s="241"/>
      <c r="AD684" s="241"/>
      <c r="AE684" s="82"/>
      <c r="AF684" s="82"/>
      <c r="AG684" s="90"/>
      <c r="AH684" s="90"/>
      <c r="AI684" s="90"/>
      <c r="AJ684" s="90"/>
      <c r="AK684" s="82"/>
      <c r="AL684" s="82" t="str" cm="1">
        <f t="array" aca="1" ref="AL684" ca="1">_xlfn.IFS(
 AND($AK684&lt;&gt;"", M684&lt;&gt;0, M684&lt;=EDATE(TODAY(),2)),"도래",
 AND($AK684&lt;&gt;"", M684&lt;&gt;0, M684&lt;=EDATE(TODAY(),3)),"예정",
 AND($AK684&lt;&gt;"", M684&lt;&gt;0, M684&lt;=EDATE(TODAY(),6)),"관심",
 TRUE,""
)</f>
        <v/>
      </c>
      <c r="AM684" s="86"/>
    </row>
    <row r="685" spans="1:39" ht="18" customHeight="1">
      <c r="A685" s="81"/>
      <c r="B685" s="205" t="str">
        <f>_xlfn.LET(_xlpm.var,◆관리정보!B685,IF(_xlpm.var&lt;&gt;0,_xlpm.var,""))</f>
        <v/>
      </c>
      <c r="C685" s="82" t="str">
        <f>_xlfn.LET(_xlpm.var,◆관리정보!C685,IF(_xlpm.var&lt;&gt;0,_xlpm.var,""))</f>
        <v/>
      </c>
      <c r="D685" s="83"/>
      <c r="E685" s="84" t="str">
        <f t="shared" si="23"/>
        <v/>
      </c>
      <c r="F685" s="87"/>
      <c r="G685" s="229"/>
      <c r="H685" s="229"/>
      <c r="I685" s="229"/>
      <c r="J685" s="229"/>
      <c r="K685" s="218"/>
      <c r="L685" s="87"/>
      <c r="M685" s="87"/>
      <c r="N685" s="82"/>
      <c r="O685" s="82"/>
      <c r="P685" s="241"/>
      <c r="Q685" s="241"/>
      <c r="R685" s="82"/>
      <c r="S685" s="241"/>
      <c r="T685" s="82"/>
      <c r="U685" s="241"/>
      <c r="V685" s="82"/>
      <c r="W685" s="88"/>
      <c r="X685" s="82"/>
      <c r="Y685" s="89"/>
      <c r="Z685" s="82"/>
      <c r="AA685" s="90"/>
      <c r="AB685" s="241"/>
      <c r="AC685" s="241"/>
      <c r="AD685" s="241"/>
      <c r="AE685" s="82"/>
      <c r="AF685" s="82"/>
      <c r="AG685" s="90"/>
      <c r="AH685" s="90"/>
      <c r="AI685" s="90"/>
      <c r="AJ685" s="90"/>
      <c r="AK685" s="82"/>
      <c r="AL685" s="82" t="str" cm="1">
        <f t="array" aca="1" ref="AL685" ca="1">_xlfn.IFS(
 AND($AK685&lt;&gt;"", M685&lt;&gt;0, M685&lt;=EDATE(TODAY(),2)),"도래",
 AND($AK685&lt;&gt;"", M685&lt;&gt;0, M685&lt;=EDATE(TODAY(),3)),"예정",
 AND($AK685&lt;&gt;"", M685&lt;&gt;0, M685&lt;=EDATE(TODAY(),6)),"관심",
 TRUE,""
)</f>
        <v/>
      </c>
      <c r="AM685" s="86"/>
    </row>
    <row r="686" spans="1:39" ht="18" customHeight="1">
      <c r="A686" s="81"/>
      <c r="B686" s="205" t="str">
        <f>_xlfn.LET(_xlpm.var,◆관리정보!B686,IF(_xlpm.var&lt;&gt;0,_xlpm.var,""))</f>
        <v/>
      </c>
      <c r="C686" s="82" t="str">
        <f>_xlfn.LET(_xlpm.var,◆관리정보!C686,IF(_xlpm.var&lt;&gt;0,_xlpm.var,""))</f>
        <v/>
      </c>
      <c r="D686" s="83"/>
      <c r="E686" s="84" t="str">
        <f t="shared" si="23"/>
        <v/>
      </c>
      <c r="F686" s="87"/>
      <c r="G686" s="229"/>
      <c r="H686" s="229"/>
      <c r="I686" s="229"/>
      <c r="J686" s="229"/>
      <c r="K686" s="218"/>
      <c r="L686" s="87"/>
      <c r="M686" s="87"/>
      <c r="N686" s="82"/>
      <c r="O686" s="82"/>
      <c r="P686" s="241"/>
      <c r="Q686" s="241"/>
      <c r="R686" s="82"/>
      <c r="S686" s="241"/>
      <c r="T686" s="82"/>
      <c r="U686" s="241"/>
      <c r="V686" s="82"/>
      <c r="W686" s="88"/>
      <c r="X686" s="82"/>
      <c r="Y686" s="89"/>
      <c r="Z686" s="82"/>
      <c r="AA686" s="90"/>
      <c r="AB686" s="241"/>
      <c r="AC686" s="241"/>
      <c r="AD686" s="241"/>
      <c r="AE686" s="82"/>
      <c r="AF686" s="82"/>
      <c r="AG686" s="90"/>
      <c r="AH686" s="90"/>
      <c r="AI686" s="90"/>
      <c r="AJ686" s="90"/>
      <c r="AK686" s="82"/>
      <c r="AL686" s="82" t="str" cm="1">
        <f t="array" aca="1" ref="AL686" ca="1">_xlfn.IFS(
 AND($AK686&lt;&gt;"", M686&lt;&gt;0, M686&lt;=EDATE(TODAY(),2)),"도래",
 AND($AK686&lt;&gt;"", M686&lt;&gt;0, M686&lt;=EDATE(TODAY(),3)),"예정",
 AND($AK686&lt;&gt;"", M686&lt;&gt;0, M686&lt;=EDATE(TODAY(),6)),"관심",
 TRUE,""
)</f>
        <v/>
      </c>
      <c r="AM686" s="86"/>
    </row>
    <row r="687" spans="1:39" ht="18" customHeight="1">
      <c r="A687" s="81"/>
      <c r="B687" s="205" t="str">
        <f>_xlfn.LET(_xlpm.var,◆관리정보!B687,IF(_xlpm.var&lt;&gt;0,_xlpm.var,""))</f>
        <v/>
      </c>
      <c r="C687" s="82" t="str">
        <f>_xlfn.LET(_xlpm.var,◆관리정보!C687,IF(_xlpm.var&lt;&gt;0,_xlpm.var,""))</f>
        <v/>
      </c>
      <c r="D687" s="83"/>
      <c r="E687" s="84" t="str">
        <f t="shared" si="23"/>
        <v/>
      </c>
      <c r="F687" s="87"/>
      <c r="G687" s="229"/>
      <c r="H687" s="229"/>
      <c r="I687" s="229"/>
      <c r="J687" s="229"/>
      <c r="K687" s="218"/>
      <c r="L687" s="87"/>
      <c r="M687" s="87"/>
      <c r="N687" s="82"/>
      <c r="O687" s="82"/>
      <c r="P687" s="241"/>
      <c r="Q687" s="241"/>
      <c r="R687" s="82"/>
      <c r="S687" s="241"/>
      <c r="T687" s="82"/>
      <c r="U687" s="241"/>
      <c r="V687" s="82"/>
      <c r="W687" s="88"/>
      <c r="X687" s="82"/>
      <c r="Y687" s="89"/>
      <c r="Z687" s="82"/>
      <c r="AA687" s="90"/>
      <c r="AB687" s="241"/>
      <c r="AC687" s="241"/>
      <c r="AD687" s="241"/>
      <c r="AE687" s="82"/>
      <c r="AF687" s="82"/>
      <c r="AG687" s="90"/>
      <c r="AH687" s="90"/>
      <c r="AI687" s="90"/>
      <c r="AJ687" s="90"/>
      <c r="AK687" s="82"/>
      <c r="AL687" s="82" t="str" cm="1">
        <f t="array" aca="1" ref="AL687" ca="1">_xlfn.IFS(
 AND($AK687&lt;&gt;"", M687&lt;&gt;0, M687&lt;=EDATE(TODAY(),2)),"도래",
 AND($AK687&lt;&gt;"", M687&lt;&gt;0, M687&lt;=EDATE(TODAY(),3)),"예정",
 AND($AK687&lt;&gt;"", M687&lt;&gt;0, M687&lt;=EDATE(TODAY(),6)),"관심",
 TRUE,""
)</f>
        <v/>
      </c>
      <c r="AM687" s="86"/>
    </row>
    <row r="688" spans="1:39" ht="18" customHeight="1">
      <c r="A688" s="81"/>
      <c r="B688" s="205" t="str">
        <f>_xlfn.LET(_xlpm.var,◆관리정보!B688,IF(_xlpm.var&lt;&gt;0,_xlpm.var,""))</f>
        <v/>
      </c>
      <c r="C688" s="82" t="str">
        <f>_xlfn.LET(_xlpm.var,◆관리정보!C688,IF(_xlpm.var&lt;&gt;0,_xlpm.var,""))</f>
        <v/>
      </c>
      <c r="D688" s="83"/>
      <c r="E688" s="84" t="str">
        <f t="shared" si="23"/>
        <v/>
      </c>
      <c r="F688" s="87"/>
      <c r="G688" s="229"/>
      <c r="H688" s="229"/>
      <c r="I688" s="229"/>
      <c r="J688" s="229"/>
      <c r="K688" s="218"/>
      <c r="L688" s="87"/>
      <c r="M688" s="87"/>
      <c r="N688" s="82"/>
      <c r="O688" s="82"/>
      <c r="P688" s="241"/>
      <c r="Q688" s="241"/>
      <c r="R688" s="82"/>
      <c r="S688" s="241"/>
      <c r="T688" s="82"/>
      <c r="U688" s="241"/>
      <c r="V688" s="82"/>
      <c r="W688" s="88"/>
      <c r="X688" s="82"/>
      <c r="Y688" s="89"/>
      <c r="Z688" s="82"/>
      <c r="AA688" s="90"/>
      <c r="AB688" s="241"/>
      <c r="AC688" s="241"/>
      <c r="AD688" s="241"/>
      <c r="AE688" s="82"/>
      <c r="AF688" s="82"/>
      <c r="AG688" s="90"/>
      <c r="AH688" s="90"/>
      <c r="AI688" s="90"/>
      <c r="AJ688" s="90"/>
      <c r="AK688" s="82"/>
      <c r="AL688" s="82" t="str" cm="1">
        <f t="array" aca="1" ref="AL688" ca="1">_xlfn.IFS(
 AND($AK688&lt;&gt;"", M688&lt;&gt;0, M688&lt;=EDATE(TODAY(),2)),"도래",
 AND($AK688&lt;&gt;"", M688&lt;&gt;0, M688&lt;=EDATE(TODAY(),3)),"예정",
 AND($AK688&lt;&gt;"", M688&lt;&gt;0, M688&lt;=EDATE(TODAY(),6)),"관심",
 TRUE,""
)</f>
        <v/>
      </c>
      <c r="AM688" s="86"/>
    </row>
    <row r="689" spans="1:39" ht="18" customHeight="1">
      <c r="A689" s="81"/>
      <c r="B689" s="205" t="str">
        <f>_xlfn.LET(_xlpm.var,◆관리정보!B689,IF(_xlpm.var&lt;&gt;0,_xlpm.var,""))</f>
        <v/>
      </c>
      <c r="C689" s="82" t="str">
        <f>_xlfn.LET(_xlpm.var,◆관리정보!C689,IF(_xlpm.var&lt;&gt;0,_xlpm.var,""))</f>
        <v/>
      </c>
      <c r="D689" s="83"/>
      <c r="E689" s="84" t="str">
        <f t="shared" si="23"/>
        <v/>
      </c>
      <c r="F689" s="87"/>
      <c r="G689" s="229"/>
      <c r="H689" s="229"/>
      <c r="I689" s="229"/>
      <c r="J689" s="229"/>
      <c r="K689" s="218"/>
      <c r="L689" s="87"/>
      <c r="M689" s="87"/>
      <c r="N689" s="82"/>
      <c r="O689" s="82"/>
      <c r="P689" s="241"/>
      <c r="Q689" s="241"/>
      <c r="R689" s="82"/>
      <c r="S689" s="241"/>
      <c r="T689" s="82"/>
      <c r="U689" s="241"/>
      <c r="V689" s="82"/>
      <c r="W689" s="88"/>
      <c r="X689" s="82"/>
      <c r="Y689" s="89"/>
      <c r="Z689" s="82"/>
      <c r="AA689" s="90"/>
      <c r="AB689" s="241"/>
      <c r="AC689" s="241"/>
      <c r="AD689" s="241"/>
      <c r="AE689" s="82"/>
      <c r="AF689" s="82"/>
      <c r="AG689" s="90"/>
      <c r="AH689" s="90"/>
      <c r="AI689" s="90"/>
      <c r="AJ689" s="90"/>
      <c r="AK689" s="82"/>
      <c r="AL689" s="82" t="str" cm="1">
        <f t="array" aca="1" ref="AL689" ca="1">_xlfn.IFS(
 AND($AK689&lt;&gt;"", M689&lt;&gt;0, M689&lt;=EDATE(TODAY(),2)),"도래",
 AND($AK689&lt;&gt;"", M689&lt;&gt;0, M689&lt;=EDATE(TODAY(),3)),"예정",
 AND($AK689&lt;&gt;"", M689&lt;&gt;0, M689&lt;=EDATE(TODAY(),6)),"관심",
 TRUE,""
)</f>
        <v/>
      </c>
      <c r="AM689" s="86"/>
    </row>
    <row r="690" spans="1:39" ht="18" customHeight="1">
      <c r="A690" s="81"/>
      <c r="B690" s="205" t="str">
        <f>_xlfn.LET(_xlpm.var,◆관리정보!B690,IF(_xlpm.var&lt;&gt;0,_xlpm.var,""))</f>
        <v/>
      </c>
      <c r="C690" s="82" t="str">
        <f>_xlfn.LET(_xlpm.var,◆관리정보!C690,IF(_xlpm.var&lt;&gt;0,_xlpm.var,""))</f>
        <v/>
      </c>
      <c r="D690" s="83"/>
      <c r="E690" s="84" t="str">
        <f t="shared" si="23"/>
        <v/>
      </c>
      <c r="F690" s="87"/>
      <c r="G690" s="229"/>
      <c r="H690" s="229"/>
      <c r="I690" s="229"/>
      <c r="J690" s="229"/>
      <c r="K690" s="218"/>
      <c r="L690" s="87"/>
      <c r="M690" s="87"/>
      <c r="N690" s="82"/>
      <c r="O690" s="82"/>
      <c r="P690" s="241"/>
      <c r="Q690" s="241"/>
      <c r="R690" s="82"/>
      <c r="S690" s="241"/>
      <c r="T690" s="82"/>
      <c r="U690" s="241"/>
      <c r="V690" s="82"/>
      <c r="W690" s="88"/>
      <c r="X690" s="82"/>
      <c r="Y690" s="89"/>
      <c r="Z690" s="82"/>
      <c r="AA690" s="90"/>
      <c r="AB690" s="241"/>
      <c r="AC690" s="241"/>
      <c r="AD690" s="241"/>
      <c r="AE690" s="82"/>
      <c r="AF690" s="82"/>
      <c r="AG690" s="90"/>
      <c r="AH690" s="90"/>
      <c r="AI690" s="90"/>
      <c r="AJ690" s="90"/>
      <c r="AK690" s="82"/>
      <c r="AL690" s="82" t="str" cm="1">
        <f t="array" aca="1" ref="AL690" ca="1">_xlfn.IFS(
 AND($AK690&lt;&gt;"", M690&lt;&gt;0, M690&lt;=EDATE(TODAY(),2)),"도래",
 AND($AK690&lt;&gt;"", M690&lt;&gt;0, M690&lt;=EDATE(TODAY(),3)),"예정",
 AND($AK690&lt;&gt;"", M690&lt;&gt;0, M690&lt;=EDATE(TODAY(),6)),"관심",
 TRUE,""
)</f>
        <v/>
      </c>
      <c r="AM690" s="86"/>
    </row>
    <row r="691" spans="1:39" ht="18" customHeight="1">
      <c r="A691" s="81"/>
      <c r="B691" s="205" t="str">
        <f>_xlfn.LET(_xlpm.var,◆관리정보!B691,IF(_xlpm.var&lt;&gt;0,_xlpm.var,""))</f>
        <v/>
      </c>
      <c r="C691" s="82" t="str">
        <f>_xlfn.LET(_xlpm.var,◆관리정보!C691,IF(_xlpm.var&lt;&gt;0,_xlpm.var,""))</f>
        <v/>
      </c>
      <c r="D691" s="83"/>
      <c r="E691" s="84" t="str">
        <f t="shared" si="23"/>
        <v/>
      </c>
      <c r="F691" s="87"/>
      <c r="G691" s="229"/>
      <c r="H691" s="229"/>
      <c r="I691" s="229"/>
      <c r="J691" s="229"/>
      <c r="K691" s="218"/>
      <c r="L691" s="87"/>
      <c r="M691" s="87"/>
      <c r="N691" s="82"/>
      <c r="O691" s="82"/>
      <c r="P691" s="241"/>
      <c r="Q691" s="241"/>
      <c r="R691" s="82"/>
      <c r="S691" s="241"/>
      <c r="T691" s="82"/>
      <c r="U691" s="241"/>
      <c r="V691" s="82"/>
      <c r="W691" s="88"/>
      <c r="X691" s="82"/>
      <c r="Y691" s="89"/>
      <c r="Z691" s="82"/>
      <c r="AA691" s="90"/>
      <c r="AB691" s="241"/>
      <c r="AC691" s="241"/>
      <c r="AD691" s="241"/>
      <c r="AE691" s="82"/>
      <c r="AF691" s="82"/>
      <c r="AG691" s="90"/>
      <c r="AH691" s="90"/>
      <c r="AI691" s="90"/>
      <c r="AJ691" s="90"/>
      <c r="AK691" s="82"/>
      <c r="AL691" s="82" t="str" cm="1">
        <f t="array" aca="1" ref="AL691" ca="1">_xlfn.IFS(
 AND($AK691&lt;&gt;"", M691&lt;&gt;0, M691&lt;=EDATE(TODAY(),2)),"도래",
 AND($AK691&lt;&gt;"", M691&lt;&gt;0, M691&lt;=EDATE(TODAY(),3)),"예정",
 AND($AK691&lt;&gt;"", M691&lt;&gt;0, M691&lt;=EDATE(TODAY(),6)),"관심",
 TRUE,""
)</f>
        <v/>
      </c>
      <c r="AM691" s="86"/>
    </row>
    <row r="692" spans="1:39" ht="18" customHeight="1">
      <c r="A692" s="81"/>
      <c r="B692" s="205" t="str">
        <f>_xlfn.LET(_xlpm.var,◆관리정보!B692,IF(_xlpm.var&lt;&gt;0,_xlpm.var,""))</f>
        <v/>
      </c>
      <c r="C692" s="82" t="str">
        <f>_xlfn.LET(_xlpm.var,◆관리정보!C692,IF(_xlpm.var&lt;&gt;0,_xlpm.var,""))</f>
        <v/>
      </c>
      <c r="D692" s="83"/>
      <c r="E692" s="84" t="str">
        <f t="shared" si="23"/>
        <v/>
      </c>
      <c r="F692" s="87"/>
      <c r="G692" s="229"/>
      <c r="H692" s="229"/>
      <c r="I692" s="229"/>
      <c r="J692" s="229"/>
      <c r="K692" s="218"/>
      <c r="L692" s="87"/>
      <c r="M692" s="87"/>
      <c r="N692" s="82"/>
      <c r="O692" s="82"/>
      <c r="P692" s="241"/>
      <c r="Q692" s="241"/>
      <c r="R692" s="82"/>
      <c r="S692" s="241"/>
      <c r="T692" s="82"/>
      <c r="U692" s="241"/>
      <c r="V692" s="82"/>
      <c r="W692" s="88"/>
      <c r="X692" s="82"/>
      <c r="Y692" s="89"/>
      <c r="Z692" s="82"/>
      <c r="AA692" s="90"/>
      <c r="AB692" s="241"/>
      <c r="AC692" s="241"/>
      <c r="AD692" s="241"/>
      <c r="AE692" s="82"/>
      <c r="AF692" s="82"/>
      <c r="AG692" s="90"/>
      <c r="AH692" s="90"/>
      <c r="AI692" s="90"/>
      <c r="AJ692" s="90"/>
      <c r="AK692" s="82"/>
      <c r="AL692" s="82" t="str" cm="1">
        <f t="array" aca="1" ref="AL692" ca="1">_xlfn.IFS(
 AND($AK692&lt;&gt;"", M692&lt;&gt;0, M692&lt;=EDATE(TODAY(),2)),"도래",
 AND($AK692&lt;&gt;"", M692&lt;&gt;0, M692&lt;=EDATE(TODAY(),3)),"예정",
 AND($AK692&lt;&gt;"", M692&lt;&gt;0, M692&lt;=EDATE(TODAY(),6)),"관심",
 TRUE,""
)</f>
        <v/>
      </c>
      <c r="AM692" s="86"/>
    </row>
    <row r="693" spans="1:39" ht="18" customHeight="1">
      <c r="A693" s="81"/>
      <c r="B693" s="205" t="str">
        <f>_xlfn.LET(_xlpm.var,◆관리정보!B693,IF(_xlpm.var&lt;&gt;0,_xlpm.var,""))</f>
        <v/>
      </c>
      <c r="C693" s="82" t="str">
        <f>_xlfn.LET(_xlpm.var,◆관리정보!C693,IF(_xlpm.var&lt;&gt;0,_xlpm.var,""))</f>
        <v/>
      </c>
      <c r="D693" s="83"/>
      <c r="E693" s="84" t="str">
        <f t="shared" si="23"/>
        <v/>
      </c>
      <c r="F693" s="87"/>
      <c r="G693" s="229"/>
      <c r="H693" s="229"/>
      <c r="I693" s="229"/>
      <c r="J693" s="229"/>
      <c r="K693" s="218"/>
      <c r="L693" s="87"/>
      <c r="M693" s="87"/>
      <c r="N693" s="82"/>
      <c r="O693" s="82"/>
      <c r="P693" s="241"/>
      <c r="Q693" s="241"/>
      <c r="R693" s="82"/>
      <c r="S693" s="241"/>
      <c r="T693" s="82"/>
      <c r="U693" s="241"/>
      <c r="V693" s="82"/>
      <c r="W693" s="88"/>
      <c r="X693" s="82"/>
      <c r="Y693" s="89"/>
      <c r="Z693" s="82"/>
      <c r="AA693" s="90"/>
      <c r="AB693" s="241"/>
      <c r="AC693" s="241"/>
      <c r="AD693" s="241"/>
      <c r="AE693" s="82"/>
      <c r="AF693" s="82"/>
      <c r="AG693" s="90"/>
      <c r="AH693" s="90"/>
      <c r="AI693" s="90"/>
      <c r="AJ693" s="90"/>
      <c r="AK693" s="82"/>
      <c r="AL693" s="82" t="str" cm="1">
        <f t="array" aca="1" ref="AL693" ca="1">_xlfn.IFS(
 AND($AK693&lt;&gt;"", M693&lt;&gt;0, M693&lt;=EDATE(TODAY(),2)),"도래",
 AND($AK693&lt;&gt;"", M693&lt;&gt;0, M693&lt;=EDATE(TODAY(),3)),"예정",
 AND($AK693&lt;&gt;"", M693&lt;&gt;0, M693&lt;=EDATE(TODAY(),6)),"관심",
 TRUE,""
)</f>
        <v/>
      </c>
      <c r="AM693" s="86"/>
    </row>
    <row r="694" spans="1:39" ht="18" customHeight="1">
      <c r="A694" s="81"/>
      <c r="B694" s="205" t="str">
        <f>_xlfn.LET(_xlpm.var,◆관리정보!B694,IF(_xlpm.var&lt;&gt;0,_xlpm.var,""))</f>
        <v/>
      </c>
      <c r="C694" s="82" t="str">
        <f>_xlfn.LET(_xlpm.var,◆관리정보!C694,IF(_xlpm.var&lt;&gt;0,_xlpm.var,""))</f>
        <v/>
      </c>
      <c r="D694" s="83"/>
      <c r="E694" s="84" t="str">
        <f t="shared" si="23"/>
        <v/>
      </c>
      <c r="F694" s="87"/>
      <c r="G694" s="229"/>
      <c r="H694" s="229"/>
      <c r="I694" s="229"/>
      <c r="J694" s="229"/>
      <c r="K694" s="218"/>
      <c r="L694" s="87"/>
      <c r="M694" s="87"/>
      <c r="N694" s="82"/>
      <c r="O694" s="82"/>
      <c r="P694" s="241"/>
      <c r="Q694" s="241"/>
      <c r="R694" s="82"/>
      <c r="S694" s="241"/>
      <c r="T694" s="82"/>
      <c r="U694" s="241"/>
      <c r="V694" s="82"/>
      <c r="W694" s="88"/>
      <c r="X694" s="82"/>
      <c r="Y694" s="89"/>
      <c r="Z694" s="82"/>
      <c r="AA694" s="90"/>
      <c r="AB694" s="241"/>
      <c r="AC694" s="241"/>
      <c r="AD694" s="241"/>
      <c r="AE694" s="82"/>
      <c r="AF694" s="82"/>
      <c r="AG694" s="90"/>
      <c r="AH694" s="90"/>
      <c r="AI694" s="90"/>
      <c r="AJ694" s="90"/>
      <c r="AK694" s="82"/>
      <c r="AL694" s="82" t="str" cm="1">
        <f t="array" aca="1" ref="AL694" ca="1">_xlfn.IFS(
 AND($AK694&lt;&gt;"", M694&lt;&gt;0, M694&lt;=EDATE(TODAY(),2)),"도래",
 AND($AK694&lt;&gt;"", M694&lt;&gt;0, M694&lt;=EDATE(TODAY(),3)),"예정",
 AND($AK694&lt;&gt;"", M694&lt;&gt;0, M694&lt;=EDATE(TODAY(),6)),"관심",
 TRUE,""
)</f>
        <v/>
      </c>
      <c r="AM694" s="86"/>
    </row>
    <row r="695" spans="1:39" ht="18" customHeight="1">
      <c r="A695" s="81"/>
      <c r="B695" s="205" t="str">
        <f>_xlfn.LET(_xlpm.var,◆관리정보!B695,IF(_xlpm.var&lt;&gt;0,_xlpm.var,""))</f>
        <v/>
      </c>
      <c r="C695" s="82" t="str">
        <f>_xlfn.LET(_xlpm.var,◆관리정보!C695,IF(_xlpm.var&lt;&gt;0,_xlpm.var,""))</f>
        <v/>
      </c>
      <c r="D695" s="83"/>
      <c r="E695" s="84" t="str">
        <f t="shared" si="23"/>
        <v/>
      </c>
      <c r="F695" s="87"/>
      <c r="G695" s="229"/>
      <c r="H695" s="229"/>
      <c r="I695" s="229"/>
      <c r="J695" s="229"/>
      <c r="K695" s="218"/>
      <c r="L695" s="87"/>
      <c r="M695" s="87"/>
      <c r="N695" s="82"/>
      <c r="O695" s="82"/>
      <c r="P695" s="241"/>
      <c r="Q695" s="241"/>
      <c r="R695" s="82"/>
      <c r="S695" s="241"/>
      <c r="T695" s="82"/>
      <c r="U695" s="241"/>
      <c r="V695" s="82"/>
      <c r="W695" s="88"/>
      <c r="X695" s="82"/>
      <c r="Y695" s="89"/>
      <c r="Z695" s="82"/>
      <c r="AA695" s="90"/>
      <c r="AB695" s="241"/>
      <c r="AC695" s="241"/>
      <c r="AD695" s="241"/>
      <c r="AE695" s="82"/>
      <c r="AF695" s="82"/>
      <c r="AG695" s="90"/>
      <c r="AH695" s="90"/>
      <c r="AI695" s="90"/>
      <c r="AJ695" s="90"/>
      <c r="AK695" s="82"/>
      <c r="AL695" s="82" t="str" cm="1">
        <f t="array" aca="1" ref="AL695" ca="1">_xlfn.IFS(
 AND($AK695&lt;&gt;"", M695&lt;&gt;0, M695&lt;=EDATE(TODAY(),2)),"도래",
 AND($AK695&lt;&gt;"", M695&lt;&gt;0, M695&lt;=EDATE(TODAY(),3)),"예정",
 AND($AK695&lt;&gt;"", M695&lt;&gt;0, M695&lt;=EDATE(TODAY(),6)),"관심",
 TRUE,""
)</f>
        <v/>
      </c>
      <c r="AM695" s="86"/>
    </row>
    <row r="696" spans="1:39" ht="18" customHeight="1">
      <c r="A696" s="81"/>
      <c r="B696" s="205" t="str">
        <f>_xlfn.LET(_xlpm.var,◆관리정보!B696,IF(_xlpm.var&lt;&gt;0,_xlpm.var,""))</f>
        <v/>
      </c>
      <c r="C696" s="82" t="str">
        <f>_xlfn.LET(_xlpm.var,◆관리정보!C696,IF(_xlpm.var&lt;&gt;0,_xlpm.var,""))</f>
        <v/>
      </c>
      <c r="D696" s="83"/>
      <c r="E696" s="84" t="str">
        <f t="shared" si="23"/>
        <v/>
      </c>
      <c r="F696" s="87"/>
      <c r="G696" s="229"/>
      <c r="H696" s="229"/>
      <c r="I696" s="229"/>
      <c r="J696" s="229"/>
      <c r="K696" s="218"/>
      <c r="L696" s="87"/>
      <c r="M696" s="87"/>
      <c r="N696" s="82"/>
      <c r="O696" s="82"/>
      <c r="P696" s="241"/>
      <c r="Q696" s="241"/>
      <c r="R696" s="82"/>
      <c r="S696" s="241"/>
      <c r="T696" s="82"/>
      <c r="U696" s="241"/>
      <c r="V696" s="82"/>
      <c r="W696" s="88"/>
      <c r="X696" s="82"/>
      <c r="Y696" s="89"/>
      <c r="Z696" s="82"/>
      <c r="AA696" s="90"/>
      <c r="AB696" s="241"/>
      <c r="AC696" s="241"/>
      <c r="AD696" s="241"/>
      <c r="AE696" s="82"/>
      <c r="AF696" s="82"/>
      <c r="AG696" s="90"/>
      <c r="AH696" s="90"/>
      <c r="AI696" s="90"/>
      <c r="AJ696" s="90"/>
      <c r="AK696" s="82"/>
      <c r="AL696" s="82" t="str" cm="1">
        <f t="array" aca="1" ref="AL696" ca="1">_xlfn.IFS(
 AND($AK696&lt;&gt;"", M696&lt;&gt;0, M696&lt;=EDATE(TODAY(),2)),"도래",
 AND($AK696&lt;&gt;"", M696&lt;&gt;0, M696&lt;=EDATE(TODAY(),3)),"예정",
 AND($AK696&lt;&gt;"", M696&lt;&gt;0, M696&lt;=EDATE(TODAY(),6)),"관심",
 TRUE,""
)</f>
        <v/>
      </c>
      <c r="AM696" s="86"/>
    </row>
    <row r="697" spans="1:39" ht="18" customHeight="1">
      <c r="A697" s="81"/>
      <c r="B697" s="205" t="str">
        <f>_xlfn.LET(_xlpm.var,◆관리정보!B697,IF(_xlpm.var&lt;&gt;0,_xlpm.var,""))</f>
        <v/>
      </c>
      <c r="C697" s="82" t="str">
        <f>_xlfn.LET(_xlpm.var,◆관리정보!C697,IF(_xlpm.var&lt;&gt;0,_xlpm.var,""))</f>
        <v/>
      </c>
      <c r="D697" s="83"/>
      <c r="E697" s="84" t="str">
        <f t="shared" si="23"/>
        <v/>
      </c>
      <c r="F697" s="87"/>
      <c r="G697" s="229"/>
      <c r="H697" s="229"/>
      <c r="I697" s="229"/>
      <c r="J697" s="229"/>
      <c r="K697" s="218"/>
      <c r="L697" s="87"/>
      <c r="M697" s="87"/>
      <c r="N697" s="82"/>
      <c r="O697" s="82"/>
      <c r="P697" s="241"/>
      <c r="Q697" s="241"/>
      <c r="R697" s="82"/>
      <c r="S697" s="241"/>
      <c r="T697" s="82"/>
      <c r="U697" s="241"/>
      <c r="V697" s="82"/>
      <c r="W697" s="88"/>
      <c r="X697" s="82"/>
      <c r="Y697" s="89"/>
      <c r="Z697" s="82"/>
      <c r="AA697" s="90"/>
      <c r="AB697" s="241"/>
      <c r="AC697" s="241"/>
      <c r="AD697" s="241"/>
      <c r="AE697" s="82"/>
      <c r="AF697" s="82"/>
      <c r="AG697" s="90"/>
      <c r="AH697" s="90"/>
      <c r="AI697" s="90"/>
      <c r="AJ697" s="90"/>
      <c r="AK697" s="82"/>
      <c r="AL697" s="82" t="str" cm="1">
        <f t="array" aca="1" ref="AL697" ca="1">_xlfn.IFS(
 AND($AK697&lt;&gt;"", M697&lt;&gt;0, M697&lt;=EDATE(TODAY(),2)),"도래",
 AND($AK697&lt;&gt;"", M697&lt;&gt;0, M697&lt;=EDATE(TODAY(),3)),"예정",
 AND($AK697&lt;&gt;"", M697&lt;&gt;0, M697&lt;=EDATE(TODAY(),6)),"관심",
 TRUE,""
)</f>
        <v/>
      </c>
      <c r="AM697" s="86"/>
    </row>
    <row r="698" spans="1:39" ht="18" customHeight="1">
      <c r="A698" s="81"/>
      <c r="B698" s="205" t="str">
        <f>_xlfn.LET(_xlpm.var,◆관리정보!B698,IF(_xlpm.var&lt;&gt;0,_xlpm.var,""))</f>
        <v/>
      </c>
      <c r="C698" s="82" t="str">
        <f>_xlfn.LET(_xlpm.var,◆관리정보!C698,IF(_xlpm.var&lt;&gt;0,_xlpm.var,""))</f>
        <v/>
      </c>
      <c r="D698" s="83"/>
      <c r="E698" s="84" t="str">
        <f t="shared" si="23"/>
        <v/>
      </c>
      <c r="F698" s="87"/>
      <c r="G698" s="229"/>
      <c r="H698" s="229"/>
      <c r="I698" s="229"/>
      <c r="J698" s="229"/>
      <c r="K698" s="218"/>
      <c r="L698" s="87"/>
      <c r="M698" s="87"/>
      <c r="N698" s="82"/>
      <c r="O698" s="82"/>
      <c r="P698" s="241"/>
      <c r="Q698" s="241"/>
      <c r="R698" s="82"/>
      <c r="S698" s="241"/>
      <c r="T698" s="82"/>
      <c r="U698" s="241"/>
      <c r="V698" s="82"/>
      <c r="W698" s="88"/>
      <c r="X698" s="82"/>
      <c r="Y698" s="89"/>
      <c r="Z698" s="82"/>
      <c r="AA698" s="90"/>
      <c r="AB698" s="241"/>
      <c r="AC698" s="241"/>
      <c r="AD698" s="241"/>
      <c r="AE698" s="82"/>
      <c r="AF698" s="82"/>
      <c r="AG698" s="90"/>
      <c r="AH698" s="90"/>
      <c r="AI698" s="90"/>
      <c r="AJ698" s="90"/>
      <c r="AK698" s="82"/>
      <c r="AL698" s="82" t="str" cm="1">
        <f t="array" aca="1" ref="AL698" ca="1">_xlfn.IFS(
 AND($AK698&lt;&gt;"", M698&lt;&gt;0, M698&lt;=EDATE(TODAY(),2)),"도래",
 AND($AK698&lt;&gt;"", M698&lt;&gt;0, M698&lt;=EDATE(TODAY(),3)),"예정",
 AND($AK698&lt;&gt;"", M698&lt;&gt;0, M698&lt;=EDATE(TODAY(),6)),"관심",
 TRUE,""
)</f>
        <v/>
      </c>
      <c r="AM698" s="86"/>
    </row>
    <row r="699" spans="1:39" ht="18" customHeight="1">
      <c r="A699" s="81"/>
      <c r="B699" s="205" t="str">
        <f>_xlfn.LET(_xlpm.var,◆관리정보!B699,IF(_xlpm.var&lt;&gt;0,_xlpm.var,""))</f>
        <v/>
      </c>
      <c r="C699" s="82" t="str">
        <f>_xlfn.LET(_xlpm.var,◆관리정보!C699,IF(_xlpm.var&lt;&gt;0,_xlpm.var,""))</f>
        <v/>
      </c>
      <c r="D699" s="83"/>
      <c r="E699" s="84" t="str">
        <f t="shared" si="23"/>
        <v/>
      </c>
      <c r="F699" s="87"/>
      <c r="G699" s="229"/>
      <c r="H699" s="229"/>
      <c r="I699" s="229"/>
      <c r="J699" s="229"/>
      <c r="K699" s="218"/>
      <c r="L699" s="87"/>
      <c r="M699" s="87"/>
      <c r="N699" s="82"/>
      <c r="O699" s="82"/>
      <c r="P699" s="241"/>
      <c r="Q699" s="241"/>
      <c r="R699" s="82"/>
      <c r="S699" s="241"/>
      <c r="T699" s="82"/>
      <c r="U699" s="241"/>
      <c r="V699" s="82"/>
      <c r="W699" s="88"/>
      <c r="X699" s="82"/>
      <c r="Y699" s="89"/>
      <c r="Z699" s="82"/>
      <c r="AA699" s="90"/>
      <c r="AB699" s="241"/>
      <c r="AC699" s="241"/>
      <c r="AD699" s="241"/>
      <c r="AE699" s="82"/>
      <c r="AF699" s="82"/>
      <c r="AG699" s="90"/>
      <c r="AH699" s="90"/>
      <c r="AI699" s="90"/>
      <c r="AJ699" s="90"/>
      <c r="AK699" s="82"/>
      <c r="AL699" s="82" t="str" cm="1">
        <f t="array" aca="1" ref="AL699" ca="1">_xlfn.IFS(
 AND($AK699&lt;&gt;"", M699&lt;&gt;0, M699&lt;=EDATE(TODAY(),2)),"도래",
 AND($AK699&lt;&gt;"", M699&lt;&gt;0, M699&lt;=EDATE(TODAY(),3)),"예정",
 AND($AK699&lt;&gt;"", M699&lt;&gt;0, M699&lt;=EDATE(TODAY(),6)),"관심",
 TRUE,""
)</f>
        <v/>
      </c>
      <c r="AM699" s="86"/>
    </row>
    <row r="700" spans="1:39" ht="18" customHeight="1">
      <c r="A700" s="81"/>
      <c r="B700" s="205" t="str">
        <f>_xlfn.LET(_xlpm.var,◆관리정보!B700,IF(_xlpm.var&lt;&gt;0,_xlpm.var,""))</f>
        <v/>
      </c>
      <c r="C700" s="82" t="str">
        <f>_xlfn.LET(_xlpm.var,◆관리정보!C700,IF(_xlpm.var&lt;&gt;0,_xlpm.var,""))</f>
        <v/>
      </c>
      <c r="D700" s="83"/>
      <c r="E700" s="84" t="str">
        <f t="shared" si="23"/>
        <v/>
      </c>
      <c r="F700" s="87"/>
      <c r="G700" s="229"/>
      <c r="H700" s="229"/>
      <c r="I700" s="229"/>
      <c r="J700" s="229"/>
      <c r="K700" s="218"/>
      <c r="L700" s="87"/>
      <c r="M700" s="87"/>
      <c r="N700" s="82"/>
      <c r="O700" s="82"/>
      <c r="P700" s="241"/>
      <c r="Q700" s="241"/>
      <c r="R700" s="82"/>
      <c r="S700" s="241"/>
      <c r="T700" s="82"/>
      <c r="U700" s="241"/>
      <c r="V700" s="82"/>
      <c r="W700" s="88"/>
      <c r="X700" s="82"/>
      <c r="Y700" s="89"/>
      <c r="Z700" s="82"/>
      <c r="AA700" s="90"/>
      <c r="AB700" s="241"/>
      <c r="AC700" s="241"/>
      <c r="AD700" s="241"/>
      <c r="AE700" s="82"/>
      <c r="AF700" s="82"/>
      <c r="AG700" s="90"/>
      <c r="AH700" s="90"/>
      <c r="AI700" s="90"/>
      <c r="AJ700" s="90"/>
      <c r="AK700" s="82"/>
      <c r="AL700" s="82" t="str" cm="1">
        <f t="array" aca="1" ref="AL700" ca="1">_xlfn.IFS(
 AND($AK700&lt;&gt;"", M700&lt;&gt;0, M700&lt;=EDATE(TODAY(),2)),"도래",
 AND($AK700&lt;&gt;"", M700&lt;&gt;0, M700&lt;=EDATE(TODAY(),3)),"예정",
 AND($AK700&lt;&gt;"", M700&lt;&gt;0, M700&lt;=EDATE(TODAY(),6)),"관심",
 TRUE,""
)</f>
        <v/>
      </c>
      <c r="AM700" s="86"/>
    </row>
    <row r="701" spans="1:39" ht="18" customHeight="1">
      <c r="A701" s="81"/>
      <c r="B701" s="205" t="str">
        <f>_xlfn.LET(_xlpm.var,◆관리정보!B701,IF(_xlpm.var&lt;&gt;0,_xlpm.var,""))</f>
        <v/>
      </c>
      <c r="C701" s="82" t="str">
        <f>_xlfn.LET(_xlpm.var,◆관리정보!C701,IF(_xlpm.var&lt;&gt;0,_xlpm.var,""))</f>
        <v/>
      </c>
      <c r="D701" s="83"/>
      <c r="E701" s="84" t="str">
        <f t="shared" si="23"/>
        <v/>
      </c>
      <c r="F701" s="87"/>
      <c r="G701" s="229"/>
      <c r="H701" s="229"/>
      <c r="I701" s="229"/>
      <c r="J701" s="229"/>
      <c r="K701" s="218"/>
      <c r="L701" s="87"/>
      <c r="M701" s="87"/>
      <c r="N701" s="82"/>
      <c r="O701" s="82"/>
      <c r="P701" s="241"/>
      <c r="Q701" s="241"/>
      <c r="R701" s="82"/>
      <c r="S701" s="241"/>
      <c r="T701" s="82"/>
      <c r="U701" s="241"/>
      <c r="V701" s="82"/>
      <c r="W701" s="88"/>
      <c r="X701" s="82"/>
      <c r="Y701" s="89"/>
      <c r="Z701" s="82"/>
      <c r="AA701" s="90"/>
      <c r="AB701" s="241"/>
      <c r="AC701" s="241"/>
      <c r="AD701" s="241"/>
      <c r="AE701" s="82"/>
      <c r="AF701" s="82"/>
      <c r="AG701" s="90"/>
      <c r="AH701" s="90"/>
      <c r="AI701" s="90"/>
      <c r="AJ701" s="90"/>
      <c r="AK701" s="82"/>
      <c r="AL701" s="82" t="str" cm="1">
        <f t="array" aca="1" ref="AL701" ca="1">_xlfn.IFS(
 AND($AK701&lt;&gt;"", M701&lt;&gt;0, M701&lt;=EDATE(TODAY(),2)),"도래",
 AND($AK701&lt;&gt;"", M701&lt;&gt;0, M701&lt;=EDATE(TODAY(),3)),"예정",
 AND($AK701&lt;&gt;"", M701&lt;&gt;0, M701&lt;=EDATE(TODAY(),6)),"관심",
 TRUE,""
)</f>
        <v/>
      </c>
      <c r="AM701" s="86"/>
    </row>
    <row r="702" spans="1:39" ht="18" customHeight="1">
      <c r="A702" s="81"/>
      <c r="B702" s="205" t="str">
        <f>_xlfn.LET(_xlpm.var,◆관리정보!B702,IF(_xlpm.var&lt;&gt;0,_xlpm.var,""))</f>
        <v/>
      </c>
      <c r="C702" s="82" t="str">
        <f>_xlfn.LET(_xlpm.var,◆관리정보!C702,IF(_xlpm.var&lt;&gt;0,_xlpm.var,""))</f>
        <v/>
      </c>
      <c r="D702" s="83"/>
      <c r="E702" s="84" t="str">
        <f t="shared" si="23"/>
        <v/>
      </c>
      <c r="F702" s="87"/>
      <c r="G702" s="229"/>
      <c r="H702" s="229"/>
      <c r="I702" s="229"/>
      <c r="J702" s="229"/>
      <c r="K702" s="218"/>
      <c r="L702" s="87"/>
      <c r="M702" s="87"/>
      <c r="N702" s="82"/>
      <c r="O702" s="82"/>
      <c r="P702" s="241"/>
      <c r="Q702" s="241"/>
      <c r="R702" s="82"/>
      <c r="S702" s="241"/>
      <c r="T702" s="82"/>
      <c r="U702" s="241"/>
      <c r="V702" s="82"/>
      <c r="W702" s="88"/>
      <c r="X702" s="82"/>
      <c r="Y702" s="89"/>
      <c r="Z702" s="82"/>
      <c r="AA702" s="90"/>
      <c r="AB702" s="241"/>
      <c r="AC702" s="241"/>
      <c r="AD702" s="241"/>
      <c r="AE702" s="82"/>
      <c r="AF702" s="82"/>
      <c r="AG702" s="90"/>
      <c r="AH702" s="90"/>
      <c r="AI702" s="90"/>
      <c r="AJ702" s="90"/>
      <c r="AK702" s="82"/>
      <c r="AL702" s="82" t="str" cm="1">
        <f t="array" aca="1" ref="AL702" ca="1">_xlfn.IFS(
 AND($AK702&lt;&gt;"", M702&lt;&gt;0, M702&lt;=EDATE(TODAY(),2)),"도래",
 AND($AK702&lt;&gt;"", M702&lt;&gt;0, M702&lt;=EDATE(TODAY(),3)),"예정",
 AND($AK702&lt;&gt;"", M702&lt;&gt;0, M702&lt;=EDATE(TODAY(),6)),"관심",
 TRUE,""
)</f>
        <v/>
      </c>
      <c r="AM702" s="86"/>
    </row>
    <row r="703" spans="1:39" ht="18" customHeight="1">
      <c r="A703" s="81"/>
      <c r="B703" s="205" t="str">
        <f>_xlfn.LET(_xlpm.var,◆관리정보!B703,IF(_xlpm.var&lt;&gt;0,_xlpm.var,""))</f>
        <v/>
      </c>
      <c r="C703" s="82" t="str">
        <f>_xlfn.LET(_xlpm.var,◆관리정보!C703,IF(_xlpm.var&lt;&gt;0,_xlpm.var,""))</f>
        <v/>
      </c>
      <c r="D703" s="83"/>
      <c r="E703" s="84" t="str">
        <f t="shared" si="23"/>
        <v/>
      </c>
      <c r="F703" s="87"/>
      <c r="G703" s="229"/>
      <c r="H703" s="229"/>
      <c r="I703" s="229"/>
      <c r="J703" s="229"/>
      <c r="K703" s="218"/>
      <c r="L703" s="87"/>
      <c r="M703" s="87"/>
      <c r="N703" s="82"/>
      <c r="O703" s="82"/>
      <c r="P703" s="241"/>
      <c r="Q703" s="241"/>
      <c r="R703" s="82"/>
      <c r="S703" s="241"/>
      <c r="T703" s="82"/>
      <c r="U703" s="241"/>
      <c r="V703" s="82"/>
      <c r="W703" s="88"/>
      <c r="X703" s="82"/>
      <c r="Y703" s="89"/>
      <c r="Z703" s="82"/>
      <c r="AA703" s="90"/>
      <c r="AB703" s="241"/>
      <c r="AC703" s="241"/>
      <c r="AD703" s="241"/>
      <c r="AE703" s="82"/>
      <c r="AF703" s="82"/>
      <c r="AG703" s="90"/>
      <c r="AH703" s="90"/>
      <c r="AI703" s="90"/>
      <c r="AJ703" s="90"/>
      <c r="AK703" s="82"/>
      <c r="AL703" s="82" t="str" cm="1">
        <f t="array" aca="1" ref="AL703" ca="1">_xlfn.IFS(
 AND($AK703&lt;&gt;"", M703&lt;&gt;0, M703&lt;=EDATE(TODAY(),2)),"도래",
 AND($AK703&lt;&gt;"", M703&lt;&gt;0, M703&lt;=EDATE(TODAY(),3)),"예정",
 AND($AK703&lt;&gt;"", M703&lt;&gt;0, M703&lt;=EDATE(TODAY(),6)),"관심",
 TRUE,""
)</f>
        <v/>
      </c>
      <c r="AM703" s="86"/>
    </row>
    <row r="704" spans="1:39" ht="18" customHeight="1">
      <c r="A704" s="81"/>
      <c r="B704" s="205" t="str">
        <f>_xlfn.LET(_xlpm.var,◆관리정보!B704,IF(_xlpm.var&lt;&gt;0,_xlpm.var,""))</f>
        <v/>
      </c>
      <c r="C704" s="82" t="str">
        <f>_xlfn.LET(_xlpm.var,◆관리정보!C704,IF(_xlpm.var&lt;&gt;0,_xlpm.var,""))</f>
        <v/>
      </c>
      <c r="D704" s="83"/>
      <c r="E704" s="84" t="str">
        <f t="shared" si="23"/>
        <v/>
      </c>
      <c r="F704" s="87"/>
      <c r="G704" s="229"/>
      <c r="H704" s="229"/>
      <c r="I704" s="229"/>
      <c r="J704" s="229"/>
      <c r="K704" s="218"/>
      <c r="L704" s="87"/>
      <c r="M704" s="87"/>
      <c r="N704" s="82"/>
      <c r="O704" s="82"/>
      <c r="P704" s="241"/>
      <c r="Q704" s="241"/>
      <c r="R704" s="82"/>
      <c r="S704" s="241"/>
      <c r="T704" s="82"/>
      <c r="U704" s="241"/>
      <c r="V704" s="82"/>
      <c r="W704" s="88"/>
      <c r="X704" s="82"/>
      <c r="Y704" s="89"/>
      <c r="Z704" s="82"/>
      <c r="AA704" s="90"/>
      <c r="AB704" s="241"/>
      <c r="AC704" s="241"/>
      <c r="AD704" s="241"/>
      <c r="AE704" s="82"/>
      <c r="AF704" s="82"/>
      <c r="AG704" s="90"/>
      <c r="AH704" s="90"/>
      <c r="AI704" s="90"/>
      <c r="AJ704" s="90"/>
      <c r="AK704" s="82"/>
      <c r="AL704" s="82" t="str" cm="1">
        <f t="array" aca="1" ref="AL704" ca="1">_xlfn.IFS(
 AND($AK704&lt;&gt;"", M704&lt;&gt;0, M704&lt;=EDATE(TODAY(),2)),"도래",
 AND($AK704&lt;&gt;"", M704&lt;&gt;0, M704&lt;=EDATE(TODAY(),3)),"예정",
 AND($AK704&lt;&gt;"", M704&lt;&gt;0, M704&lt;=EDATE(TODAY(),6)),"관심",
 TRUE,""
)</f>
        <v/>
      </c>
      <c r="AM704" s="86"/>
    </row>
    <row r="705" spans="1:39" ht="18" customHeight="1">
      <c r="A705" s="81"/>
      <c r="B705" s="205" t="str">
        <f>_xlfn.LET(_xlpm.var,◆관리정보!B705,IF(_xlpm.var&lt;&gt;0,_xlpm.var,""))</f>
        <v/>
      </c>
      <c r="C705" s="82" t="str">
        <f>_xlfn.LET(_xlpm.var,◆관리정보!C705,IF(_xlpm.var&lt;&gt;0,_xlpm.var,""))</f>
        <v/>
      </c>
      <c r="D705" s="83"/>
      <c r="E705" s="84" t="str">
        <f t="shared" si="23"/>
        <v/>
      </c>
      <c r="F705" s="87"/>
      <c r="G705" s="229"/>
      <c r="H705" s="229"/>
      <c r="I705" s="229"/>
      <c r="J705" s="229"/>
      <c r="K705" s="218"/>
      <c r="L705" s="87"/>
      <c r="M705" s="87"/>
      <c r="N705" s="82"/>
      <c r="O705" s="82"/>
      <c r="P705" s="241"/>
      <c r="Q705" s="241"/>
      <c r="R705" s="82"/>
      <c r="S705" s="241"/>
      <c r="T705" s="82"/>
      <c r="U705" s="241"/>
      <c r="V705" s="82"/>
      <c r="W705" s="88"/>
      <c r="X705" s="82"/>
      <c r="Y705" s="89"/>
      <c r="Z705" s="82"/>
      <c r="AA705" s="90"/>
      <c r="AB705" s="241"/>
      <c r="AC705" s="241"/>
      <c r="AD705" s="241"/>
      <c r="AE705" s="82"/>
      <c r="AF705" s="82"/>
      <c r="AG705" s="90"/>
      <c r="AH705" s="90"/>
      <c r="AI705" s="90"/>
      <c r="AJ705" s="90"/>
      <c r="AK705" s="82"/>
      <c r="AL705" s="82" t="str" cm="1">
        <f t="array" aca="1" ref="AL705" ca="1">_xlfn.IFS(
 AND($AK705&lt;&gt;"", M705&lt;&gt;0, M705&lt;=EDATE(TODAY(),2)),"도래",
 AND($AK705&lt;&gt;"", M705&lt;&gt;0, M705&lt;=EDATE(TODAY(),3)),"예정",
 AND($AK705&lt;&gt;"", M705&lt;&gt;0, M705&lt;=EDATE(TODAY(),6)),"관심",
 TRUE,""
)</f>
        <v/>
      </c>
      <c r="AM705" s="86"/>
    </row>
    <row r="706" spans="1:39" ht="18" customHeight="1">
      <c r="A706" s="81"/>
      <c r="B706" s="205" t="str">
        <f>_xlfn.LET(_xlpm.var,◆관리정보!B706,IF(_xlpm.var&lt;&gt;0,_xlpm.var,""))</f>
        <v/>
      </c>
      <c r="C706" s="82" t="str">
        <f>_xlfn.LET(_xlpm.var,◆관리정보!C706,IF(_xlpm.var&lt;&gt;0,_xlpm.var,""))</f>
        <v/>
      </c>
      <c r="D706" s="83"/>
      <c r="E706" s="84" t="str">
        <f t="shared" si="23"/>
        <v/>
      </c>
      <c r="F706" s="87"/>
      <c r="G706" s="229"/>
      <c r="H706" s="229"/>
      <c r="I706" s="229"/>
      <c r="J706" s="229"/>
      <c r="K706" s="218"/>
      <c r="L706" s="87"/>
      <c r="M706" s="87"/>
      <c r="N706" s="82"/>
      <c r="O706" s="82"/>
      <c r="P706" s="241"/>
      <c r="Q706" s="241"/>
      <c r="R706" s="82"/>
      <c r="S706" s="241"/>
      <c r="T706" s="82"/>
      <c r="U706" s="241"/>
      <c r="V706" s="82"/>
      <c r="W706" s="88"/>
      <c r="X706" s="82"/>
      <c r="Y706" s="89"/>
      <c r="Z706" s="82"/>
      <c r="AA706" s="90"/>
      <c r="AB706" s="241"/>
      <c r="AC706" s="241"/>
      <c r="AD706" s="241"/>
      <c r="AE706" s="82"/>
      <c r="AF706" s="82"/>
      <c r="AG706" s="90"/>
      <c r="AH706" s="90"/>
      <c r="AI706" s="90"/>
      <c r="AJ706" s="90"/>
      <c r="AK706" s="82"/>
      <c r="AL706" s="82" t="str" cm="1">
        <f t="array" aca="1" ref="AL706" ca="1">_xlfn.IFS(
 AND($AK706&lt;&gt;"", M706&lt;&gt;0, M706&lt;=EDATE(TODAY(),2)),"도래",
 AND($AK706&lt;&gt;"", M706&lt;&gt;0, M706&lt;=EDATE(TODAY(),3)),"예정",
 AND($AK706&lt;&gt;"", M706&lt;&gt;0, M706&lt;=EDATE(TODAY(),6)),"관심",
 TRUE,""
)</f>
        <v/>
      </c>
      <c r="AM706" s="86"/>
    </row>
    <row r="707" spans="1:39" ht="18" customHeight="1">
      <c r="A707" s="81"/>
      <c r="B707" s="205" t="str">
        <f>_xlfn.LET(_xlpm.var,◆관리정보!B707,IF(_xlpm.var&lt;&gt;0,_xlpm.var,""))</f>
        <v/>
      </c>
      <c r="C707" s="82" t="str">
        <f>_xlfn.LET(_xlpm.var,◆관리정보!C707,IF(_xlpm.var&lt;&gt;0,_xlpm.var,""))</f>
        <v/>
      </c>
      <c r="D707" s="83"/>
      <c r="E707" s="84" t="str">
        <f t="shared" si="23"/>
        <v/>
      </c>
      <c r="F707" s="87"/>
      <c r="G707" s="229"/>
      <c r="H707" s="229"/>
      <c r="I707" s="229"/>
      <c r="J707" s="229"/>
      <c r="K707" s="218"/>
      <c r="L707" s="87"/>
      <c r="M707" s="87"/>
      <c r="N707" s="82"/>
      <c r="O707" s="82"/>
      <c r="P707" s="241"/>
      <c r="Q707" s="241"/>
      <c r="R707" s="82"/>
      <c r="S707" s="241"/>
      <c r="T707" s="82"/>
      <c r="U707" s="241"/>
      <c r="V707" s="82"/>
      <c r="W707" s="88"/>
      <c r="X707" s="82"/>
      <c r="Y707" s="89"/>
      <c r="Z707" s="82"/>
      <c r="AA707" s="90"/>
      <c r="AB707" s="241"/>
      <c r="AC707" s="241"/>
      <c r="AD707" s="241"/>
      <c r="AE707" s="82"/>
      <c r="AF707" s="82"/>
      <c r="AG707" s="90"/>
      <c r="AH707" s="90"/>
      <c r="AI707" s="90"/>
      <c r="AJ707" s="90"/>
      <c r="AK707" s="82"/>
      <c r="AL707" s="82" t="str" cm="1">
        <f t="array" aca="1" ref="AL707" ca="1">_xlfn.IFS(
 AND($AK707&lt;&gt;"", M707&lt;&gt;0, M707&lt;=EDATE(TODAY(),2)),"도래",
 AND($AK707&lt;&gt;"", M707&lt;&gt;0, M707&lt;=EDATE(TODAY(),3)),"예정",
 AND($AK707&lt;&gt;"", M707&lt;&gt;0, M707&lt;=EDATE(TODAY(),6)),"관심",
 TRUE,""
)</f>
        <v/>
      </c>
      <c r="AM707" s="86"/>
    </row>
    <row r="708" spans="1:39" ht="18" customHeight="1">
      <c r="A708" s="81"/>
      <c r="B708" s="205" t="str">
        <f>_xlfn.LET(_xlpm.var,◆관리정보!B708,IF(_xlpm.var&lt;&gt;0,_xlpm.var,""))</f>
        <v/>
      </c>
      <c r="C708" s="82" t="str">
        <f>_xlfn.LET(_xlpm.var,◆관리정보!C708,IF(_xlpm.var&lt;&gt;0,_xlpm.var,""))</f>
        <v/>
      </c>
      <c r="D708" s="83"/>
      <c r="E708" s="84" t="str">
        <f t="shared" ref="E708:E771" si="24">_xlfn.CONCAT(B708,C708)</f>
        <v/>
      </c>
      <c r="F708" s="87"/>
      <c r="G708" s="229"/>
      <c r="H708" s="229"/>
      <c r="I708" s="229"/>
      <c r="J708" s="229"/>
      <c r="K708" s="218"/>
      <c r="L708" s="87"/>
      <c r="M708" s="87"/>
      <c r="N708" s="82"/>
      <c r="O708" s="82"/>
      <c r="P708" s="241"/>
      <c r="Q708" s="241"/>
      <c r="R708" s="82"/>
      <c r="S708" s="241"/>
      <c r="T708" s="82"/>
      <c r="U708" s="241"/>
      <c r="V708" s="82"/>
      <c r="W708" s="88"/>
      <c r="X708" s="82"/>
      <c r="Y708" s="89"/>
      <c r="Z708" s="82"/>
      <c r="AA708" s="90"/>
      <c r="AB708" s="241"/>
      <c r="AC708" s="241"/>
      <c r="AD708" s="241"/>
      <c r="AE708" s="82"/>
      <c r="AF708" s="82"/>
      <c r="AG708" s="90"/>
      <c r="AH708" s="90"/>
      <c r="AI708" s="90"/>
      <c r="AJ708" s="90"/>
      <c r="AK708" s="82"/>
      <c r="AL708" s="82" t="str" cm="1">
        <f t="array" aca="1" ref="AL708" ca="1">_xlfn.IFS(
 AND($AK708&lt;&gt;"", M708&lt;&gt;0, M708&lt;=EDATE(TODAY(),2)),"도래",
 AND($AK708&lt;&gt;"", M708&lt;&gt;0, M708&lt;=EDATE(TODAY(),3)),"예정",
 AND($AK708&lt;&gt;"", M708&lt;&gt;0, M708&lt;=EDATE(TODAY(),6)),"관심",
 TRUE,""
)</f>
        <v/>
      </c>
      <c r="AM708" s="86"/>
    </row>
    <row r="709" spans="1:39" ht="18" customHeight="1">
      <c r="A709" s="81"/>
      <c r="B709" s="205" t="str">
        <f>_xlfn.LET(_xlpm.var,◆관리정보!B709,IF(_xlpm.var&lt;&gt;0,_xlpm.var,""))</f>
        <v/>
      </c>
      <c r="C709" s="82" t="str">
        <f>_xlfn.LET(_xlpm.var,◆관리정보!C709,IF(_xlpm.var&lt;&gt;0,_xlpm.var,""))</f>
        <v/>
      </c>
      <c r="D709" s="83"/>
      <c r="E709" s="84" t="str">
        <f t="shared" si="24"/>
        <v/>
      </c>
      <c r="F709" s="87"/>
      <c r="G709" s="229"/>
      <c r="H709" s="229"/>
      <c r="I709" s="229"/>
      <c r="J709" s="229"/>
      <c r="K709" s="218"/>
      <c r="L709" s="87"/>
      <c r="M709" s="87"/>
      <c r="N709" s="82"/>
      <c r="O709" s="82"/>
      <c r="P709" s="241"/>
      <c r="Q709" s="241"/>
      <c r="R709" s="82"/>
      <c r="S709" s="241"/>
      <c r="T709" s="82"/>
      <c r="U709" s="241"/>
      <c r="V709" s="82"/>
      <c r="W709" s="88"/>
      <c r="X709" s="82"/>
      <c r="Y709" s="89"/>
      <c r="Z709" s="82"/>
      <c r="AA709" s="90"/>
      <c r="AB709" s="241"/>
      <c r="AC709" s="241"/>
      <c r="AD709" s="241"/>
      <c r="AE709" s="82"/>
      <c r="AF709" s="82"/>
      <c r="AG709" s="90"/>
      <c r="AH709" s="90"/>
      <c r="AI709" s="90"/>
      <c r="AJ709" s="90"/>
      <c r="AK709" s="82"/>
      <c r="AL709" s="82" t="str" cm="1">
        <f t="array" aca="1" ref="AL709" ca="1">_xlfn.IFS(
 AND($AK709&lt;&gt;"", M709&lt;&gt;0, M709&lt;=EDATE(TODAY(),2)),"도래",
 AND($AK709&lt;&gt;"", M709&lt;&gt;0, M709&lt;=EDATE(TODAY(),3)),"예정",
 AND($AK709&lt;&gt;"", M709&lt;&gt;0, M709&lt;=EDATE(TODAY(),6)),"관심",
 TRUE,""
)</f>
        <v/>
      </c>
      <c r="AM709" s="86"/>
    </row>
    <row r="710" spans="1:39" ht="18" customHeight="1">
      <c r="A710" s="81"/>
      <c r="B710" s="205" t="str">
        <f>_xlfn.LET(_xlpm.var,◆관리정보!B710,IF(_xlpm.var&lt;&gt;0,_xlpm.var,""))</f>
        <v/>
      </c>
      <c r="C710" s="82" t="str">
        <f>_xlfn.LET(_xlpm.var,◆관리정보!C710,IF(_xlpm.var&lt;&gt;0,_xlpm.var,""))</f>
        <v/>
      </c>
      <c r="D710" s="83"/>
      <c r="E710" s="84" t="str">
        <f t="shared" si="24"/>
        <v/>
      </c>
      <c r="F710" s="87"/>
      <c r="G710" s="229"/>
      <c r="H710" s="229"/>
      <c r="I710" s="229"/>
      <c r="J710" s="229"/>
      <c r="K710" s="218"/>
      <c r="L710" s="87"/>
      <c r="M710" s="87"/>
      <c r="N710" s="82"/>
      <c r="O710" s="82"/>
      <c r="P710" s="241"/>
      <c r="Q710" s="241"/>
      <c r="R710" s="82"/>
      <c r="S710" s="241"/>
      <c r="T710" s="82"/>
      <c r="U710" s="241"/>
      <c r="V710" s="82"/>
      <c r="W710" s="88"/>
      <c r="X710" s="82"/>
      <c r="Y710" s="89"/>
      <c r="Z710" s="82"/>
      <c r="AA710" s="90"/>
      <c r="AB710" s="241"/>
      <c r="AC710" s="241"/>
      <c r="AD710" s="241"/>
      <c r="AE710" s="82"/>
      <c r="AF710" s="82"/>
      <c r="AG710" s="90"/>
      <c r="AH710" s="90"/>
      <c r="AI710" s="90"/>
      <c r="AJ710" s="90"/>
      <c r="AK710" s="82"/>
      <c r="AL710" s="82" t="str" cm="1">
        <f t="array" aca="1" ref="AL710" ca="1">_xlfn.IFS(
 AND($AK710&lt;&gt;"", M710&lt;&gt;0, M710&lt;=EDATE(TODAY(),2)),"도래",
 AND($AK710&lt;&gt;"", M710&lt;&gt;0, M710&lt;=EDATE(TODAY(),3)),"예정",
 AND($AK710&lt;&gt;"", M710&lt;&gt;0, M710&lt;=EDATE(TODAY(),6)),"관심",
 TRUE,""
)</f>
        <v/>
      </c>
      <c r="AM710" s="86"/>
    </row>
    <row r="711" spans="1:39" ht="18" customHeight="1">
      <c r="A711" s="81"/>
      <c r="B711" s="205" t="str">
        <f>_xlfn.LET(_xlpm.var,◆관리정보!B711,IF(_xlpm.var&lt;&gt;0,_xlpm.var,""))</f>
        <v/>
      </c>
      <c r="C711" s="82" t="str">
        <f>_xlfn.LET(_xlpm.var,◆관리정보!C711,IF(_xlpm.var&lt;&gt;0,_xlpm.var,""))</f>
        <v/>
      </c>
      <c r="D711" s="83"/>
      <c r="E711" s="84" t="str">
        <f t="shared" si="24"/>
        <v/>
      </c>
      <c r="F711" s="87"/>
      <c r="G711" s="229"/>
      <c r="H711" s="229"/>
      <c r="I711" s="229"/>
      <c r="J711" s="229"/>
      <c r="K711" s="218"/>
      <c r="L711" s="87"/>
      <c r="M711" s="87"/>
      <c r="N711" s="82"/>
      <c r="O711" s="82"/>
      <c r="P711" s="241"/>
      <c r="Q711" s="241"/>
      <c r="R711" s="82"/>
      <c r="S711" s="241"/>
      <c r="T711" s="82"/>
      <c r="U711" s="241"/>
      <c r="V711" s="82"/>
      <c r="W711" s="88"/>
      <c r="X711" s="82"/>
      <c r="Y711" s="89"/>
      <c r="Z711" s="82"/>
      <c r="AA711" s="90"/>
      <c r="AB711" s="241"/>
      <c r="AC711" s="241"/>
      <c r="AD711" s="241"/>
      <c r="AE711" s="82"/>
      <c r="AF711" s="82"/>
      <c r="AG711" s="90"/>
      <c r="AH711" s="90"/>
      <c r="AI711" s="90"/>
      <c r="AJ711" s="90"/>
      <c r="AK711" s="82"/>
      <c r="AL711" s="82" t="str" cm="1">
        <f t="array" aca="1" ref="AL711" ca="1">_xlfn.IFS(
 AND($AK711&lt;&gt;"", M711&lt;&gt;0, M711&lt;=EDATE(TODAY(),2)),"도래",
 AND($AK711&lt;&gt;"", M711&lt;&gt;0, M711&lt;=EDATE(TODAY(),3)),"예정",
 AND($AK711&lt;&gt;"", M711&lt;&gt;0, M711&lt;=EDATE(TODAY(),6)),"관심",
 TRUE,""
)</f>
        <v/>
      </c>
      <c r="AM711" s="86"/>
    </row>
    <row r="712" spans="1:39" ht="18" customHeight="1">
      <c r="A712" s="81"/>
      <c r="B712" s="205" t="str">
        <f>_xlfn.LET(_xlpm.var,◆관리정보!B712,IF(_xlpm.var&lt;&gt;0,_xlpm.var,""))</f>
        <v/>
      </c>
      <c r="C712" s="82" t="str">
        <f>_xlfn.LET(_xlpm.var,◆관리정보!C712,IF(_xlpm.var&lt;&gt;0,_xlpm.var,""))</f>
        <v/>
      </c>
      <c r="D712" s="83"/>
      <c r="E712" s="84" t="str">
        <f t="shared" si="24"/>
        <v/>
      </c>
      <c r="F712" s="87"/>
      <c r="G712" s="229"/>
      <c r="H712" s="229"/>
      <c r="I712" s="229"/>
      <c r="J712" s="229"/>
      <c r="K712" s="218"/>
      <c r="L712" s="87"/>
      <c r="M712" s="87"/>
      <c r="N712" s="82"/>
      <c r="O712" s="82"/>
      <c r="P712" s="241"/>
      <c r="Q712" s="241"/>
      <c r="R712" s="82"/>
      <c r="S712" s="241"/>
      <c r="T712" s="82"/>
      <c r="U712" s="241"/>
      <c r="V712" s="82"/>
      <c r="W712" s="88"/>
      <c r="X712" s="82"/>
      <c r="Y712" s="89"/>
      <c r="Z712" s="82"/>
      <c r="AA712" s="90"/>
      <c r="AB712" s="241"/>
      <c r="AC712" s="241"/>
      <c r="AD712" s="241"/>
      <c r="AE712" s="82"/>
      <c r="AF712" s="82"/>
      <c r="AG712" s="90"/>
      <c r="AH712" s="90"/>
      <c r="AI712" s="90"/>
      <c r="AJ712" s="90"/>
      <c r="AK712" s="82"/>
      <c r="AL712" s="82" t="str" cm="1">
        <f t="array" aca="1" ref="AL712" ca="1">_xlfn.IFS(
 AND($AK712&lt;&gt;"", M712&lt;&gt;0, M712&lt;=EDATE(TODAY(),2)),"도래",
 AND($AK712&lt;&gt;"", M712&lt;&gt;0, M712&lt;=EDATE(TODAY(),3)),"예정",
 AND($AK712&lt;&gt;"", M712&lt;&gt;0, M712&lt;=EDATE(TODAY(),6)),"관심",
 TRUE,""
)</f>
        <v/>
      </c>
      <c r="AM712" s="86"/>
    </row>
    <row r="713" spans="1:39" ht="18" customHeight="1">
      <c r="A713" s="81"/>
      <c r="B713" s="205" t="str">
        <f>_xlfn.LET(_xlpm.var,◆관리정보!B713,IF(_xlpm.var&lt;&gt;0,_xlpm.var,""))</f>
        <v/>
      </c>
      <c r="C713" s="82" t="str">
        <f>_xlfn.LET(_xlpm.var,◆관리정보!C713,IF(_xlpm.var&lt;&gt;0,_xlpm.var,""))</f>
        <v/>
      </c>
      <c r="D713" s="83"/>
      <c r="E713" s="84" t="str">
        <f t="shared" si="24"/>
        <v/>
      </c>
      <c r="F713" s="87"/>
      <c r="G713" s="229"/>
      <c r="H713" s="229"/>
      <c r="I713" s="229"/>
      <c r="J713" s="229"/>
      <c r="K713" s="218"/>
      <c r="L713" s="87"/>
      <c r="M713" s="87"/>
      <c r="N713" s="82"/>
      <c r="O713" s="82"/>
      <c r="P713" s="241"/>
      <c r="Q713" s="241"/>
      <c r="R713" s="82"/>
      <c r="S713" s="241"/>
      <c r="T713" s="82"/>
      <c r="U713" s="241"/>
      <c r="V713" s="82"/>
      <c r="W713" s="88"/>
      <c r="X713" s="82"/>
      <c r="Y713" s="89"/>
      <c r="Z713" s="82"/>
      <c r="AA713" s="90"/>
      <c r="AB713" s="241"/>
      <c r="AC713" s="241"/>
      <c r="AD713" s="241"/>
      <c r="AE713" s="82"/>
      <c r="AF713" s="82"/>
      <c r="AG713" s="90"/>
      <c r="AH713" s="90"/>
      <c r="AI713" s="90"/>
      <c r="AJ713" s="90"/>
      <c r="AK713" s="82"/>
      <c r="AL713" s="82" t="str" cm="1">
        <f t="array" aca="1" ref="AL713" ca="1">_xlfn.IFS(
 AND($AK713&lt;&gt;"", M713&lt;&gt;0, M713&lt;=EDATE(TODAY(),2)),"도래",
 AND($AK713&lt;&gt;"", M713&lt;&gt;0, M713&lt;=EDATE(TODAY(),3)),"예정",
 AND($AK713&lt;&gt;"", M713&lt;&gt;0, M713&lt;=EDATE(TODAY(),6)),"관심",
 TRUE,""
)</f>
        <v/>
      </c>
      <c r="AM713" s="86"/>
    </row>
    <row r="714" spans="1:39" ht="18" customHeight="1">
      <c r="A714" s="81"/>
      <c r="B714" s="205" t="str">
        <f>_xlfn.LET(_xlpm.var,◆관리정보!B714,IF(_xlpm.var&lt;&gt;0,_xlpm.var,""))</f>
        <v/>
      </c>
      <c r="C714" s="82" t="str">
        <f>_xlfn.LET(_xlpm.var,◆관리정보!C714,IF(_xlpm.var&lt;&gt;0,_xlpm.var,""))</f>
        <v/>
      </c>
      <c r="D714" s="83"/>
      <c r="E714" s="84" t="str">
        <f t="shared" si="24"/>
        <v/>
      </c>
      <c r="F714" s="87"/>
      <c r="G714" s="229"/>
      <c r="H714" s="229"/>
      <c r="I714" s="229"/>
      <c r="J714" s="229"/>
      <c r="K714" s="218"/>
      <c r="L714" s="87"/>
      <c r="M714" s="87"/>
      <c r="N714" s="82"/>
      <c r="O714" s="82"/>
      <c r="P714" s="241"/>
      <c r="Q714" s="241"/>
      <c r="R714" s="82"/>
      <c r="S714" s="241"/>
      <c r="T714" s="82"/>
      <c r="U714" s="241"/>
      <c r="V714" s="82"/>
      <c r="W714" s="88"/>
      <c r="X714" s="82"/>
      <c r="Y714" s="89"/>
      <c r="Z714" s="82"/>
      <c r="AA714" s="90"/>
      <c r="AB714" s="241"/>
      <c r="AC714" s="241"/>
      <c r="AD714" s="241"/>
      <c r="AE714" s="82"/>
      <c r="AF714" s="82"/>
      <c r="AG714" s="90"/>
      <c r="AH714" s="90"/>
      <c r="AI714" s="90"/>
      <c r="AJ714" s="90"/>
      <c r="AK714" s="82"/>
      <c r="AL714" s="82" t="str" cm="1">
        <f t="array" aca="1" ref="AL714" ca="1">_xlfn.IFS(
 AND($AK714&lt;&gt;"", M714&lt;&gt;0, M714&lt;=EDATE(TODAY(),2)),"도래",
 AND($AK714&lt;&gt;"", M714&lt;&gt;0, M714&lt;=EDATE(TODAY(),3)),"예정",
 AND($AK714&lt;&gt;"", M714&lt;&gt;0, M714&lt;=EDATE(TODAY(),6)),"관심",
 TRUE,""
)</f>
        <v/>
      </c>
      <c r="AM714" s="86"/>
    </row>
    <row r="715" spans="1:39" ht="18" customHeight="1">
      <c r="A715" s="81"/>
      <c r="B715" s="205" t="str">
        <f>_xlfn.LET(_xlpm.var,◆관리정보!B715,IF(_xlpm.var&lt;&gt;0,_xlpm.var,""))</f>
        <v/>
      </c>
      <c r="C715" s="82" t="str">
        <f>_xlfn.LET(_xlpm.var,◆관리정보!C715,IF(_xlpm.var&lt;&gt;0,_xlpm.var,""))</f>
        <v/>
      </c>
      <c r="D715" s="83"/>
      <c r="E715" s="84" t="str">
        <f t="shared" si="24"/>
        <v/>
      </c>
      <c r="F715" s="87"/>
      <c r="G715" s="229"/>
      <c r="H715" s="229"/>
      <c r="I715" s="229"/>
      <c r="J715" s="229"/>
      <c r="K715" s="218"/>
      <c r="L715" s="87"/>
      <c r="M715" s="87"/>
      <c r="N715" s="82"/>
      <c r="O715" s="82"/>
      <c r="P715" s="241"/>
      <c r="Q715" s="241"/>
      <c r="R715" s="82"/>
      <c r="S715" s="241"/>
      <c r="T715" s="82"/>
      <c r="U715" s="241"/>
      <c r="V715" s="82"/>
      <c r="W715" s="88"/>
      <c r="X715" s="82"/>
      <c r="Y715" s="89"/>
      <c r="Z715" s="82"/>
      <c r="AA715" s="90"/>
      <c r="AB715" s="241"/>
      <c r="AC715" s="241"/>
      <c r="AD715" s="241"/>
      <c r="AE715" s="82"/>
      <c r="AF715" s="82"/>
      <c r="AG715" s="90"/>
      <c r="AH715" s="90"/>
      <c r="AI715" s="90"/>
      <c r="AJ715" s="90"/>
      <c r="AK715" s="82"/>
      <c r="AL715" s="82" t="str" cm="1">
        <f t="array" aca="1" ref="AL715" ca="1">_xlfn.IFS(
 AND($AK715&lt;&gt;"", M715&lt;&gt;0, M715&lt;=EDATE(TODAY(),2)),"도래",
 AND($AK715&lt;&gt;"", M715&lt;&gt;0, M715&lt;=EDATE(TODAY(),3)),"예정",
 AND($AK715&lt;&gt;"", M715&lt;&gt;0, M715&lt;=EDATE(TODAY(),6)),"관심",
 TRUE,""
)</f>
        <v/>
      </c>
      <c r="AM715" s="86"/>
    </row>
    <row r="716" spans="1:39" ht="18" customHeight="1">
      <c r="A716" s="81"/>
      <c r="B716" s="205" t="str">
        <f>_xlfn.LET(_xlpm.var,◆관리정보!B716,IF(_xlpm.var&lt;&gt;0,_xlpm.var,""))</f>
        <v/>
      </c>
      <c r="C716" s="82" t="str">
        <f>_xlfn.LET(_xlpm.var,◆관리정보!C716,IF(_xlpm.var&lt;&gt;0,_xlpm.var,""))</f>
        <v/>
      </c>
      <c r="D716" s="83"/>
      <c r="E716" s="84" t="str">
        <f t="shared" si="24"/>
        <v/>
      </c>
      <c r="F716" s="87"/>
      <c r="G716" s="229"/>
      <c r="H716" s="229"/>
      <c r="I716" s="229"/>
      <c r="J716" s="229"/>
      <c r="K716" s="218"/>
      <c r="L716" s="87"/>
      <c r="M716" s="87"/>
      <c r="N716" s="82"/>
      <c r="O716" s="82"/>
      <c r="P716" s="241"/>
      <c r="Q716" s="241"/>
      <c r="R716" s="82"/>
      <c r="S716" s="241"/>
      <c r="T716" s="82"/>
      <c r="U716" s="241"/>
      <c r="V716" s="82"/>
      <c r="W716" s="88"/>
      <c r="X716" s="82"/>
      <c r="Y716" s="89"/>
      <c r="Z716" s="82"/>
      <c r="AA716" s="90"/>
      <c r="AB716" s="241"/>
      <c r="AC716" s="241"/>
      <c r="AD716" s="241"/>
      <c r="AE716" s="82"/>
      <c r="AF716" s="82"/>
      <c r="AG716" s="90"/>
      <c r="AH716" s="90"/>
      <c r="AI716" s="90"/>
      <c r="AJ716" s="90"/>
      <c r="AK716" s="82"/>
      <c r="AL716" s="82" t="str" cm="1">
        <f t="array" aca="1" ref="AL716" ca="1">_xlfn.IFS(
 AND($AK716&lt;&gt;"", M716&lt;&gt;0, M716&lt;=EDATE(TODAY(),2)),"도래",
 AND($AK716&lt;&gt;"", M716&lt;&gt;0, M716&lt;=EDATE(TODAY(),3)),"예정",
 AND($AK716&lt;&gt;"", M716&lt;&gt;0, M716&lt;=EDATE(TODAY(),6)),"관심",
 TRUE,""
)</f>
        <v/>
      </c>
      <c r="AM716" s="86"/>
    </row>
    <row r="717" spans="1:39" ht="18" customHeight="1">
      <c r="A717" s="81"/>
      <c r="B717" s="205" t="str">
        <f>_xlfn.LET(_xlpm.var,◆관리정보!B717,IF(_xlpm.var&lt;&gt;0,_xlpm.var,""))</f>
        <v/>
      </c>
      <c r="C717" s="82" t="str">
        <f>_xlfn.LET(_xlpm.var,◆관리정보!C717,IF(_xlpm.var&lt;&gt;0,_xlpm.var,""))</f>
        <v/>
      </c>
      <c r="D717" s="83"/>
      <c r="E717" s="84" t="str">
        <f t="shared" si="24"/>
        <v/>
      </c>
      <c r="F717" s="87"/>
      <c r="G717" s="229"/>
      <c r="H717" s="229"/>
      <c r="I717" s="229"/>
      <c r="J717" s="229"/>
      <c r="K717" s="218"/>
      <c r="L717" s="87"/>
      <c r="M717" s="87"/>
      <c r="N717" s="82"/>
      <c r="O717" s="82"/>
      <c r="P717" s="241"/>
      <c r="Q717" s="241"/>
      <c r="R717" s="82"/>
      <c r="S717" s="241"/>
      <c r="T717" s="82"/>
      <c r="U717" s="241"/>
      <c r="V717" s="82"/>
      <c r="W717" s="88"/>
      <c r="X717" s="82"/>
      <c r="Y717" s="89"/>
      <c r="Z717" s="82"/>
      <c r="AA717" s="90"/>
      <c r="AB717" s="241"/>
      <c r="AC717" s="241"/>
      <c r="AD717" s="241"/>
      <c r="AE717" s="82"/>
      <c r="AF717" s="82"/>
      <c r="AG717" s="90"/>
      <c r="AH717" s="90"/>
      <c r="AI717" s="90"/>
      <c r="AJ717" s="90"/>
      <c r="AK717" s="82"/>
      <c r="AL717" s="82" t="str" cm="1">
        <f t="array" aca="1" ref="AL717" ca="1">_xlfn.IFS(
 AND($AK717&lt;&gt;"", M717&lt;&gt;0, M717&lt;=EDATE(TODAY(),2)),"도래",
 AND($AK717&lt;&gt;"", M717&lt;&gt;0, M717&lt;=EDATE(TODAY(),3)),"예정",
 AND($AK717&lt;&gt;"", M717&lt;&gt;0, M717&lt;=EDATE(TODAY(),6)),"관심",
 TRUE,""
)</f>
        <v/>
      </c>
      <c r="AM717" s="86"/>
    </row>
    <row r="718" spans="1:39" ht="18" customHeight="1">
      <c r="A718" s="81"/>
      <c r="B718" s="205" t="str">
        <f>_xlfn.LET(_xlpm.var,◆관리정보!B718,IF(_xlpm.var&lt;&gt;0,_xlpm.var,""))</f>
        <v/>
      </c>
      <c r="C718" s="82" t="str">
        <f>_xlfn.LET(_xlpm.var,◆관리정보!C718,IF(_xlpm.var&lt;&gt;0,_xlpm.var,""))</f>
        <v/>
      </c>
      <c r="D718" s="83"/>
      <c r="E718" s="84" t="str">
        <f t="shared" si="24"/>
        <v/>
      </c>
      <c r="F718" s="87"/>
      <c r="G718" s="229"/>
      <c r="H718" s="229"/>
      <c r="I718" s="229"/>
      <c r="J718" s="229"/>
      <c r="K718" s="218"/>
      <c r="L718" s="87"/>
      <c r="M718" s="87"/>
      <c r="N718" s="82"/>
      <c r="O718" s="82"/>
      <c r="P718" s="241"/>
      <c r="Q718" s="241"/>
      <c r="R718" s="82"/>
      <c r="S718" s="241"/>
      <c r="T718" s="82"/>
      <c r="U718" s="241"/>
      <c r="V718" s="82"/>
      <c r="W718" s="88"/>
      <c r="X718" s="82"/>
      <c r="Y718" s="89"/>
      <c r="Z718" s="82"/>
      <c r="AA718" s="90"/>
      <c r="AB718" s="241"/>
      <c r="AC718" s="241"/>
      <c r="AD718" s="241"/>
      <c r="AE718" s="82"/>
      <c r="AF718" s="82"/>
      <c r="AG718" s="90"/>
      <c r="AH718" s="90"/>
      <c r="AI718" s="90"/>
      <c r="AJ718" s="90"/>
      <c r="AK718" s="82"/>
      <c r="AL718" s="82" t="str" cm="1">
        <f t="array" aca="1" ref="AL718" ca="1">_xlfn.IFS(
 AND($AK718&lt;&gt;"", M718&lt;&gt;0, M718&lt;=EDATE(TODAY(),2)),"도래",
 AND($AK718&lt;&gt;"", M718&lt;&gt;0, M718&lt;=EDATE(TODAY(),3)),"예정",
 AND($AK718&lt;&gt;"", M718&lt;&gt;0, M718&lt;=EDATE(TODAY(),6)),"관심",
 TRUE,""
)</f>
        <v/>
      </c>
      <c r="AM718" s="86"/>
    </row>
    <row r="719" spans="1:39" ht="18" customHeight="1">
      <c r="A719" s="81"/>
      <c r="B719" s="205" t="str">
        <f>_xlfn.LET(_xlpm.var,◆관리정보!B719,IF(_xlpm.var&lt;&gt;0,_xlpm.var,""))</f>
        <v/>
      </c>
      <c r="C719" s="82" t="str">
        <f>_xlfn.LET(_xlpm.var,◆관리정보!C719,IF(_xlpm.var&lt;&gt;0,_xlpm.var,""))</f>
        <v/>
      </c>
      <c r="D719" s="83"/>
      <c r="E719" s="84" t="str">
        <f t="shared" si="24"/>
        <v/>
      </c>
      <c r="F719" s="87"/>
      <c r="G719" s="229"/>
      <c r="H719" s="229"/>
      <c r="I719" s="229"/>
      <c r="J719" s="229"/>
      <c r="K719" s="218"/>
      <c r="L719" s="87"/>
      <c r="M719" s="87"/>
      <c r="N719" s="82"/>
      <c r="O719" s="82"/>
      <c r="P719" s="241"/>
      <c r="Q719" s="241"/>
      <c r="R719" s="82"/>
      <c r="S719" s="241"/>
      <c r="T719" s="82"/>
      <c r="U719" s="241"/>
      <c r="V719" s="82"/>
      <c r="W719" s="88"/>
      <c r="X719" s="82"/>
      <c r="Y719" s="89"/>
      <c r="Z719" s="82"/>
      <c r="AA719" s="90"/>
      <c r="AB719" s="241"/>
      <c r="AC719" s="241"/>
      <c r="AD719" s="241"/>
      <c r="AE719" s="82"/>
      <c r="AF719" s="82"/>
      <c r="AG719" s="90"/>
      <c r="AH719" s="90"/>
      <c r="AI719" s="90"/>
      <c r="AJ719" s="90"/>
      <c r="AK719" s="82"/>
      <c r="AL719" s="82" t="str" cm="1">
        <f t="array" aca="1" ref="AL719" ca="1">_xlfn.IFS(
 AND($AK719&lt;&gt;"", M719&lt;&gt;0, M719&lt;=EDATE(TODAY(),2)),"도래",
 AND($AK719&lt;&gt;"", M719&lt;&gt;0, M719&lt;=EDATE(TODAY(),3)),"예정",
 AND($AK719&lt;&gt;"", M719&lt;&gt;0, M719&lt;=EDATE(TODAY(),6)),"관심",
 TRUE,""
)</f>
        <v/>
      </c>
      <c r="AM719" s="86"/>
    </row>
    <row r="720" spans="1:39" ht="18" customHeight="1">
      <c r="A720" s="81"/>
      <c r="B720" s="205" t="str">
        <f>_xlfn.LET(_xlpm.var,◆관리정보!B720,IF(_xlpm.var&lt;&gt;0,_xlpm.var,""))</f>
        <v/>
      </c>
      <c r="C720" s="82" t="str">
        <f>_xlfn.LET(_xlpm.var,◆관리정보!C720,IF(_xlpm.var&lt;&gt;0,_xlpm.var,""))</f>
        <v/>
      </c>
      <c r="D720" s="83"/>
      <c r="E720" s="84" t="str">
        <f t="shared" si="24"/>
        <v/>
      </c>
      <c r="F720" s="87"/>
      <c r="G720" s="229"/>
      <c r="H720" s="229"/>
      <c r="I720" s="229"/>
      <c r="J720" s="229"/>
      <c r="K720" s="218"/>
      <c r="L720" s="87"/>
      <c r="M720" s="87"/>
      <c r="N720" s="82"/>
      <c r="O720" s="82"/>
      <c r="P720" s="241"/>
      <c r="Q720" s="241"/>
      <c r="R720" s="82"/>
      <c r="S720" s="241"/>
      <c r="T720" s="82"/>
      <c r="U720" s="241"/>
      <c r="V720" s="82"/>
      <c r="W720" s="88"/>
      <c r="X720" s="82"/>
      <c r="Y720" s="89"/>
      <c r="Z720" s="82"/>
      <c r="AA720" s="90"/>
      <c r="AB720" s="241"/>
      <c r="AC720" s="241"/>
      <c r="AD720" s="241"/>
      <c r="AE720" s="82"/>
      <c r="AF720" s="82"/>
      <c r="AG720" s="90"/>
      <c r="AH720" s="90"/>
      <c r="AI720" s="90"/>
      <c r="AJ720" s="90"/>
      <c r="AK720" s="82"/>
      <c r="AL720" s="82" t="str" cm="1">
        <f t="array" aca="1" ref="AL720" ca="1">_xlfn.IFS(
 AND($AK720&lt;&gt;"", M720&lt;&gt;0, M720&lt;=EDATE(TODAY(),2)),"도래",
 AND($AK720&lt;&gt;"", M720&lt;&gt;0, M720&lt;=EDATE(TODAY(),3)),"예정",
 AND($AK720&lt;&gt;"", M720&lt;&gt;0, M720&lt;=EDATE(TODAY(),6)),"관심",
 TRUE,""
)</f>
        <v/>
      </c>
      <c r="AM720" s="86"/>
    </row>
    <row r="721" spans="1:39" ht="18" customHeight="1">
      <c r="A721" s="81"/>
      <c r="B721" s="205" t="str">
        <f>_xlfn.LET(_xlpm.var,◆관리정보!B721,IF(_xlpm.var&lt;&gt;0,_xlpm.var,""))</f>
        <v/>
      </c>
      <c r="C721" s="82" t="str">
        <f>_xlfn.LET(_xlpm.var,◆관리정보!C721,IF(_xlpm.var&lt;&gt;0,_xlpm.var,""))</f>
        <v/>
      </c>
      <c r="D721" s="83"/>
      <c r="E721" s="84" t="str">
        <f t="shared" si="24"/>
        <v/>
      </c>
      <c r="F721" s="87"/>
      <c r="G721" s="229"/>
      <c r="H721" s="229"/>
      <c r="I721" s="229"/>
      <c r="J721" s="229"/>
      <c r="K721" s="218"/>
      <c r="L721" s="87"/>
      <c r="M721" s="87"/>
      <c r="N721" s="82"/>
      <c r="O721" s="82"/>
      <c r="P721" s="241"/>
      <c r="Q721" s="241"/>
      <c r="R721" s="82"/>
      <c r="S721" s="241"/>
      <c r="T721" s="82"/>
      <c r="U721" s="241"/>
      <c r="V721" s="82"/>
      <c r="W721" s="88"/>
      <c r="X721" s="82"/>
      <c r="Y721" s="89"/>
      <c r="Z721" s="82"/>
      <c r="AA721" s="90"/>
      <c r="AB721" s="241"/>
      <c r="AC721" s="241"/>
      <c r="AD721" s="241"/>
      <c r="AE721" s="82"/>
      <c r="AF721" s="82"/>
      <c r="AG721" s="90"/>
      <c r="AH721" s="90"/>
      <c r="AI721" s="90"/>
      <c r="AJ721" s="90"/>
      <c r="AK721" s="82"/>
      <c r="AL721" s="82" t="str" cm="1">
        <f t="array" aca="1" ref="AL721" ca="1">_xlfn.IFS(
 AND($AK721&lt;&gt;"", M721&lt;&gt;0, M721&lt;=EDATE(TODAY(),2)),"도래",
 AND($AK721&lt;&gt;"", M721&lt;&gt;0, M721&lt;=EDATE(TODAY(),3)),"예정",
 AND($AK721&lt;&gt;"", M721&lt;&gt;0, M721&lt;=EDATE(TODAY(),6)),"관심",
 TRUE,""
)</f>
        <v/>
      </c>
      <c r="AM721" s="86"/>
    </row>
    <row r="722" spans="1:39" ht="18" customHeight="1">
      <c r="A722" s="81"/>
      <c r="B722" s="205" t="str">
        <f>_xlfn.LET(_xlpm.var,◆관리정보!B722,IF(_xlpm.var&lt;&gt;0,_xlpm.var,""))</f>
        <v/>
      </c>
      <c r="C722" s="82" t="str">
        <f>_xlfn.LET(_xlpm.var,◆관리정보!C722,IF(_xlpm.var&lt;&gt;0,_xlpm.var,""))</f>
        <v/>
      </c>
      <c r="D722" s="83"/>
      <c r="E722" s="84" t="str">
        <f t="shared" si="24"/>
        <v/>
      </c>
      <c r="F722" s="87"/>
      <c r="G722" s="229"/>
      <c r="H722" s="229"/>
      <c r="I722" s="229"/>
      <c r="J722" s="229"/>
      <c r="K722" s="218"/>
      <c r="L722" s="87"/>
      <c r="M722" s="87"/>
      <c r="N722" s="82"/>
      <c r="O722" s="82"/>
      <c r="P722" s="241"/>
      <c r="Q722" s="241"/>
      <c r="R722" s="82"/>
      <c r="S722" s="241"/>
      <c r="T722" s="82"/>
      <c r="U722" s="241"/>
      <c r="V722" s="82"/>
      <c r="W722" s="88"/>
      <c r="X722" s="82"/>
      <c r="Y722" s="89"/>
      <c r="Z722" s="82"/>
      <c r="AA722" s="90"/>
      <c r="AB722" s="241"/>
      <c r="AC722" s="241"/>
      <c r="AD722" s="241"/>
      <c r="AE722" s="82"/>
      <c r="AF722" s="82"/>
      <c r="AG722" s="90"/>
      <c r="AH722" s="90"/>
      <c r="AI722" s="90"/>
      <c r="AJ722" s="90"/>
      <c r="AK722" s="82"/>
      <c r="AL722" s="82" t="str" cm="1">
        <f t="array" aca="1" ref="AL722" ca="1">_xlfn.IFS(
 AND($AK722&lt;&gt;"", M722&lt;&gt;0, M722&lt;=EDATE(TODAY(),2)),"도래",
 AND($AK722&lt;&gt;"", M722&lt;&gt;0, M722&lt;=EDATE(TODAY(),3)),"예정",
 AND($AK722&lt;&gt;"", M722&lt;&gt;0, M722&lt;=EDATE(TODAY(),6)),"관심",
 TRUE,""
)</f>
        <v/>
      </c>
      <c r="AM722" s="86"/>
    </row>
    <row r="723" spans="1:39" ht="18" customHeight="1">
      <c r="A723" s="81"/>
      <c r="B723" s="205" t="str">
        <f>_xlfn.LET(_xlpm.var,◆관리정보!B723,IF(_xlpm.var&lt;&gt;0,_xlpm.var,""))</f>
        <v/>
      </c>
      <c r="C723" s="82" t="str">
        <f>_xlfn.LET(_xlpm.var,◆관리정보!C723,IF(_xlpm.var&lt;&gt;0,_xlpm.var,""))</f>
        <v/>
      </c>
      <c r="D723" s="83"/>
      <c r="E723" s="84" t="str">
        <f t="shared" si="24"/>
        <v/>
      </c>
      <c r="F723" s="87"/>
      <c r="G723" s="229"/>
      <c r="H723" s="229"/>
      <c r="I723" s="229"/>
      <c r="J723" s="229"/>
      <c r="K723" s="218"/>
      <c r="L723" s="87"/>
      <c r="M723" s="87"/>
      <c r="N723" s="82"/>
      <c r="O723" s="82"/>
      <c r="P723" s="241"/>
      <c r="Q723" s="241"/>
      <c r="R723" s="82"/>
      <c r="S723" s="241"/>
      <c r="T723" s="82"/>
      <c r="U723" s="241"/>
      <c r="V723" s="82"/>
      <c r="W723" s="88"/>
      <c r="X723" s="82"/>
      <c r="Y723" s="89"/>
      <c r="Z723" s="82"/>
      <c r="AA723" s="90"/>
      <c r="AB723" s="241"/>
      <c r="AC723" s="241"/>
      <c r="AD723" s="241"/>
      <c r="AE723" s="82"/>
      <c r="AF723" s="82"/>
      <c r="AG723" s="90"/>
      <c r="AH723" s="90"/>
      <c r="AI723" s="90"/>
      <c r="AJ723" s="90"/>
      <c r="AK723" s="82"/>
      <c r="AL723" s="82" t="str" cm="1">
        <f t="array" aca="1" ref="AL723" ca="1">_xlfn.IFS(
 AND($AK723&lt;&gt;"", M723&lt;&gt;0, M723&lt;=EDATE(TODAY(),2)),"도래",
 AND($AK723&lt;&gt;"", M723&lt;&gt;0, M723&lt;=EDATE(TODAY(),3)),"예정",
 AND($AK723&lt;&gt;"", M723&lt;&gt;0, M723&lt;=EDATE(TODAY(),6)),"관심",
 TRUE,""
)</f>
        <v/>
      </c>
      <c r="AM723" s="86"/>
    </row>
    <row r="724" spans="1:39" ht="18" customHeight="1">
      <c r="A724" s="81"/>
      <c r="B724" s="205" t="str">
        <f>_xlfn.LET(_xlpm.var,◆관리정보!B724,IF(_xlpm.var&lt;&gt;0,_xlpm.var,""))</f>
        <v/>
      </c>
      <c r="C724" s="82" t="str">
        <f>_xlfn.LET(_xlpm.var,◆관리정보!C724,IF(_xlpm.var&lt;&gt;0,_xlpm.var,""))</f>
        <v/>
      </c>
      <c r="D724" s="83"/>
      <c r="E724" s="84" t="str">
        <f t="shared" si="24"/>
        <v/>
      </c>
      <c r="F724" s="87"/>
      <c r="G724" s="229"/>
      <c r="H724" s="229"/>
      <c r="I724" s="229"/>
      <c r="J724" s="229"/>
      <c r="K724" s="218"/>
      <c r="L724" s="87"/>
      <c r="M724" s="87"/>
      <c r="N724" s="82"/>
      <c r="O724" s="82"/>
      <c r="P724" s="241"/>
      <c r="Q724" s="241"/>
      <c r="R724" s="82"/>
      <c r="S724" s="241"/>
      <c r="T724" s="82"/>
      <c r="U724" s="241"/>
      <c r="V724" s="82"/>
      <c r="W724" s="88"/>
      <c r="X724" s="82"/>
      <c r="Y724" s="89"/>
      <c r="Z724" s="82"/>
      <c r="AA724" s="90"/>
      <c r="AB724" s="241"/>
      <c r="AC724" s="241"/>
      <c r="AD724" s="241"/>
      <c r="AE724" s="82"/>
      <c r="AF724" s="82"/>
      <c r="AG724" s="90"/>
      <c r="AH724" s="90"/>
      <c r="AI724" s="90"/>
      <c r="AJ724" s="90"/>
      <c r="AK724" s="82"/>
      <c r="AL724" s="82" t="str" cm="1">
        <f t="array" aca="1" ref="AL724" ca="1">_xlfn.IFS(
 AND($AK724&lt;&gt;"", M724&lt;&gt;0, M724&lt;=EDATE(TODAY(),2)),"도래",
 AND($AK724&lt;&gt;"", M724&lt;&gt;0, M724&lt;=EDATE(TODAY(),3)),"예정",
 AND($AK724&lt;&gt;"", M724&lt;&gt;0, M724&lt;=EDATE(TODAY(),6)),"관심",
 TRUE,""
)</f>
        <v/>
      </c>
      <c r="AM724" s="86"/>
    </row>
    <row r="725" spans="1:39" ht="18" customHeight="1">
      <c r="A725" s="81"/>
      <c r="B725" s="205" t="str">
        <f>_xlfn.LET(_xlpm.var,◆관리정보!B725,IF(_xlpm.var&lt;&gt;0,_xlpm.var,""))</f>
        <v/>
      </c>
      <c r="C725" s="82" t="str">
        <f>_xlfn.LET(_xlpm.var,◆관리정보!C725,IF(_xlpm.var&lt;&gt;0,_xlpm.var,""))</f>
        <v/>
      </c>
      <c r="D725" s="83"/>
      <c r="E725" s="84" t="str">
        <f t="shared" si="24"/>
        <v/>
      </c>
      <c r="F725" s="87"/>
      <c r="G725" s="229"/>
      <c r="H725" s="229"/>
      <c r="I725" s="229"/>
      <c r="J725" s="229"/>
      <c r="K725" s="218"/>
      <c r="L725" s="87"/>
      <c r="M725" s="87"/>
      <c r="N725" s="82"/>
      <c r="O725" s="82"/>
      <c r="P725" s="241"/>
      <c r="Q725" s="241"/>
      <c r="R725" s="82"/>
      <c r="S725" s="241"/>
      <c r="T725" s="82"/>
      <c r="U725" s="241"/>
      <c r="V725" s="82"/>
      <c r="W725" s="88"/>
      <c r="X725" s="82"/>
      <c r="Y725" s="89"/>
      <c r="Z725" s="82"/>
      <c r="AA725" s="90"/>
      <c r="AB725" s="241"/>
      <c r="AC725" s="241"/>
      <c r="AD725" s="241"/>
      <c r="AE725" s="82"/>
      <c r="AF725" s="82"/>
      <c r="AG725" s="90"/>
      <c r="AH725" s="90"/>
      <c r="AI725" s="90"/>
      <c r="AJ725" s="90"/>
      <c r="AK725" s="82"/>
      <c r="AL725" s="82" t="str" cm="1">
        <f t="array" aca="1" ref="AL725" ca="1">_xlfn.IFS(
 AND($AK725&lt;&gt;"", M725&lt;&gt;0, M725&lt;=EDATE(TODAY(),2)),"도래",
 AND($AK725&lt;&gt;"", M725&lt;&gt;0, M725&lt;=EDATE(TODAY(),3)),"예정",
 AND($AK725&lt;&gt;"", M725&lt;&gt;0, M725&lt;=EDATE(TODAY(),6)),"관심",
 TRUE,""
)</f>
        <v/>
      </c>
      <c r="AM725" s="86"/>
    </row>
    <row r="726" spans="1:39" ht="18" customHeight="1">
      <c r="A726" s="81"/>
      <c r="B726" s="205" t="str">
        <f>_xlfn.LET(_xlpm.var,◆관리정보!B726,IF(_xlpm.var&lt;&gt;0,_xlpm.var,""))</f>
        <v/>
      </c>
      <c r="C726" s="82" t="str">
        <f>_xlfn.LET(_xlpm.var,◆관리정보!C726,IF(_xlpm.var&lt;&gt;0,_xlpm.var,""))</f>
        <v/>
      </c>
      <c r="D726" s="83"/>
      <c r="E726" s="84" t="str">
        <f t="shared" si="24"/>
        <v/>
      </c>
      <c r="F726" s="87"/>
      <c r="G726" s="229"/>
      <c r="H726" s="229"/>
      <c r="I726" s="229"/>
      <c r="J726" s="229"/>
      <c r="K726" s="218"/>
      <c r="L726" s="87"/>
      <c r="M726" s="87"/>
      <c r="N726" s="82"/>
      <c r="O726" s="82"/>
      <c r="P726" s="241"/>
      <c r="Q726" s="241"/>
      <c r="R726" s="82"/>
      <c r="S726" s="241"/>
      <c r="T726" s="82"/>
      <c r="U726" s="241"/>
      <c r="V726" s="82"/>
      <c r="W726" s="88"/>
      <c r="X726" s="82"/>
      <c r="Y726" s="89"/>
      <c r="Z726" s="82"/>
      <c r="AA726" s="90"/>
      <c r="AB726" s="241"/>
      <c r="AC726" s="241"/>
      <c r="AD726" s="241"/>
      <c r="AE726" s="82"/>
      <c r="AF726" s="82"/>
      <c r="AG726" s="90"/>
      <c r="AH726" s="90"/>
      <c r="AI726" s="90"/>
      <c r="AJ726" s="90"/>
      <c r="AK726" s="82"/>
      <c r="AL726" s="82" t="str" cm="1">
        <f t="array" aca="1" ref="AL726" ca="1">_xlfn.IFS(
 AND($AK726&lt;&gt;"", M726&lt;&gt;0, M726&lt;=EDATE(TODAY(),2)),"도래",
 AND($AK726&lt;&gt;"", M726&lt;&gt;0, M726&lt;=EDATE(TODAY(),3)),"예정",
 AND($AK726&lt;&gt;"", M726&lt;&gt;0, M726&lt;=EDATE(TODAY(),6)),"관심",
 TRUE,""
)</f>
        <v/>
      </c>
      <c r="AM726" s="86"/>
    </row>
    <row r="727" spans="1:39" ht="18" customHeight="1">
      <c r="A727" s="81"/>
      <c r="B727" s="205" t="str">
        <f>_xlfn.LET(_xlpm.var,◆관리정보!B727,IF(_xlpm.var&lt;&gt;0,_xlpm.var,""))</f>
        <v/>
      </c>
      <c r="C727" s="82" t="str">
        <f>_xlfn.LET(_xlpm.var,◆관리정보!C727,IF(_xlpm.var&lt;&gt;0,_xlpm.var,""))</f>
        <v/>
      </c>
      <c r="D727" s="83"/>
      <c r="E727" s="84" t="str">
        <f t="shared" si="24"/>
        <v/>
      </c>
      <c r="F727" s="87"/>
      <c r="G727" s="229"/>
      <c r="H727" s="229"/>
      <c r="I727" s="229"/>
      <c r="J727" s="229"/>
      <c r="K727" s="218"/>
      <c r="L727" s="87"/>
      <c r="M727" s="87"/>
      <c r="N727" s="82"/>
      <c r="O727" s="82"/>
      <c r="P727" s="241"/>
      <c r="Q727" s="241"/>
      <c r="R727" s="82"/>
      <c r="S727" s="241"/>
      <c r="T727" s="82"/>
      <c r="U727" s="241"/>
      <c r="V727" s="82"/>
      <c r="W727" s="88"/>
      <c r="X727" s="82"/>
      <c r="Y727" s="89"/>
      <c r="Z727" s="82"/>
      <c r="AA727" s="90"/>
      <c r="AB727" s="241"/>
      <c r="AC727" s="241"/>
      <c r="AD727" s="241"/>
      <c r="AE727" s="82"/>
      <c r="AF727" s="82"/>
      <c r="AG727" s="90"/>
      <c r="AH727" s="90"/>
      <c r="AI727" s="90"/>
      <c r="AJ727" s="90"/>
      <c r="AK727" s="82"/>
      <c r="AL727" s="82" t="str" cm="1">
        <f t="array" aca="1" ref="AL727" ca="1">_xlfn.IFS(
 AND($AK727&lt;&gt;"", M727&lt;&gt;0, M727&lt;=EDATE(TODAY(),2)),"도래",
 AND($AK727&lt;&gt;"", M727&lt;&gt;0, M727&lt;=EDATE(TODAY(),3)),"예정",
 AND($AK727&lt;&gt;"", M727&lt;&gt;0, M727&lt;=EDATE(TODAY(),6)),"관심",
 TRUE,""
)</f>
        <v/>
      </c>
      <c r="AM727" s="86"/>
    </row>
    <row r="728" spans="1:39" ht="18" customHeight="1">
      <c r="A728" s="81"/>
      <c r="B728" s="205" t="str">
        <f>_xlfn.LET(_xlpm.var,◆관리정보!B728,IF(_xlpm.var&lt;&gt;0,_xlpm.var,""))</f>
        <v/>
      </c>
      <c r="C728" s="82" t="str">
        <f>_xlfn.LET(_xlpm.var,◆관리정보!C728,IF(_xlpm.var&lt;&gt;0,_xlpm.var,""))</f>
        <v/>
      </c>
      <c r="D728" s="83"/>
      <c r="E728" s="84" t="str">
        <f t="shared" si="24"/>
        <v/>
      </c>
      <c r="F728" s="87"/>
      <c r="G728" s="229"/>
      <c r="H728" s="229"/>
      <c r="I728" s="229"/>
      <c r="J728" s="229"/>
      <c r="K728" s="218"/>
      <c r="L728" s="87"/>
      <c r="M728" s="87"/>
      <c r="N728" s="82"/>
      <c r="O728" s="82"/>
      <c r="P728" s="241"/>
      <c r="Q728" s="241"/>
      <c r="R728" s="82"/>
      <c r="S728" s="241"/>
      <c r="T728" s="82"/>
      <c r="U728" s="241"/>
      <c r="V728" s="82"/>
      <c r="W728" s="88"/>
      <c r="X728" s="82"/>
      <c r="Y728" s="89"/>
      <c r="Z728" s="82"/>
      <c r="AA728" s="90"/>
      <c r="AB728" s="241"/>
      <c r="AC728" s="241"/>
      <c r="AD728" s="241"/>
      <c r="AE728" s="82"/>
      <c r="AF728" s="82"/>
      <c r="AG728" s="90"/>
      <c r="AH728" s="90"/>
      <c r="AI728" s="90"/>
      <c r="AJ728" s="90"/>
      <c r="AK728" s="82"/>
      <c r="AL728" s="82" t="str" cm="1">
        <f t="array" aca="1" ref="AL728" ca="1">_xlfn.IFS(
 AND($AK728&lt;&gt;"", M728&lt;&gt;0, M728&lt;=EDATE(TODAY(),2)),"도래",
 AND($AK728&lt;&gt;"", M728&lt;&gt;0, M728&lt;=EDATE(TODAY(),3)),"예정",
 AND($AK728&lt;&gt;"", M728&lt;&gt;0, M728&lt;=EDATE(TODAY(),6)),"관심",
 TRUE,""
)</f>
        <v/>
      </c>
      <c r="AM728" s="86"/>
    </row>
    <row r="729" spans="1:39" ht="18" customHeight="1">
      <c r="A729" s="81"/>
      <c r="B729" s="205" t="str">
        <f>_xlfn.LET(_xlpm.var,◆관리정보!B729,IF(_xlpm.var&lt;&gt;0,_xlpm.var,""))</f>
        <v/>
      </c>
      <c r="C729" s="82" t="str">
        <f>_xlfn.LET(_xlpm.var,◆관리정보!C729,IF(_xlpm.var&lt;&gt;0,_xlpm.var,""))</f>
        <v/>
      </c>
      <c r="D729" s="83"/>
      <c r="E729" s="84" t="str">
        <f t="shared" si="24"/>
        <v/>
      </c>
      <c r="F729" s="87"/>
      <c r="G729" s="229"/>
      <c r="H729" s="229"/>
      <c r="I729" s="229"/>
      <c r="J729" s="229"/>
      <c r="K729" s="218"/>
      <c r="L729" s="87"/>
      <c r="M729" s="87"/>
      <c r="N729" s="82"/>
      <c r="O729" s="82"/>
      <c r="P729" s="241"/>
      <c r="Q729" s="241"/>
      <c r="R729" s="82"/>
      <c r="S729" s="241"/>
      <c r="T729" s="82"/>
      <c r="U729" s="241"/>
      <c r="V729" s="82"/>
      <c r="W729" s="88"/>
      <c r="X729" s="82"/>
      <c r="Y729" s="89"/>
      <c r="Z729" s="82"/>
      <c r="AA729" s="90"/>
      <c r="AB729" s="241"/>
      <c r="AC729" s="241"/>
      <c r="AD729" s="241"/>
      <c r="AE729" s="82"/>
      <c r="AF729" s="82"/>
      <c r="AG729" s="90"/>
      <c r="AH729" s="90"/>
      <c r="AI729" s="90"/>
      <c r="AJ729" s="90"/>
      <c r="AK729" s="82"/>
      <c r="AL729" s="82" t="str" cm="1">
        <f t="array" aca="1" ref="AL729" ca="1">_xlfn.IFS(
 AND($AK729&lt;&gt;"", M729&lt;&gt;0, M729&lt;=EDATE(TODAY(),2)),"도래",
 AND($AK729&lt;&gt;"", M729&lt;&gt;0, M729&lt;=EDATE(TODAY(),3)),"예정",
 AND($AK729&lt;&gt;"", M729&lt;&gt;0, M729&lt;=EDATE(TODAY(),6)),"관심",
 TRUE,""
)</f>
        <v/>
      </c>
      <c r="AM729" s="86"/>
    </row>
    <row r="730" spans="1:39" ht="18" customHeight="1">
      <c r="A730" s="81"/>
      <c r="B730" s="205" t="str">
        <f>_xlfn.LET(_xlpm.var,◆관리정보!B730,IF(_xlpm.var&lt;&gt;0,_xlpm.var,""))</f>
        <v/>
      </c>
      <c r="C730" s="82" t="str">
        <f>_xlfn.LET(_xlpm.var,◆관리정보!C730,IF(_xlpm.var&lt;&gt;0,_xlpm.var,""))</f>
        <v/>
      </c>
      <c r="D730" s="83"/>
      <c r="E730" s="84" t="str">
        <f t="shared" si="24"/>
        <v/>
      </c>
      <c r="F730" s="87"/>
      <c r="G730" s="229"/>
      <c r="H730" s="229"/>
      <c r="I730" s="229"/>
      <c r="J730" s="229"/>
      <c r="K730" s="218"/>
      <c r="L730" s="87"/>
      <c r="M730" s="87"/>
      <c r="N730" s="82"/>
      <c r="O730" s="82"/>
      <c r="P730" s="241"/>
      <c r="Q730" s="241"/>
      <c r="R730" s="82"/>
      <c r="S730" s="241"/>
      <c r="T730" s="82"/>
      <c r="U730" s="241"/>
      <c r="V730" s="82"/>
      <c r="W730" s="88"/>
      <c r="X730" s="82"/>
      <c r="Y730" s="89"/>
      <c r="Z730" s="82"/>
      <c r="AA730" s="90"/>
      <c r="AB730" s="241"/>
      <c r="AC730" s="241"/>
      <c r="AD730" s="241"/>
      <c r="AE730" s="82"/>
      <c r="AF730" s="82"/>
      <c r="AG730" s="90"/>
      <c r="AH730" s="90"/>
      <c r="AI730" s="90"/>
      <c r="AJ730" s="90"/>
      <c r="AK730" s="82"/>
      <c r="AL730" s="82" t="str" cm="1">
        <f t="array" aca="1" ref="AL730" ca="1">_xlfn.IFS(
 AND($AK730&lt;&gt;"", M730&lt;&gt;0, M730&lt;=EDATE(TODAY(),2)),"도래",
 AND($AK730&lt;&gt;"", M730&lt;&gt;0, M730&lt;=EDATE(TODAY(),3)),"예정",
 AND($AK730&lt;&gt;"", M730&lt;&gt;0, M730&lt;=EDATE(TODAY(),6)),"관심",
 TRUE,""
)</f>
        <v/>
      </c>
      <c r="AM730" s="86"/>
    </row>
    <row r="731" spans="1:39" ht="18" customHeight="1">
      <c r="A731" s="81"/>
      <c r="B731" s="205" t="str">
        <f>_xlfn.LET(_xlpm.var,◆관리정보!B731,IF(_xlpm.var&lt;&gt;0,_xlpm.var,""))</f>
        <v/>
      </c>
      <c r="C731" s="82" t="str">
        <f>_xlfn.LET(_xlpm.var,◆관리정보!C731,IF(_xlpm.var&lt;&gt;0,_xlpm.var,""))</f>
        <v/>
      </c>
      <c r="D731" s="83"/>
      <c r="E731" s="84" t="str">
        <f t="shared" si="24"/>
        <v/>
      </c>
      <c r="F731" s="87"/>
      <c r="G731" s="229"/>
      <c r="H731" s="229"/>
      <c r="I731" s="229"/>
      <c r="J731" s="229"/>
      <c r="K731" s="218"/>
      <c r="L731" s="87"/>
      <c r="M731" s="87"/>
      <c r="N731" s="82"/>
      <c r="O731" s="82"/>
      <c r="P731" s="241"/>
      <c r="Q731" s="241"/>
      <c r="R731" s="82"/>
      <c r="S731" s="241"/>
      <c r="T731" s="82"/>
      <c r="U731" s="241"/>
      <c r="V731" s="82"/>
      <c r="W731" s="88"/>
      <c r="X731" s="82"/>
      <c r="Y731" s="89"/>
      <c r="Z731" s="82"/>
      <c r="AA731" s="90"/>
      <c r="AB731" s="241"/>
      <c r="AC731" s="241"/>
      <c r="AD731" s="241"/>
      <c r="AE731" s="82"/>
      <c r="AF731" s="82"/>
      <c r="AG731" s="90"/>
      <c r="AH731" s="90"/>
      <c r="AI731" s="90"/>
      <c r="AJ731" s="90"/>
      <c r="AK731" s="82"/>
      <c r="AL731" s="82" t="str" cm="1">
        <f t="array" aca="1" ref="AL731" ca="1">_xlfn.IFS(
 AND($AK731&lt;&gt;"", M731&lt;&gt;0, M731&lt;=EDATE(TODAY(),2)),"도래",
 AND($AK731&lt;&gt;"", M731&lt;&gt;0, M731&lt;=EDATE(TODAY(),3)),"예정",
 AND($AK731&lt;&gt;"", M731&lt;&gt;0, M731&lt;=EDATE(TODAY(),6)),"관심",
 TRUE,""
)</f>
        <v/>
      </c>
      <c r="AM731" s="86"/>
    </row>
    <row r="732" spans="1:39" ht="18" customHeight="1">
      <c r="A732" s="81"/>
      <c r="B732" s="205" t="str">
        <f>_xlfn.LET(_xlpm.var,◆관리정보!B732,IF(_xlpm.var&lt;&gt;0,_xlpm.var,""))</f>
        <v/>
      </c>
      <c r="C732" s="82" t="str">
        <f>_xlfn.LET(_xlpm.var,◆관리정보!C732,IF(_xlpm.var&lt;&gt;0,_xlpm.var,""))</f>
        <v/>
      </c>
      <c r="D732" s="83"/>
      <c r="E732" s="84" t="str">
        <f t="shared" si="24"/>
        <v/>
      </c>
      <c r="F732" s="87"/>
      <c r="G732" s="229"/>
      <c r="H732" s="229"/>
      <c r="I732" s="229"/>
      <c r="J732" s="229"/>
      <c r="K732" s="218"/>
      <c r="L732" s="87"/>
      <c r="M732" s="87"/>
      <c r="N732" s="82"/>
      <c r="O732" s="82"/>
      <c r="P732" s="241"/>
      <c r="Q732" s="241"/>
      <c r="R732" s="82"/>
      <c r="S732" s="241"/>
      <c r="T732" s="82"/>
      <c r="U732" s="241"/>
      <c r="V732" s="82"/>
      <c r="W732" s="88"/>
      <c r="X732" s="82"/>
      <c r="Y732" s="89"/>
      <c r="Z732" s="82"/>
      <c r="AA732" s="90"/>
      <c r="AB732" s="241"/>
      <c r="AC732" s="241"/>
      <c r="AD732" s="241"/>
      <c r="AE732" s="82"/>
      <c r="AF732" s="82"/>
      <c r="AG732" s="90"/>
      <c r="AH732" s="90"/>
      <c r="AI732" s="90"/>
      <c r="AJ732" s="90"/>
      <c r="AK732" s="82"/>
      <c r="AL732" s="82" t="str" cm="1">
        <f t="array" aca="1" ref="AL732" ca="1">_xlfn.IFS(
 AND($AK732&lt;&gt;"", M732&lt;&gt;0, M732&lt;=EDATE(TODAY(),2)),"도래",
 AND($AK732&lt;&gt;"", M732&lt;&gt;0, M732&lt;=EDATE(TODAY(),3)),"예정",
 AND($AK732&lt;&gt;"", M732&lt;&gt;0, M732&lt;=EDATE(TODAY(),6)),"관심",
 TRUE,""
)</f>
        <v/>
      </c>
      <c r="AM732" s="86"/>
    </row>
    <row r="733" spans="1:39" ht="18" customHeight="1">
      <c r="A733" s="81"/>
      <c r="B733" s="205" t="str">
        <f>_xlfn.LET(_xlpm.var,◆관리정보!B733,IF(_xlpm.var&lt;&gt;0,_xlpm.var,""))</f>
        <v/>
      </c>
      <c r="C733" s="82" t="str">
        <f>_xlfn.LET(_xlpm.var,◆관리정보!C733,IF(_xlpm.var&lt;&gt;0,_xlpm.var,""))</f>
        <v/>
      </c>
      <c r="D733" s="83"/>
      <c r="E733" s="84" t="str">
        <f t="shared" si="24"/>
        <v/>
      </c>
      <c r="F733" s="87"/>
      <c r="G733" s="229"/>
      <c r="H733" s="229"/>
      <c r="I733" s="229"/>
      <c r="J733" s="229"/>
      <c r="K733" s="218"/>
      <c r="L733" s="87"/>
      <c r="M733" s="87"/>
      <c r="N733" s="82"/>
      <c r="O733" s="82"/>
      <c r="P733" s="241"/>
      <c r="Q733" s="241"/>
      <c r="R733" s="82"/>
      <c r="S733" s="241"/>
      <c r="T733" s="82"/>
      <c r="U733" s="241"/>
      <c r="V733" s="82"/>
      <c r="W733" s="88"/>
      <c r="X733" s="82"/>
      <c r="Y733" s="89"/>
      <c r="Z733" s="82"/>
      <c r="AA733" s="90"/>
      <c r="AB733" s="241"/>
      <c r="AC733" s="241"/>
      <c r="AD733" s="241"/>
      <c r="AE733" s="82"/>
      <c r="AF733" s="82"/>
      <c r="AG733" s="90"/>
      <c r="AH733" s="90"/>
      <c r="AI733" s="90"/>
      <c r="AJ733" s="90"/>
      <c r="AK733" s="82"/>
      <c r="AL733" s="82" t="str" cm="1">
        <f t="array" aca="1" ref="AL733" ca="1">_xlfn.IFS(
 AND($AK733&lt;&gt;"", M733&lt;&gt;0, M733&lt;=EDATE(TODAY(),2)),"도래",
 AND($AK733&lt;&gt;"", M733&lt;&gt;0, M733&lt;=EDATE(TODAY(),3)),"예정",
 AND($AK733&lt;&gt;"", M733&lt;&gt;0, M733&lt;=EDATE(TODAY(),6)),"관심",
 TRUE,""
)</f>
        <v/>
      </c>
      <c r="AM733" s="86"/>
    </row>
    <row r="734" spans="1:39" ht="18" customHeight="1">
      <c r="A734" s="81"/>
      <c r="B734" s="205" t="str">
        <f>_xlfn.LET(_xlpm.var,◆관리정보!B734,IF(_xlpm.var&lt;&gt;0,_xlpm.var,""))</f>
        <v/>
      </c>
      <c r="C734" s="82" t="str">
        <f>_xlfn.LET(_xlpm.var,◆관리정보!C734,IF(_xlpm.var&lt;&gt;0,_xlpm.var,""))</f>
        <v/>
      </c>
      <c r="D734" s="83"/>
      <c r="E734" s="84" t="str">
        <f t="shared" si="24"/>
        <v/>
      </c>
      <c r="F734" s="87"/>
      <c r="G734" s="229"/>
      <c r="H734" s="229"/>
      <c r="I734" s="229"/>
      <c r="J734" s="229"/>
      <c r="K734" s="218"/>
      <c r="L734" s="87"/>
      <c r="M734" s="87"/>
      <c r="N734" s="82"/>
      <c r="O734" s="82"/>
      <c r="P734" s="241"/>
      <c r="Q734" s="241"/>
      <c r="R734" s="82"/>
      <c r="S734" s="241"/>
      <c r="T734" s="82"/>
      <c r="U734" s="241"/>
      <c r="V734" s="82"/>
      <c r="W734" s="88"/>
      <c r="X734" s="82"/>
      <c r="Y734" s="89"/>
      <c r="Z734" s="82"/>
      <c r="AA734" s="90"/>
      <c r="AB734" s="241"/>
      <c r="AC734" s="241"/>
      <c r="AD734" s="241"/>
      <c r="AE734" s="82"/>
      <c r="AF734" s="82"/>
      <c r="AG734" s="90"/>
      <c r="AH734" s="90"/>
      <c r="AI734" s="90"/>
      <c r="AJ734" s="90"/>
      <c r="AK734" s="82"/>
      <c r="AL734" s="82" t="str" cm="1">
        <f t="array" aca="1" ref="AL734" ca="1">_xlfn.IFS(
 AND($AK734&lt;&gt;"", M734&lt;&gt;0, M734&lt;=EDATE(TODAY(),2)),"도래",
 AND($AK734&lt;&gt;"", M734&lt;&gt;0, M734&lt;=EDATE(TODAY(),3)),"예정",
 AND($AK734&lt;&gt;"", M734&lt;&gt;0, M734&lt;=EDATE(TODAY(),6)),"관심",
 TRUE,""
)</f>
        <v/>
      </c>
      <c r="AM734" s="86"/>
    </row>
    <row r="735" spans="1:39" ht="18" customHeight="1">
      <c r="A735" s="81"/>
      <c r="B735" s="205" t="str">
        <f>_xlfn.LET(_xlpm.var,◆관리정보!B735,IF(_xlpm.var&lt;&gt;0,_xlpm.var,""))</f>
        <v/>
      </c>
      <c r="C735" s="82" t="str">
        <f>_xlfn.LET(_xlpm.var,◆관리정보!C735,IF(_xlpm.var&lt;&gt;0,_xlpm.var,""))</f>
        <v/>
      </c>
      <c r="D735" s="83"/>
      <c r="E735" s="84" t="str">
        <f t="shared" si="24"/>
        <v/>
      </c>
      <c r="F735" s="87"/>
      <c r="G735" s="229"/>
      <c r="H735" s="229"/>
      <c r="I735" s="229"/>
      <c r="J735" s="229"/>
      <c r="K735" s="218"/>
      <c r="L735" s="87"/>
      <c r="M735" s="87"/>
      <c r="N735" s="82"/>
      <c r="O735" s="82"/>
      <c r="P735" s="241"/>
      <c r="Q735" s="241"/>
      <c r="R735" s="82"/>
      <c r="S735" s="241"/>
      <c r="T735" s="82"/>
      <c r="U735" s="241"/>
      <c r="V735" s="82"/>
      <c r="W735" s="88"/>
      <c r="X735" s="82"/>
      <c r="Y735" s="89"/>
      <c r="Z735" s="82"/>
      <c r="AA735" s="90"/>
      <c r="AB735" s="241"/>
      <c r="AC735" s="241"/>
      <c r="AD735" s="241"/>
      <c r="AE735" s="82"/>
      <c r="AF735" s="82"/>
      <c r="AG735" s="90"/>
      <c r="AH735" s="90"/>
      <c r="AI735" s="90"/>
      <c r="AJ735" s="90"/>
      <c r="AK735" s="82"/>
      <c r="AL735" s="82" t="str" cm="1">
        <f t="array" aca="1" ref="AL735" ca="1">_xlfn.IFS(
 AND($AK735&lt;&gt;"", M735&lt;&gt;0, M735&lt;=EDATE(TODAY(),2)),"도래",
 AND($AK735&lt;&gt;"", M735&lt;&gt;0, M735&lt;=EDATE(TODAY(),3)),"예정",
 AND($AK735&lt;&gt;"", M735&lt;&gt;0, M735&lt;=EDATE(TODAY(),6)),"관심",
 TRUE,""
)</f>
        <v/>
      </c>
      <c r="AM735" s="86"/>
    </row>
    <row r="736" spans="1:39" ht="18" customHeight="1">
      <c r="A736" s="81"/>
      <c r="B736" s="205" t="str">
        <f>_xlfn.LET(_xlpm.var,◆관리정보!B736,IF(_xlpm.var&lt;&gt;0,_xlpm.var,""))</f>
        <v/>
      </c>
      <c r="C736" s="82" t="str">
        <f>_xlfn.LET(_xlpm.var,◆관리정보!C736,IF(_xlpm.var&lt;&gt;0,_xlpm.var,""))</f>
        <v/>
      </c>
      <c r="D736" s="83"/>
      <c r="E736" s="84" t="str">
        <f t="shared" si="24"/>
        <v/>
      </c>
      <c r="F736" s="87"/>
      <c r="G736" s="229"/>
      <c r="H736" s="229"/>
      <c r="I736" s="229"/>
      <c r="J736" s="229"/>
      <c r="K736" s="218"/>
      <c r="L736" s="87"/>
      <c r="M736" s="87"/>
      <c r="N736" s="82"/>
      <c r="O736" s="82"/>
      <c r="P736" s="241"/>
      <c r="Q736" s="241"/>
      <c r="R736" s="82"/>
      <c r="S736" s="241"/>
      <c r="T736" s="82"/>
      <c r="U736" s="241"/>
      <c r="V736" s="82"/>
      <c r="W736" s="88"/>
      <c r="X736" s="82"/>
      <c r="Y736" s="89"/>
      <c r="Z736" s="82"/>
      <c r="AA736" s="90"/>
      <c r="AB736" s="241"/>
      <c r="AC736" s="241"/>
      <c r="AD736" s="241"/>
      <c r="AE736" s="82"/>
      <c r="AF736" s="82"/>
      <c r="AG736" s="90"/>
      <c r="AH736" s="90"/>
      <c r="AI736" s="90"/>
      <c r="AJ736" s="90"/>
      <c r="AK736" s="82"/>
      <c r="AL736" s="82" t="str" cm="1">
        <f t="array" aca="1" ref="AL736" ca="1">_xlfn.IFS(
 AND($AK736&lt;&gt;"", M736&lt;&gt;0, M736&lt;=EDATE(TODAY(),2)),"도래",
 AND($AK736&lt;&gt;"", M736&lt;&gt;0, M736&lt;=EDATE(TODAY(),3)),"예정",
 AND($AK736&lt;&gt;"", M736&lt;&gt;0, M736&lt;=EDATE(TODAY(),6)),"관심",
 TRUE,""
)</f>
        <v/>
      </c>
      <c r="AM736" s="86"/>
    </row>
    <row r="737" spans="1:39" ht="18" customHeight="1">
      <c r="A737" s="81"/>
      <c r="B737" s="205" t="str">
        <f>_xlfn.LET(_xlpm.var,◆관리정보!B737,IF(_xlpm.var&lt;&gt;0,_xlpm.var,""))</f>
        <v/>
      </c>
      <c r="C737" s="82" t="str">
        <f>_xlfn.LET(_xlpm.var,◆관리정보!C737,IF(_xlpm.var&lt;&gt;0,_xlpm.var,""))</f>
        <v/>
      </c>
      <c r="D737" s="83"/>
      <c r="E737" s="84" t="str">
        <f t="shared" si="24"/>
        <v/>
      </c>
      <c r="F737" s="87"/>
      <c r="G737" s="229"/>
      <c r="H737" s="229"/>
      <c r="I737" s="229"/>
      <c r="J737" s="229"/>
      <c r="K737" s="218"/>
      <c r="L737" s="87"/>
      <c r="M737" s="87"/>
      <c r="N737" s="82"/>
      <c r="O737" s="82"/>
      <c r="P737" s="241"/>
      <c r="Q737" s="241"/>
      <c r="R737" s="82"/>
      <c r="S737" s="241"/>
      <c r="T737" s="82"/>
      <c r="U737" s="241"/>
      <c r="V737" s="82"/>
      <c r="W737" s="88"/>
      <c r="X737" s="82"/>
      <c r="Y737" s="89"/>
      <c r="Z737" s="82"/>
      <c r="AA737" s="90"/>
      <c r="AB737" s="241"/>
      <c r="AC737" s="241"/>
      <c r="AD737" s="241"/>
      <c r="AE737" s="82"/>
      <c r="AF737" s="82"/>
      <c r="AG737" s="90"/>
      <c r="AH737" s="90"/>
      <c r="AI737" s="90"/>
      <c r="AJ737" s="90"/>
      <c r="AK737" s="82"/>
      <c r="AL737" s="82" t="str" cm="1">
        <f t="array" aca="1" ref="AL737" ca="1">_xlfn.IFS(
 AND($AK737&lt;&gt;"", M737&lt;&gt;0, M737&lt;=EDATE(TODAY(),2)),"도래",
 AND($AK737&lt;&gt;"", M737&lt;&gt;0, M737&lt;=EDATE(TODAY(),3)),"예정",
 AND($AK737&lt;&gt;"", M737&lt;&gt;0, M737&lt;=EDATE(TODAY(),6)),"관심",
 TRUE,""
)</f>
        <v/>
      </c>
      <c r="AM737" s="86"/>
    </row>
    <row r="738" spans="1:39" ht="18" customHeight="1">
      <c r="A738" s="81"/>
      <c r="B738" s="205" t="str">
        <f>_xlfn.LET(_xlpm.var,◆관리정보!B738,IF(_xlpm.var&lt;&gt;0,_xlpm.var,""))</f>
        <v/>
      </c>
      <c r="C738" s="82" t="str">
        <f>_xlfn.LET(_xlpm.var,◆관리정보!C738,IF(_xlpm.var&lt;&gt;0,_xlpm.var,""))</f>
        <v/>
      </c>
      <c r="D738" s="83"/>
      <c r="E738" s="84" t="str">
        <f t="shared" si="24"/>
        <v/>
      </c>
      <c r="F738" s="87"/>
      <c r="G738" s="229"/>
      <c r="H738" s="229"/>
      <c r="I738" s="229"/>
      <c r="J738" s="229"/>
      <c r="K738" s="218"/>
      <c r="L738" s="87"/>
      <c r="M738" s="87"/>
      <c r="N738" s="82"/>
      <c r="O738" s="82"/>
      <c r="P738" s="241"/>
      <c r="Q738" s="241"/>
      <c r="R738" s="82"/>
      <c r="S738" s="241"/>
      <c r="T738" s="82"/>
      <c r="U738" s="241"/>
      <c r="V738" s="82"/>
      <c r="W738" s="88"/>
      <c r="X738" s="82"/>
      <c r="Y738" s="89"/>
      <c r="Z738" s="82"/>
      <c r="AA738" s="90"/>
      <c r="AB738" s="241"/>
      <c r="AC738" s="241"/>
      <c r="AD738" s="241"/>
      <c r="AE738" s="82"/>
      <c r="AF738" s="82"/>
      <c r="AG738" s="90"/>
      <c r="AH738" s="90"/>
      <c r="AI738" s="90"/>
      <c r="AJ738" s="90"/>
      <c r="AK738" s="82"/>
      <c r="AL738" s="82" t="str" cm="1">
        <f t="array" aca="1" ref="AL738" ca="1">_xlfn.IFS(
 AND($AK738&lt;&gt;"", M738&lt;&gt;0, M738&lt;=EDATE(TODAY(),2)),"도래",
 AND($AK738&lt;&gt;"", M738&lt;&gt;0, M738&lt;=EDATE(TODAY(),3)),"예정",
 AND($AK738&lt;&gt;"", M738&lt;&gt;0, M738&lt;=EDATE(TODAY(),6)),"관심",
 TRUE,""
)</f>
        <v/>
      </c>
      <c r="AM738" s="86"/>
    </row>
    <row r="739" spans="1:39" ht="18" customHeight="1">
      <c r="A739" s="81"/>
      <c r="B739" s="205" t="str">
        <f>_xlfn.LET(_xlpm.var,◆관리정보!B739,IF(_xlpm.var&lt;&gt;0,_xlpm.var,""))</f>
        <v/>
      </c>
      <c r="C739" s="82" t="str">
        <f>_xlfn.LET(_xlpm.var,◆관리정보!C739,IF(_xlpm.var&lt;&gt;0,_xlpm.var,""))</f>
        <v/>
      </c>
      <c r="D739" s="83"/>
      <c r="E739" s="84" t="str">
        <f t="shared" si="24"/>
        <v/>
      </c>
      <c r="F739" s="87"/>
      <c r="G739" s="229"/>
      <c r="H739" s="229"/>
      <c r="I739" s="229"/>
      <c r="J739" s="229"/>
      <c r="K739" s="218"/>
      <c r="L739" s="87"/>
      <c r="M739" s="87"/>
      <c r="N739" s="82"/>
      <c r="O739" s="82"/>
      <c r="P739" s="241"/>
      <c r="Q739" s="241"/>
      <c r="R739" s="82"/>
      <c r="S739" s="241"/>
      <c r="T739" s="82"/>
      <c r="U739" s="241"/>
      <c r="V739" s="82"/>
      <c r="W739" s="88"/>
      <c r="X739" s="82"/>
      <c r="Y739" s="89"/>
      <c r="Z739" s="82"/>
      <c r="AA739" s="90"/>
      <c r="AB739" s="241"/>
      <c r="AC739" s="241"/>
      <c r="AD739" s="241"/>
      <c r="AE739" s="82"/>
      <c r="AF739" s="82"/>
      <c r="AG739" s="90"/>
      <c r="AH739" s="90"/>
      <c r="AI739" s="90"/>
      <c r="AJ739" s="90"/>
      <c r="AK739" s="82"/>
      <c r="AL739" s="82" t="str" cm="1">
        <f t="array" aca="1" ref="AL739" ca="1">_xlfn.IFS(
 AND($AK739&lt;&gt;"", M739&lt;&gt;0, M739&lt;=EDATE(TODAY(),2)),"도래",
 AND($AK739&lt;&gt;"", M739&lt;&gt;0, M739&lt;=EDATE(TODAY(),3)),"예정",
 AND($AK739&lt;&gt;"", M739&lt;&gt;0, M739&lt;=EDATE(TODAY(),6)),"관심",
 TRUE,""
)</f>
        <v/>
      </c>
      <c r="AM739" s="86"/>
    </row>
    <row r="740" spans="1:39" ht="18" customHeight="1">
      <c r="A740" s="81"/>
      <c r="B740" s="205" t="str">
        <f>_xlfn.LET(_xlpm.var,◆관리정보!B740,IF(_xlpm.var&lt;&gt;0,_xlpm.var,""))</f>
        <v/>
      </c>
      <c r="C740" s="82" t="str">
        <f>_xlfn.LET(_xlpm.var,◆관리정보!C740,IF(_xlpm.var&lt;&gt;0,_xlpm.var,""))</f>
        <v/>
      </c>
      <c r="D740" s="83"/>
      <c r="E740" s="84" t="str">
        <f t="shared" si="24"/>
        <v/>
      </c>
      <c r="F740" s="87"/>
      <c r="G740" s="229"/>
      <c r="H740" s="229"/>
      <c r="I740" s="229"/>
      <c r="J740" s="229"/>
      <c r="K740" s="218"/>
      <c r="L740" s="87"/>
      <c r="M740" s="87"/>
      <c r="N740" s="82"/>
      <c r="O740" s="82"/>
      <c r="P740" s="241"/>
      <c r="Q740" s="241"/>
      <c r="R740" s="82"/>
      <c r="S740" s="241"/>
      <c r="T740" s="82"/>
      <c r="U740" s="241"/>
      <c r="V740" s="82"/>
      <c r="W740" s="88"/>
      <c r="X740" s="82"/>
      <c r="Y740" s="89"/>
      <c r="Z740" s="82"/>
      <c r="AA740" s="90"/>
      <c r="AB740" s="241"/>
      <c r="AC740" s="241"/>
      <c r="AD740" s="241"/>
      <c r="AE740" s="82"/>
      <c r="AF740" s="82"/>
      <c r="AG740" s="90"/>
      <c r="AH740" s="90"/>
      <c r="AI740" s="90"/>
      <c r="AJ740" s="90"/>
      <c r="AK740" s="82"/>
      <c r="AL740" s="82" t="str" cm="1">
        <f t="array" aca="1" ref="AL740" ca="1">_xlfn.IFS(
 AND($AK740&lt;&gt;"", M740&lt;&gt;0, M740&lt;=EDATE(TODAY(),2)),"도래",
 AND($AK740&lt;&gt;"", M740&lt;&gt;0, M740&lt;=EDATE(TODAY(),3)),"예정",
 AND($AK740&lt;&gt;"", M740&lt;&gt;0, M740&lt;=EDATE(TODAY(),6)),"관심",
 TRUE,""
)</f>
        <v/>
      </c>
      <c r="AM740" s="86"/>
    </row>
    <row r="741" spans="1:39" ht="18" customHeight="1">
      <c r="A741" s="81"/>
      <c r="B741" s="205" t="str">
        <f>_xlfn.LET(_xlpm.var,◆관리정보!B741,IF(_xlpm.var&lt;&gt;0,_xlpm.var,""))</f>
        <v/>
      </c>
      <c r="C741" s="82" t="str">
        <f>_xlfn.LET(_xlpm.var,◆관리정보!C741,IF(_xlpm.var&lt;&gt;0,_xlpm.var,""))</f>
        <v/>
      </c>
      <c r="D741" s="83"/>
      <c r="E741" s="84" t="str">
        <f t="shared" si="24"/>
        <v/>
      </c>
      <c r="F741" s="87"/>
      <c r="G741" s="229"/>
      <c r="H741" s="229"/>
      <c r="I741" s="229"/>
      <c r="J741" s="229"/>
      <c r="K741" s="218"/>
      <c r="L741" s="87"/>
      <c r="M741" s="87"/>
      <c r="N741" s="82"/>
      <c r="O741" s="82"/>
      <c r="P741" s="241"/>
      <c r="Q741" s="241"/>
      <c r="R741" s="82"/>
      <c r="S741" s="241"/>
      <c r="T741" s="82"/>
      <c r="U741" s="241"/>
      <c r="V741" s="82"/>
      <c r="W741" s="88"/>
      <c r="X741" s="82"/>
      <c r="Y741" s="89"/>
      <c r="Z741" s="82"/>
      <c r="AA741" s="90"/>
      <c r="AB741" s="241"/>
      <c r="AC741" s="241"/>
      <c r="AD741" s="241"/>
      <c r="AE741" s="82"/>
      <c r="AF741" s="82"/>
      <c r="AG741" s="90"/>
      <c r="AH741" s="90"/>
      <c r="AI741" s="90"/>
      <c r="AJ741" s="90"/>
      <c r="AK741" s="82"/>
      <c r="AL741" s="82" t="str" cm="1">
        <f t="array" aca="1" ref="AL741" ca="1">_xlfn.IFS(
 AND($AK741&lt;&gt;"", M741&lt;&gt;0, M741&lt;=EDATE(TODAY(),2)),"도래",
 AND($AK741&lt;&gt;"", M741&lt;&gt;0, M741&lt;=EDATE(TODAY(),3)),"예정",
 AND($AK741&lt;&gt;"", M741&lt;&gt;0, M741&lt;=EDATE(TODAY(),6)),"관심",
 TRUE,""
)</f>
        <v/>
      </c>
      <c r="AM741" s="86"/>
    </row>
    <row r="742" spans="1:39" ht="18" customHeight="1">
      <c r="A742" s="81"/>
      <c r="B742" s="205" t="str">
        <f>_xlfn.LET(_xlpm.var,◆관리정보!B742,IF(_xlpm.var&lt;&gt;0,_xlpm.var,""))</f>
        <v/>
      </c>
      <c r="C742" s="82" t="str">
        <f>_xlfn.LET(_xlpm.var,◆관리정보!C742,IF(_xlpm.var&lt;&gt;0,_xlpm.var,""))</f>
        <v/>
      </c>
      <c r="D742" s="83"/>
      <c r="E742" s="84" t="str">
        <f t="shared" si="24"/>
        <v/>
      </c>
      <c r="F742" s="87"/>
      <c r="G742" s="229"/>
      <c r="H742" s="229"/>
      <c r="I742" s="229"/>
      <c r="J742" s="229"/>
      <c r="K742" s="218"/>
      <c r="L742" s="87"/>
      <c r="M742" s="87"/>
      <c r="N742" s="82"/>
      <c r="O742" s="82"/>
      <c r="P742" s="241"/>
      <c r="Q742" s="241"/>
      <c r="R742" s="82"/>
      <c r="S742" s="241"/>
      <c r="T742" s="82"/>
      <c r="U742" s="241"/>
      <c r="V742" s="82"/>
      <c r="W742" s="88"/>
      <c r="X742" s="82"/>
      <c r="Y742" s="89"/>
      <c r="Z742" s="82"/>
      <c r="AA742" s="90"/>
      <c r="AB742" s="241"/>
      <c r="AC742" s="241"/>
      <c r="AD742" s="241"/>
      <c r="AE742" s="82"/>
      <c r="AF742" s="82"/>
      <c r="AG742" s="90"/>
      <c r="AH742" s="90"/>
      <c r="AI742" s="90"/>
      <c r="AJ742" s="90"/>
      <c r="AK742" s="82"/>
      <c r="AL742" s="82" t="str" cm="1">
        <f t="array" aca="1" ref="AL742" ca="1">_xlfn.IFS(
 AND($AK742&lt;&gt;"", M742&lt;&gt;0, M742&lt;=EDATE(TODAY(),2)),"도래",
 AND($AK742&lt;&gt;"", M742&lt;&gt;0, M742&lt;=EDATE(TODAY(),3)),"예정",
 AND($AK742&lt;&gt;"", M742&lt;&gt;0, M742&lt;=EDATE(TODAY(),6)),"관심",
 TRUE,""
)</f>
        <v/>
      </c>
      <c r="AM742" s="86"/>
    </row>
    <row r="743" spans="1:39" ht="18" customHeight="1">
      <c r="A743" s="81"/>
      <c r="B743" s="205" t="str">
        <f>_xlfn.LET(_xlpm.var,◆관리정보!B743,IF(_xlpm.var&lt;&gt;0,_xlpm.var,""))</f>
        <v/>
      </c>
      <c r="C743" s="82" t="str">
        <f>_xlfn.LET(_xlpm.var,◆관리정보!C743,IF(_xlpm.var&lt;&gt;0,_xlpm.var,""))</f>
        <v/>
      </c>
      <c r="D743" s="83"/>
      <c r="E743" s="84" t="str">
        <f t="shared" si="24"/>
        <v/>
      </c>
      <c r="F743" s="87"/>
      <c r="G743" s="229"/>
      <c r="H743" s="229"/>
      <c r="I743" s="229"/>
      <c r="J743" s="229"/>
      <c r="K743" s="218"/>
      <c r="L743" s="87"/>
      <c r="M743" s="87"/>
      <c r="N743" s="82"/>
      <c r="O743" s="82"/>
      <c r="P743" s="241"/>
      <c r="Q743" s="241"/>
      <c r="R743" s="82"/>
      <c r="S743" s="241"/>
      <c r="T743" s="82"/>
      <c r="U743" s="241"/>
      <c r="V743" s="82"/>
      <c r="W743" s="88"/>
      <c r="X743" s="82"/>
      <c r="Y743" s="89"/>
      <c r="Z743" s="82"/>
      <c r="AA743" s="90"/>
      <c r="AB743" s="241"/>
      <c r="AC743" s="241"/>
      <c r="AD743" s="241"/>
      <c r="AE743" s="82"/>
      <c r="AF743" s="82"/>
      <c r="AG743" s="90"/>
      <c r="AH743" s="90"/>
      <c r="AI743" s="90"/>
      <c r="AJ743" s="90"/>
      <c r="AK743" s="82"/>
      <c r="AL743" s="82" t="str" cm="1">
        <f t="array" aca="1" ref="AL743" ca="1">_xlfn.IFS(
 AND($AK743&lt;&gt;"", M743&lt;&gt;0, M743&lt;=EDATE(TODAY(),2)),"도래",
 AND($AK743&lt;&gt;"", M743&lt;&gt;0, M743&lt;=EDATE(TODAY(),3)),"예정",
 AND($AK743&lt;&gt;"", M743&lt;&gt;0, M743&lt;=EDATE(TODAY(),6)),"관심",
 TRUE,""
)</f>
        <v/>
      </c>
      <c r="AM743" s="86"/>
    </row>
    <row r="744" spans="1:39" ht="18" customHeight="1">
      <c r="A744" s="81"/>
      <c r="B744" s="205" t="str">
        <f>_xlfn.LET(_xlpm.var,◆관리정보!B744,IF(_xlpm.var&lt;&gt;0,_xlpm.var,""))</f>
        <v/>
      </c>
      <c r="C744" s="82" t="str">
        <f>_xlfn.LET(_xlpm.var,◆관리정보!C744,IF(_xlpm.var&lt;&gt;0,_xlpm.var,""))</f>
        <v/>
      </c>
      <c r="D744" s="83"/>
      <c r="E744" s="84" t="str">
        <f t="shared" si="24"/>
        <v/>
      </c>
      <c r="F744" s="87"/>
      <c r="G744" s="229"/>
      <c r="H744" s="229"/>
      <c r="I744" s="229"/>
      <c r="J744" s="229"/>
      <c r="K744" s="218"/>
      <c r="L744" s="87"/>
      <c r="M744" s="87"/>
      <c r="N744" s="82"/>
      <c r="O744" s="82"/>
      <c r="P744" s="241"/>
      <c r="Q744" s="241"/>
      <c r="R744" s="82"/>
      <c r="S744" s="241"/>
      <c r="T744" s="82"/>
      <c r="U744" s="241"/>
      <c r="V744" s="82"/>
      <c r="W744" s="88"/>
      <c r="X744" s="82"/>
      <c r="Y744" s="89"/>
      <c r="Z744" s="82"/>
      <c r="AA744" s="90"/>
      <c r="AB744" s="241"/>
      <c r="AC744" s="241"/>
      <c r="AD744" s="241"/>
      <c r="AE744" s="82"/>
      <c r="AF744" s="82"/>
      <c r="AG744" s="90"/>
      <c r="AH744" s="90"/>
      <c r="AI744" s="90"/>
      <c r="AJ744" s="90"/>
      <c r="AK744" s="82"/>
      <c r="AL744" s="82" t="str" cm="1">
        <f t="array" aca="1" ref="AL744" ca="1">_xlfn.IFS(
 AND($AK744&lt;&gt;"", M744&lt;&gt;0, M744&lt;=EDATE(TODAY(),2)),"도래",
 AND($AK744&lt;&gt;"", M744&lt;&gt;0, M744&lt;=EDATE(TODAY(),3)),"예정",
 AND($AK744&lt;&gt;"", M744&lt;&gt;0, M744&lt;=EDATE(TODAY(),6)),"관심",
 TRUE,""
)</f>
        <v/>
      </c>
      <c r="AM744" s="86"/>
    </row>
    <row r="745" spans="1:39" ht="18" customHeight="1">
      <c r="A745" s="81"/>
      <c r="B745" s="205" t="str">
        <f>_xlfn.LET(_xlpm.var,◆관리정보!B745,IF(_xlpm.var&lt;&gt;0,_xlpm.var,""))</f>
        <v/>
      </c>
      <c r="C745" s="82" t="str">
        <f>_xlfn.LET(_xlpm.var,◆관리정보!C745,IF(_xlpm.var&lt;&gt;0,_xlpm.var,""))</f>
        <v/>
      </c>
      <c r="D745" s="83"/>
      <c r="E745" s="84" t="str">
        <f t="shared" si="24"/>
        <v/>
      </c>
      <c r="F745" s="87"/>
      <c r="G745" s="229"/>
      <c r="H745" s="229"/>
      <c r="I745" s="229"/>
      <c r="J745" s="229"/>
      <c r="K745" s="218"/>
      <c r="L745" s="87"/>
      <c r="M745" s="87"/>
      <c r="N745" s="82"/>
      <c r="O745" s="82"/>
      <c r="P745" s="241"/>
      <c r="Q745" s="241"/>
      <c r="R745" s="82"/>
      <c r="S745" s="241"/>
      <c r="T745" s="82"/>
      <c r="U745" s="241"/>
      <c r="V745" s="82"/>
      <c r="W745" s="88"/>
      <c r="X745" s="82"/>
      <c r="Y745" s="89"/>
      <c r="Z745" s="82"/>
      <c r="AA745" s="90"/>
      <c r="AB745" s="241"/>
      <c r="AC745" s="241"/>
      <c r="AD745" s="241"/>
      <c r="AE745" s="82"/>
      <c r="AF745" s="82"/>
      <c r="AG745" s="90"/>
      <c r="AH745" s="90"/>
      <c r="AI745" s="90"/>
      <c r="AJ745" s="90"/>
      <c r="AK745" s="82"/>
      <c r="AL745" s="82" t="str" cm="1">
        <f t="array" aca="1" ref="AL745" ca="1">_xlfn.IFS(
 AND($AK745&lt;&gt;"", M745&lt;&gt;0, M745&lt;=EDATE(TODAY(),2)),"도래",
 AND($AK745&lt;&gt;"", M745&lt;&gt;0, M745&lt;=EDATE(TODAY(),3)),"예정",
 AND($AK745&lt;&gt;"", M745&lt;&gt;0, M745&lt;=EDATE(TODAY(),6)),"관심",
 TRUE,""
)</f>
        <v/>
      </c>
      <c r="AM745" s="86"/>
    </row>
    <row r="746" spans="1:39" ht="18" customHeight="1">
      <c r="A746" s="81"/>
      <c r="B746" s="205" t="str">
        <f>_xlfn.LET(_xlpm.var,◆관리정보!B746,IF(_xlpm.var&lt;&gt;0,_xlpm.var,""))</f>
        <v/>
      </c>
      <c r="C746" s="82" t="str">
        <f>_xlfn.LET(_xlpm.var,◆관리정보!C746,IF(_xlpm.var&lt;&gt;0,_xlpm.var,""))</f>
        <v/>
      </c>
      <c r="D746" s="83"/>
      <c r="E746" s="84" t="str">
        <f t="shared" si="24"/>
        <v/>
      </c>
      <c r="F746" s="87"/>
      <c r="G746" s="229"/>
      <c r="H746" s="229"/>
      <c r="I746" s="229"/>
      <c r="J746" s="229"/>
      <c r="K746" s="218"/>
      <c r="L746" s="87"/>
      <c r="M746" s="87"/>
      <c r="N746" s="82"/>
      <c r="O746" s="82"/>
      <c r="P746" s="241"/>
      <c r="Q746" s="241"/>
      <c r="R746" s="82"/>
      <c r="S746" s="241"/>
      <c r="T746" s="82"/>
      <c r="U746" s="241"/>
      <c r="V746" s="82"/>
      <c r="W746" s="88"/>
      <c r="X746" s="82"/>
      <c r="Y746" s="89"/>
      <c r="Z746" s="82"/>
      <c r="AA746" s="90"/>
      <c r="AB746" s="241"/>
      <c r="AC746" s="241"/>
      <c r="AD746" s="241"/>
      <c r="AE746" s="82"/>
      <c r="AF746" s="82"/>
      <c r="AG746" s="90"/>
      <c r="AH746" s="90"/>
      <c r="AI746" s="90"/>
      <c r="AJ746" s="90"/>
      <c r="AK746" s="82"/>
      <c r="AL746" s="82" t="str" cm="1">
        <f t="array" aca="1" ref="AL746" ca="1">_xlfn.IFS(
 AND($AK746&lt;&gt;"", M746&lt;&gt;0, M746&lt;=EDATE(TODAY(),2)),"도래",
 AND($AK746&lt;&gt;"", M746&lt;&gt;0, M746&lt;=EDATE(TODAY(),3)),"예정",
 AND($AK746&lt;&gt;"", M746&lt;&gt;0, M746&lt;=EDATE(TODAY(),6)),"관심",
 TRUE,""
)</f>
        <v/>
      </c>
      <c r="AM746" s="86"/>
    </row>
    <row r="747" spans="1:39" ht="18" customHeight="1">
      <c r="A747" s="81"/>
      <c r="B747" s="205" t="str">
        <f>_xlfn.LET(_xlpm.var,◆관리정보!B747,IF(_xlpm.var&lt;&gt;0,_xlpm.var,""))</f>
        <v/>
      </c>
      <c r="C747" s="82" t="str">
        <f>_xlfn.LET(_xlpm.var,◆관리정보!C747,IF(_xlpm.var&lt;&gt;0,_xlpm.var,""))</f>
        <v/>
      </c>
      <c r="D747" s="83"/>
      <c r="E747" s="84" t="str">
        <f t="shared" si="24"/>
        <v/>
      </c>
      <c r="F747" s="87"/>
      <c r="G747" s="229"/>
      <c r="H747" s="229"/>
      <c r="I747" s="229"/>
      <c r="J747" s="229"/>
      <c r="K747" s="218"/>
      <c r="L747" s="87"/>
      <c r="M747" s="87"/>
      <c r="N747" s="82"/>
      <c r="O747" s="82"/>
      <c r="P747" s="241"/>
      <c r="Q747" s="241"/>
      <c r="R747" s="82"/>
      <c r="S747" s="241"/>
      <c r="T747" s="82"/>
      <c r="U747" s="241"/>
      <c r="V747" s="82"/>
      <c r="W747" s="88"/>
      <c r="X747" s="82"/>
      <c r="Y747" s="89"/>
      <c r="Z747" s="82"/>
      <c r="AA747" s="90"/>
      <c r="AB747" s="241"/>
      <c r="AC747" s="241"/>
      <c r="AD747" s="241"/>
      <c r="AE747" s="82"/>
      <c r="AF747" s="82"/>
      <c r="AG747" s="90"/>
      <c r="AH747" s="90"/>
      <c r="AI747" s="90"/>
      <c r="AJ747" s="90"/>
      <c r="AK747" s="82"/>
      <c r="AL747" s="82" t="str" cm="1">
        <f t="array" aca="1" ref="AL747" ca="1">_xlfn.IFS(
 AND($AK747&lt;&gt;"", M747&lt;&gt;0, M747&lt;=EDATE(TODAY(),2)),"도래",
 AND($AK747&lt;&gt;"", M747&lt;&gt;0, M747&lt;=EDATE(TODAY(),3)),"예정",
 AND($AK747&lt;&gt;"", M747&lt;&gt;0, M747&lt;=EDATE(TODAY(),6)),"관심",
 TRUE,""
)</f>
        <v/>
      </c>
      <c r="AM747" s="86"/>
    </row>
    <row r="748" spans="1:39" ht="18" customHeight="1">
      <c r="A748" s="81"/>
      <c r="B748" s="205" t="str">
        <f>_xlfn.LET(_xlpm.var,◆관리정보!B748,IF(_xlpm.var&lt;&gt;0,_xlpm.var,""))</f>
        <v/>
      </c>
      <c r="C748" s="82" t="str">
        <f>_xlfn.LET(_xlpm.var,◆관리정보!C748,IF(_xlpm.var&lt;&gt;0,_xlpm.var,""))</f>
        <v/>
      </c>
      <c r="D748" s="83"/>
      <c r="E748" s="84" t="str">
        <f t="shared" si="24"/>
        <v/>
      </c>
      <c r="F748" s="87"/>
      <c r="G748" s="229"/>
      <c r="H748" s="229"/>
      <c r="I748" s="229"/>
      <c r="J748" s="229"/>
      <c r="K748" s="218"/>
      <c r="L748" s="87"/>
      <c r="M748" s="87"/>
      <c r="N748" s="82"/>
      <c r="O748" s="82"/>
      <c r="P748" s="241"/>
      <c r="Q748" s="241"/>
      <c r="R748" s="82"/>
      <c r="S748" s="241"/>
      <c r="T748" s="82"/>
      <c r="U748" s="241"/>
      <c r="V748" s="82"/>
      <c r="W748" s="88"/>
      <c r="X748" s="82"/>
      <c r="Y748" s="89"/>
      <c r="Z748" s="82"/>
      <c r="AA748" s="90"/>
      <c r="AB748" s="241"/>
      <c r="AC748" s="241"/>
      <c r="AD748" s="241"/>
      <c r="AE748" s="82"/>
      <c r="AF748" s="82"/>
      <c r="AG748" s="90"/>
      <c r="AH748" s="90"/>
      <c r="AI748" s="90"/>
      <c r="AJ748" s="90"/>
      <c r="AK748" s="82"/>
      <c r="AL748" s="82" t="str" cm="1">
        <f t="array" aca="1" ref="AL748" ca="1">_xlfn.IFS(
 AND($AK748&lt;&gt;"", M748&lt;&gt;0, M748&lt;=EDATE(TODAY(),2)),"도래",
 AND($AK748&lt;&gt;"", M748&lt;&gt;0, M748&lt;=EDATE(TODAY(),3)),"예정",
 AND($AK748&lt;&gt;"", M748&lt;&gt;0, M748&lt;=EDATE(TODAY(),6)),"관심",
 TRUE,""
)</f>
        <v/>
      </c>
      <c r="AM748" s="86"/>
    </row>
    <row r="749" spans="1:39" ht="18" customHeight="1">
      <c r="A749" s="81"/>
      <c r="B749" s="205" t="str">
        <f>_xlfn.LET(_xlpm.var,◆관리정보!B749,IF(_xlpm.var&lt;&gt;0,_xlpm.var,""))</f>
        <v/>
      </c>
      <c r="C749" s="82" t="str">
        <f>_xlfn.LET(_xlpm.var,◆관리정보!C749,IF(_xlpm.var&lt;&gt;0,_xlpm.var,""))</f>
        <v/>
      </c>
      <c r="D749" s="83"/>
      <c r="E749" s="84" t="str">
        <f t="shared" si="24"/>
        <v/>
      </c>
      <c r="F749" s="87"/>
      <c r="G749" s="229"/>
      <c r="H749" s="229"/>
      <c r="I749" s="229"/>
      <c r="J749" s="229"/>
      <c r="K749" s="218"/>
      <c r="L749" s="87"/>
      <c r="M749" s="87"/>
      <c r="N749" s="82"/>
      <c r="O749" s="82"/>
      <c r="P749" s="241"/>
      <c r="Q749" s="241"/>
      <c r="R749" s="82"/>
      <c r="S749" s="241"/>
      <c r="T749" s="82"/>
      <c r="U749" s="241"/>
      <c r="V749" s="82"/>
      <c r="W749" s="88"/>
      <c r="X749" s="82"/>
      <c r="Y749" s="89"/>
      <c r="Z749" s="82"/>
      <c r="AA749" s="90"/>
      <c r="AB749" s="241"/>
      <c r="AC749" s="241"/>
      <c r="AD749" s="241"/>
      <c r="AE749" s="82"/>
      <c r="AF749" s="82"/>
      <c r="AG749" s="90"/>
      <c r="AH749" s="90"/>
      <c r="AI749" s="90"/>
      <c r="AJ749" s="90"/>
      <c r="AK749" s="82"/>
      <c r="AL749" s="82" t="str" cm="1">
        <f t="array" aca="1" ref="AL749" ca="1">_xlfn.IFS(
 AND($AK749&lt;&gt;"", M749&lt;&gt;0, M749&lt;=EDATE(TODAY(),2)),"도래",
 AND($AK749&lt;&gt;"", M749&lt;&gt;0, M749&lt;=EDATE(TODAY(),3)),"예정",
 AND($AK749&lt;&gt;"", M749&lt;&gt;0, M749&lt;=EDATE(TODAY(),6)),"관심",
 TRUE,""
)</f>
        <v/>
      </c>
      <c r="AM749" s="86"/>
    </row>
    <row r="750" spans="1:39" ht="18" customHeight="1">
      <c r="A750" s="81"/>
      <c r="B750" s="205" t="str">
        <f>_xlfn.LET(_xlpm.var,◆관리정보!B750,IF(_xlpm.var&lt;&gt;0,_xlpm.var,""))</f>
        <v/>
      </c>
      <c r="C750" s="82" t="str">
        <f>_xlfn.LET(_xlpm.var,◆관리정보!C750,IF(_xlpm.var&lt;&gt;0,_xlpm.var,""))</f>
        <v/>
      </c>
      <c r="D750" s="83"/>
      <c r="E750" s="84" t="str">
        <f t="shared" si="24"/>
        <v/>
      </c>
      <c r="F750" s="87"/>
      <c r="G750" s="229"/>
      <c r="H750" s="229"/>
      <c r="I750" s="229"/>
      <c r="J750" s="229"/>
      <c r="K750" s="218"/>
      <c r="L750" s="87"/>
      <c r="M750" s="87"/>
      <c r="N750" s="82"/>
      <c r="O750" s="82"/>
      <c r="P750" s="241"/>
      <c r="Q750" s="241"/>
      <c r="R750" s="82"/>
      <c r="S750" s="241"/>
      <c r="T750" s="82"/>
      <c r="U750" s="241"/>
      <c r="V750" s="82"/>
      <c r="W750" s="88"/>
      <c r="X750" s="82"/>
      <c r="Y750" s="89"/>
      <c r="Z750" s="82"/>
      <c r="AA750" s="90"/>
      <c r="AB750" s="241"/>
      <c r="AC750" s="241"/>
      <c r="AD750" s="241"/>
      <c r="AE750" s="82"/>
      <c r="AF750" s="82"/>
      <c r="AG750" s="90"/>
      <c r="AH750" s="90"/>
      <c r="AI750" s="90"/>
      <c r="AJ750" s="90"/>
      <c r="AK750" s="82"/>
      <c r="AL750" s="82" t="str" cm="1">
        <f t="array" aca="1" ref="AL750" ca="1">_xlfn.IFS(
 AND($AK750&lt;&gt;"", M750&lt;&gt;0, M750&lt;=EDATE(TODAY(),2)),"도래",
 AND($AK750&lt;&gt;"", M750&lt;&gt;0, M750&lt;=EDATE(TODAY(),3)),"예정",
 AND($AK750&lt;&gt;"", M750&lt;&gt;0, M750&lt;=EDATE(TODAY(),6)),"관심",
 TRUE,""
)</f>
        <v/>
      </c>
      <c r="AM750" s="86"/>
    </row>
    <row r="751" spans="1:39" ht="18" customHeight="1">
      <c r="A751" s="81"/>
      <c r="B751" s="205" t="str">
        <f>_xlfn.LET(_xlpm.var,◆관리정보!B751,IF(_xlpm.var&lt;&gt;0,_xlpm.var,""))</f>
        <v/>
      </c>
      <c r="C751" s="82" t="str">
        <f>_xlfn.LET(_xlpm.var,◆관리정보!C751,IF(_xlpm.var&lt;&gt;0,_xlpm.var,""))</f>
        <v/>
      </c>
      <c r="D751" s="83"/>
      <c r="E751" s="84" t="str">
        <f t="shared" si="24"/>
        <v/>
      </c>
      <c r="F751" s="87"/>
      <c r="G751" s="229"/>
      <c r="H751" s="229"/>
      <c r="I751" s="229"/>
      <c r="J751" s="229"/>
      <c r="K751" s="218"/>
      <c r="L751" s="87"/>
      <c r="M751" s="87"/>
      <c r="N751" s="82"/>
      <c r="O751" s="82"/>
      <c r="P751" s="241"/>
      <c r="Q751" s="241"/>
      <c r="R751" s="82"/>
      <c r="S751" s="241"/>
      <c r="T751" s="82"/>
      <c r="U751" s="241"/>
      <c r="V751" s="82"/>
      <c r="W751" s="88"/>
      <c r="X751" s="82"/>
      <c r="Y751" s="89"/>
      <c r="Z751" s="82"/>
      <c r="AA751" s="90"/>
      <c r="AB751" s="241"/>
      <c r="AC751" s="241"/>
      <c r="AD751" s="241"/>
      <c r="AE751" s="82"/>
      <c r="AF751" s="82"/>
      <c r="AG751" s="90"/>
      <c r="AH751" s="90"/>
      <c r="AI751" s="90"/>
      <c r="AJ751" s="90"/>
      <c r="AK751" s="82"/>
      <c r="AL751" s="82" t="str" cm="1">
        <f t="array" aca="1" ref="AL751" ca="1">_xlfn.IFS(
 AND($AK751&lt;&gt;"", M751&lt;&gt;0, M751&lt;=EDATE(TODAY(),2)),"도래",
 AND($AK751&lt;&gt;"", M751&lt;&gt;0, M751&lt;=EDATE(TODAY(),3)),"예정",
 AND($AK751&lt;&gt;"", M751&lt;&gt;0, M751&lt;=EDATE(TODAY(),6)),"관심",
 TRUE,""
)</f>
        <v/>
      </c>
      <c r="AM751" s="86"/>
    </row>
    <row r="752" spans="1:39" ht="18" customHeight="1">
      <c r="A752" s="81"/>
      <c r="B752" s="205" t="str">
        <f>_xlfn.LET(_xlpm.var,◆관리정보!B752,IF(_xlpm.var&lt;&gt;0,_xlpm.var,""))</f>
        <v/>
      </c>
      <c r="C752" s="82" t="str">
        <f>_xlfn.LET(_xlpm.var,◆관리정보!C752,IF(_xlpm.var&lt;&gt;0,_xlpm.var,""))</f>
        <v/>
      </c>
      <c r="D752" s="83"/>
      <c r="E752" s="84" t="str">
        <f t="shared" si="24"/>
        <v/>
      </c>
      <c r="F752" s="87"/>
      <c r="G752" s="229"/>
      <c r="H752" s="229"/>
      <c r="I752" s="229"/>
      <c r="J752" s="229"/>
      <c r="K752" s="218"/>
      <c r="L752" s="87"/>
      <c r="M752" s="87"/>
      <c r="N752" s="82"/>
      <c r="O752" s="82"/>
      <c r="P752" s="241"/>
      <c r="Q752" s="241"/>
      <c r="R752" s="82"/>
      <c r="S752" s="241"/>
      <c r="T752" s="82"/>
      <c r="U752" s="241"/>
      <c r="V752" s="82"/>
      <c r="W752" s="88"/>
      <c r="X752" s="82"/>
      <c r="Y752" s="89"/>
      <c r="Z752" s="82"/>
      <c r="AA752" s="90"/>
      <c r="AB752" s="241"/>
      <c r="AC752" s="241"/>
      <c r="AD752" s="241"/>
      <c r="AE752" s="82"/>
      <c r="AF752" s="82"/>
      <c r="AG752" s="90"/>
      <c r="AH752" s="90"/>
      <c r="AI752" s="90"/>
      <c r="AJ752" s="90"/>
      <c r="AK752" s="82"/>
      <c r="AL752" s="82" t="str" cm="1">
        <f t="array" aca="1" ref="AL752" ca="1">_xlfn.IFS(
 AND($AK752&lt;&gt;"", M752&lt;&gt;0, M752&lt;=EDATE(TODAY(),2)),"도래",
 AND($AK752&lt;&gt;"", M752&lt;&gt;0, M752&lt;=EDATE(TODAY(),3)),"예정",
 AND($AK752&lt;&gt;"", M752&lt;&gt;0, M752&lt;=EDATE(TODAY(),6)),"관심",
 TRUE,""
)</f>
        <v/>
      </c>
      <c r="AM752" s="86"/>
    </row>
    <row r="753" spans="1:39" ht="18" customHeight="1">
      <c r="A753" s="81"/>
      <c r="B753" s="205" t="str">
        <f>_xlfn.LET(_xlpm.var,◆관리정보!B753,IF(_xlpm.var&lt;&gt;0,_xlpm.var,""))</f>
        <v/>
      </c>
      <c r="C753" s="82" t="str">
        <f>_xlfn.LET(_xlpm.var,◆관리정보!C753,IF(_xlpm.var&lt;&gt;0,_xlpm.var,""))</f>
        <v/>
      </c>
      <c r="D753" s="83"/>
      <c r="E753" s="84" t="str">
        <f t="shared" si="24"/>
        <v/>
      </c>
      <c r="F753" s="87"/>
      <c r="G753" s="229"/>
      <c r="H753" s="229"/>
      <c r="I753" s="229"/>
      <c r="J753" s="229"/>
      <c r="K753" s="218"/>
      <c r="L753" s="87"/>
      <c r="M753" s="87"/>
      <c r="N753" s="82"/>
      <c r="O753" s="82"/>
      <c r="P753" s="241"/>
      <c r="Q753" s="241"/>
      <c r="R753" s="82"/>
      <c r="S753" s="241"/>
      <c r="T753" s="82"/>
      <c r="U753" s="241"/>
      <c r="V753" s="82"/>
      <c r="W753" s="88"/>
      <c r="X753" s="82"/>
      <c r="Y753" s="89"/>
      <c r="Z753" s="82"/>
      <c r="AA753" s="90"/>
      <c r="AB753" s="241"/>
      <c r="AC753" s="241"/>
      <c r="AD753" s="241"/>
      <c r="AE753" s="82"/>
      <c r="AF753" s="82"/>
      <c r="AG753" s="90"/>
      <c r="AH753" s="90"/>
      <c r="AI753" s="90"/>
      <c r="AJ753" s="90"/>
      <c r="AK753" s="82"/>
      <c r="AL753" s="82" t="str" cm="1">
        <f t="array" aca="1" ref="AL753" ca="1">_xlfn.IFS(
 AND($AK753&lt;&gt;"", M753&lt;&gt;0, M753&lt;=EDATE(TODAY(),2)),"도래",
 AND($AK753&lt;&gt;"", M753&lt;&gt;0, M753&lt;=EDATE(TODAY(),3)),"예정",
 AND($AK753&lt;&gt;"", M753&lt;&gt;0, M753&lt;=EDATE(TODAY(),6)),"관심",
 TRUE,""
)</f>
        <v/>
      </c>
      <c r="AM753" s="86"/>
    </row>
    <row r="754" spans="1:39" ht="18" customHeight="1">
      <c r="A754" s="81"/>
      <c r="B754" s="205" t="str">
        <f>_xlfn.LET(_xlpm.var,◆관리정보!B754,IF(_xlpm.var&lt;&gt;0,_xlpm.var,""))</f>
        <v/>
      </c>
      <c r="C754" s="82" t="str">
        <f>_xlfn.LET(_xlpm.var,◆관리정보!C754,IF(_xlpm.var&lt;&gt;0,_xlpm.var,""))</f>
        <v/>
      </c>
      <c r="D754" s="83"/>
      <c r="E754" s="84" t="str">
        <f t="shared" si="24"/>
        <v/>
      </c>
      <c r="F754" s="87"/>
      <c r="G754" s="229"/>
      <c r="H754" s="229"/>
      <c r="I754" s="229"/>
      <c r="J754" s="229"/>
      <c r="K754" s="218"/>
      <c r="L754" s="87"/>
      <c r="M754" s="87"/>
      <c r="N754" s="82"/>
      <c r="O754" s="82"/>
      <c r="P754" s="241"/>
      <c r="Q754" s="241"/>
      <c r="R754" s="82"/>
      <c r="S754" s="241"/>
      <c r="T754" s="82"/>
      <c r="U754" s="241"/>
      <c r="V754" s="82"/>
      <c r="W754" s="88"/>
      <c r="X754" s="82"/>
      <c r="Y754" s="89"/>
      <c r="Z754" s="82"/>
      <c r="AA754" s="90"/>
      <c r="AB754" s="241"/>
      <c r="AC754" s="241"/>
      <c r="AD754" s="241"/>
      <c r="AE754" s="82"/>
      <c r="AF754" s="82"/>
      <c r="AG754" s="90"/>
      <c r="AH754" s="90"/>
      <c r="AI754" s="90"/>
      <c r="AJ754" s="90"/>
      <c r="AK754" s="82"/>
      <c r="AL754" s="82" t="str" cm="1">
        <f t="array" aca="1" ref="AL754" ca="1">_xlfn.IFS(
 AND($AK754&lt;&gt;"", M754&lt;&gt;0, M754&lt;=EDATE(TODAY(),2)),"도래",
 AND($AK754&lt;&gt;"", M754&lt;&gt;0, M754&lt;=EDATE(TODAY(),3)),"예정",
 AND($AK754&lt;&gt;"", M754&lt;&gt;0, M754&lt;=EDATE(TODAY(),6)),"관심",
 TRUE,""
)</f>
        <v/>
      </c>
      <c r="AM754" s="86"/>
    </row>
    <row r="755" spans="1:39" ht="18" customHeight="1">
      <c r="A755" s="81"/>
      <c r="B755" s="205" t="str">
        <f>_xlfn.LET(_xlpm.var,◆관리정보!B755,IF(_xlpm.var&lt;&gt;0,_xlpm.var,""))</f>
        <v/>
      </c>
      <c r="C755" s="82" t="str">
        <f>_xlfn.LET(_xlpm.var,◆관리정보!C755,IF(_xlpm.var&lt;&gt;0,_xlpm.var,""))</f>
        <v/>
      </c>
      <c r="D755" s="83"/>
      <c r="E755" s="84" t="str">
        <f t="shared" si="24"/>
        <v/>
      </c>
      <c r="F755" s="87"/>
      <c r="G755" s="229"/>
      <c r="H755" s="229"/>
      <c r="I755" s="229"/>
      <c r="J755" s="229"/>
      <c r="K755" s="218"/>
      <c r="L755" s="87"/>
      <c r="M755" s="87"/>
      <c r="N755" s="82"/>
      <c r="O755" s="82"/>
      <c r="P755" s="241"/>
      <c r="Q755" s="241"/>
      <c r="R755" s="82"/>
      <c r="S755" s="241"/>
      <c r="T755" s="82"/>
      <c r="U755" s="241"/>
      <c r="V755" s="82"/>
      <c r="W755" s="88"/>
      <c r="X755" s="82"/>
      <c r="Y755" s="89"/>
      <c r="Z755" s="82"/>
      <c r="AA755" s="90"/>
      <c r="AB755" s="241"/>
      <c r="AC755" s="241"/>
      <c r="AD755" s="241"/>
      <c r="AE755" s="82"/>
      <c r="AF755" s="82"/>
      <c r="AG755" s="90"/>
      <c r="AH755" s="90"/>
      <c r="AI755" s="90"/>
      <c r="AJ755" s="90"/>
      <c r="AK755" s="82"/>
      <c r="AL755" s="82" t="str" cm="1">
        <f t="array" aca="1" ref="AL755" ca="1">_xlfn.IFS(
 AND($AK755&lt;&gt;"", M755&lt;&gt;0, M755&lt;=EDATE(TODAY(),2)),"도래",
 AND($AK755&lt;&gt;"", M755&lt;&gt;0, M755&lt;=EDATE(TODAY(),3)),"예정",
 AND($AK755&lt;&gt;"", M755&lt;&gt;0, M755&lt;=EDATE(TODAY(),6)),"관심",
 TRUE,""
)</f>
        <v/>
      </c>
      <c r="AM755" s="86"/>
    </row>
    <row r="756" spans="1:39" ht="18" customHeight="1">
      <c r="A756" s="81"/>
      <c r="B756" s="205" t="str">
        <f>_xlfn.LET(_xlpm.var,◆관리정보!B756,IF(_xlpm.var&lt;&gt;0,_xlpm.var,""))</f>
        <v/>
      </c>
      <c r="C756" s="82" t="str">
        <f>_xlfn.LET(_xlpm.var,◆관리정보!C756,IF(_xlpm.var&lt;&gt;0,_xlpm.var,""))</f>
        <v/>
      </c>
      <c r="D756" s="83"/>
      <c r="E756" s="84" t="str">
        <f t="shared" si="24"/>
        <v/>
      </c>
      <c r="F756" s="87"/>
      <c r="G756" s="229"/>
      <c r="H756" s="229"/>
      <c r="I756" s="229"/>
      <c r="J756" s="229"/>
      <c r="K756" s="218"/>
      <c r="L756" s="87"/>
      <c r="M756" s="87"/>
      <c r="N756" s="82"/>
      <c r="O756" s="82"/>
      <c r="P756" s="241"/>
      <c r="Q756" s="241"/>
      <c r="R756" s="82"/>
      <c r="S756" s="241"/>
      <c r="T756" s="82"/>
      <c r="U756" s="241"/>
      <c r="V756" s="82"/>
      <c r="W756" s="88"/>
      <c r="X756" s="82"/>
      <c r="Y756" s="89"/>
      <c r="Z756" s="82"/>
      <c r="AA756" s="90"/>
      <c r="AB756" s="241"/>
      <c r="AC756" s="241"/>
      <c r="AD756" s="241"/>
      <c r="AE756" s="82"/>
      <c r="AF756" s="82"/>
      <c r="AG756" s="90"/>
      <c r="AH756" s="90"/>
      <c r="AI756" s="90"/>
      <c r="AJ756" s="90"/>
      <c r="AK756" s="82"/>
      <c r="AL756" s="82" t="str" cm="1">
        <f t="array" aca="1" ref="AL756" ca="1">_xlfn.IFS(
 AND($AK756&lt;&gt;"", M756&lt;&gt;0, M756&lt;=EDATE(TODAY(),2)),"도래",
 AND($AK756&lt;&gt;"", M756&lt;&gt;0, M756&lt;=EDATE(TODAY(),3)),"예정",
 AND($AK756&lt;&gt;"", M756&lt;&gt;0, M756&lt;=EDATE(TODAY(),6)),"관심",
 TRUE,""
)</f>
        <v/>
      </c>
      <c r="AM756" s="86"/>
    </row>
    <row r="757" spans="1:39" ht="18" customHeight="1">
      <c r="A757" s="81"/>
      <c r="B757" s="205" t="str">
        <f>_xlfn.LET(_xlpm.var,◆관리정보!B757,IF(_xlpm.var&lt;&gt;0,_xlpm.var,""))</f>
        <v/>
      </c>
      <c r="C757" s="82" t="str">
        <f>_xlfn.LET(_xlpm.var,◆관리정보!C757,IF(_xlpm.var&lt;&gt;0,_xlpm.var,""))</f>
        <v/>
      </c>
      <c r="D757" s="83"/>
      <c r="E757" s="84" t="str">
        <f t="shared" si="24"/>
        <v/>
      </c>
      <c r="F757" s="87"/>
      <c r="G757" s="229"/>
      <c r="H757" s="229"/>
      <c r="I757" s="229"/>
      <c r="J757" s="229"/>
      <c r="K757" s="218"/>
      <c r="L757" s="87"/>
      <c r="M757" s="87"/>
      <c r="N757" s="82"/>
      <c r="O757" s="82"/>
      <c r="P757" s="241"/>
      <c r="Q757" s="241"/>
      <c r="R757" s="82"/>
      <c r="S757" s="241"/>
      <c r="T757" s="82"/>
      <c r="U757" s="241"/>
      <c r="V757" s="82"/>
      <c r="W757" s="88"/>
      <c r="X757" s="82"/>
      <c r="Y757" s="89"/>
      <c r="Z757" s="82"/>
      <c r="AA757" s="90"/>
      <c r="AB757" s="241"/>
      <c r="AC757" s="241"/>
      <c r="AD757" s="241"/>
      <c r="AE757" s="82"/>
      <c r="AF757" s="82"/>
      <c r="AG757" s="90"/>
      <c r="AH757" s="90"/>
      <c r="AI757" s="90"/>
      <c r="AJ757" s="90"/>
      <c r="AK757" s="82"/>
      <c r="AL757" s="82" t="str" cm="1">
        <f t="array" aca="1" ref="AL757" ca="1">_xlfn.IFS(
 AND($AK757&lt;&gt;"", M757&lt;&gt;0, M757&lt;=EDATE(TODAY(),2)),"도래",
 AND($AK757&lt;&gt;"", M757&lt;&gt;0, M757&lt;=EDATE(TODAY(),3)),"예정",
 AND($AK757&lt;&gt;"", M757&lt;&gt;0, M757&lt;=EDATE(TODAY(),6)),"관심",
 TRUE,""
)</f>
        <v/>
      </c>
      <c r="AM757" s="86"/>
    </row>
    <row r="758" spans="1:39" ht="18" customHeight="1">
      <c r="A758" s="81"/>
      <c r="B758" s="205" t="str">
        <f>_xlfn.LET(_xlpm.var,◆관리정보!B758,IF(_xlpm.var&lt;&gt;0,_xlpm.var,""))</f>
        <v/>
      </c>
      <c r="C758" s="82" t="str">
        <f>_xlfn.LET(_xlpm.var,◆관리정보!C758,IF(_xlpm.var&lt;&gt;0,_xlpm.var,""))</f>
        <v/>
      </c>
      <c r="D758" s="83"/>
      <c r="E758" s="84" t="str">
        <f t="shared" si="24"/>
        <v/>
      </c>
      <c r="F758" s="87"/>
      <c r="G758" s="229"/>
      <c r="H758" s="229"/>
      <c r="I758" s="229"/>
      <c r="J758" s="229"/>
      <c r="K758" s="218"/>
      <c r="L758" s="87"/>
      <c r="M758" s="87"/>
      <c r="N758" s="82"/>
      <c r="O758" s="82"/>
      <c r="P758" s="241"/>
      <c r="Q758" s="241"/>
      <c r="R758" s="82"/>
      <c r="S758" s="241"/>
      <c r="T758" s="82"/>
      <c r="U758" s="241"/>
      <c r="V758" s="82"/>
      <c r="W758" s="88"/>
      <c r="X758" s="82"/>
      <c r="Y758" s="89"/>
      <c r="Z758" s="82"/>
      <c r="AA758" s="90"/>
      <c r="AB758" s="241"/>
      <c r="AC758" s="241"/>
      <c r="AD758" s="241"/>
      <c r="AE758" s="82"/>
      <c r="AF758" s="82"/>
      <c r="AG758" s="90"/>
      <c r="AH758" s="90"/>
      <c r="AI758" s="90"/>
      <c r="AJ758" s="90"/>
      <c r="AK758" s="82"/>
      <c r="AL758" s="82" t="str" cm="1">
        <f t="array" aca="1" ref="AL758" ca="1">_xlfn.IFS(
 AND($AK758&lt;&gt;"", M758&lt;&gt;0, M758&lt;=EDATE(TODAY(),2)),"도래",
 AND($AK758&lt;&gt;"", M758&lt;&gt;0, M758&lt;=EDATE(TODAY(),3)),"예정",
 AND($AK758&lt;&gt;"", M758&lt;&gt;0, M758&lt;=EDATE(TODAY(),6)),"관심",
 TRUE,""
)</f>
        <v/>
      </c>
      <c r="AM758" s="86"/>
    </row>
    <row r="759" spans="1:39" ht="18" customHeight="1">
      <c r="A759" s="81"/>
      <c r="B759" s="205" t="str">
        <f>_xlfn.LET(_xlpm.var,◆관리정보!B759,IF(_xlpm.var&lt;&gt;0,_xlpm.var,""))</f>
        <v/>
      </c>
      <c r="C759" s="82" t="str">
        <f>_xlfn.LET(_xlpm.var,◆관리정보!C759,IF(_xlpm.var&lt;&gt;0,_xlpm.var,""))</f>
        <v/>
      </c>
      <c r="D759" s="83"/>
      <c r="E759" s="84" t="str">
        <f t="shared" si="24"/>
        <v/>
      </c>
      <c r="F759" s="87"/>
      <c r="G759" s="229"/>
      <c r="H759" s="229"/>
      <c r="I759" s="229"/>
      <c r="J759" s="229"/>
      <c r="K759" s="218"/>
      <c r="L759" s="87"/>
      <c r="M759" s="87"/>
      <c r="N759" s="82"/>
      <c r="O759" s="82"/>
      <c r="P759" s="241"/>
      <c r="Q759" s="241"/>
      <c r="R759" s="82"/>
      <c r="S759" s="241"/>
      <c r="T759" s="82"/>
      <c r="U759" s="241"/>
      <c r="V759" s="82"/>
      <c r="W759" s="88"/>
      <c r="X759" s="82"/>
      <c r="Y759" s="89"/>
      <c r="Z759" s="82"/>
      <c r="AA759" s="90"/>
      <c r="AB759" s="241"/>
      <c r="AC759" s="241"/>
      <c r="AD759" s="241"/>
      <c r="AE759" s="82"/>
      <c r="AF759" s="82"/>
      <c r="AG759" s="90"/>
      <c r="AH759" s="90"/>
      <c r="AI759" s="90"/>
      <c r="AJ759" s="90"/>
      <c r="AK759" s="82"/>
      <c r="AL759" s="82" t="str" cm="1">
        <f t="array" aca="1" ref="AL759" ca="1">_xlfn.IFS(
 AND($AK759&lt;&gt;"", M759&lt;&gt;0, M759&lt;=EDATE(TODAY(),2)),"도래",
 AND($AK759&lt;&gt;"", M759&lt;&gt;0, M759&lt;=EDATE(TODAY(),3)),"예정",
 AND($AK759&lt;&gt;"", M759&lt;&gt;0, M759&lt;=EDATE(TODAY(),6)),"관심",
 TRUE,""
)</f>
        <v/>
      </c>
      <c r="AM759" s="86"/>
    </row>
    <row r="760" spans="1:39" ht="18" customHeight="1">
      <c r="A760" s="81"/>
      <c r="B760" s="205" t="str">
        <f>_xlfn.LET(_xlpm.var,◆관리정보!B760,IF(_xlpm.var&lt;&gt;0,_xlpm.var,""))</f>
        <v/>
      </c>
      <c r="C760" s="82" t="str">
        <f>_xlfn.LET(_xlpm.var,◆관리정보!C760,IF(_xlpm.var&lt;&gt;0,_xlpm.var,""))</f>
        <v/>
      </c>
      <c r="D760" s="83"/>
      <c r="E760" s="84" t="str">
        <f t="shared" si="24"/>
        <v/>
      </c>
      <c r="F760" s="87"/>
      <c r="G760" s="229"/>
      <c r="H760" s="229"/>
      <c r="I760" s="229"/>
      <c r="J760" s="229"/>
      <c r="K760" s="218"/>
      <c r="L760" s="87"/>
      <c r="M760" s="87"/>
      <c r="N760" s="82"/>
      <c r="O760" s="82"/>
      <c r="P760" s="241"/>
      <c r="Q760" s="241"/>
      <c r="R760" s="82"/>
      <c r="S760" s="241"/>
      <c r="T760" s="82"/>
      <c r="U760" s="241"/>
      <c r="V760" s="82"/>
      <c r="W760" s="88"/>
      <c r="X760" s="82"/>
      <c r="Y760" s="89"/>
      <c r="Z760" s="82"/>
      <c r="AA760" s="90"/>
      <c r="AB760" s="241"/>
      <c r="AC760" s="241"/>
      <c r="AD760" s="241"/>
      <c r="AE760" s="82"/>
      <c r="AF760" s="82"/>
      <c r="AG760" s="90"/>
      <c r="AH760" s="90"/>
      <c r="AI760" s="90"/>
      <c r="AJ760" s="90"/>
      <c r="AK760" s="82"/>
      <c r="AL760" s="82" t="str" cm="1">
        <f t="array" aca="1" ref="AL760" ca="1">_xlfn.IFS(
 AND($AK760&lt;&gt;"", M760&lt;&gt;0, M760&lt;=EDATE(TODAY(),2)),"도래",
 AND($AK760&lt;&gt;"", M760&lt;&gt;0, M760&lt;=EDATE(TODAY(),3)),"예정",
 AND($AK760&lt;&gt;"", M760&lt;&gt;0, M760&lt;=EDATE(TODAY(),6)),"관심",
 TRUE,""
)</f>
        <v/>
      </c>
      <c r="AM760" s="86"/>
    </row>
    <row r="761" spans="1:39" ht="18" customHeight="1">
      <c r="A761" s="81"/>
      <c r="B761" s="205" t="str">
        <f>_xlfn.LET(_xlpm.var,◆관리정보!B761,IF(_xlpm.var&lt;&gt;0,_xlpm.var,""))</f>
        <v/>
      </c>
      <c r="C761" s="82" t="str">
        <f>_xlfn.LET(_xlpm.var,◆관리정보!C761,IF(_xlpm.var&lt;&gt;0,_xlpm.var,""))</f>
        <v/>
      </c>
      <c r="D761" s="83"/>
      <c r="E761" s="84" t="str">
        <f t="shared" si="24"/>
        <v/>
      </c>
      <c r="F761" s="87"/>
      <c r="G761" s="229"/>
      <c r="H761" s="229"/>
      <c r="I761" s="229"/>
      <c r="J761" s="229"/>
      <c r="K761" s="218"/>
      <c r="L761" s="87"/>
      <c r="M761" s="87"/>
      <c r="N761" s="82"/>
      <c r="O761" s="82"/>
      <c r="P761" s="241"/>
      <c r="Q761" s="241"/>
      <c r="R761" s="82"/>
      <c r="S761" s="241"/>
      <c r="T761" s="82"/>
      <c r="U761" s="241"/>
      <c r="V761" s="82"/>
      <c r="W761" s="88"/>
      <c r="X761" s="82"/>
      <c r="Y761" s="89"/>
      <c r="Z761" s="82"/>
      <c r="AA761" s="90"/>
      <c r="AB761" s="241"/>
      <c r="AC761" s="241"/>
      <c r="AD761" s="241"/>
      <c r="AE761" s="82"/>
      <c r="AF761" s="82"/>
      <c r="AG761" s="90"/>
      <c r="AH761" s="90"/>
      <c r="AI761" s="90"/>
      <c r="AJ761" s="90"/>
      <c r="AK761" s="82"/>
      <c r="AL761" s="82" t="str" cm="1">
        <f t="array" aca="1" ref="AL761" ca="1">_xlfn.IFS(
 AND($AK761&lt;&gt;"", M761&lt;&gt;0, M761&lt;=EDATE(TODAY(),2)),"도래",
 AND($AK761&lt;&gt;"", M761&lt;&gt;0, M761&lt;=EDATE(TODAY(),3)),"예정",
 AND($AK761&lt;&gt;"", M761&lt;&gt;0, M761&lt;=EDATE(TODAY(),6)),"관심",
 TRUE,""
)</f>
        <v/>
      </c>
      <c r="AM761" s="86"/>
    </row>
    <row r="762" spans="1:39" ht="18" customHeight="1">
      <c r="A762" s="81"/>
      <c r="B762" s="205" t="str">
        <f>_xlfn.LET(_xlpm.var,◆관리정보!B762,IF(_xlpm.var&lt;&gt;0,_xlpm.var,""))</f>
        <v/>
      </c>
      <c r="C762" s="82" t="str">
        <f>_xlfn.LET(_xlpm.var,◆관리정보!C762,IF(_xlpm.var&lt;&gt;0,_xlpm.var,""))</f>
        <v/>
      </c>
      <c r="D762" s="83"/>
      <c r="E762" s="84" t="str">
        <f t="shared" si="24"/>
        <v/>
      </c>
      <c r="F762" s="87"/>
      <c r="G762" s="229"/>
      <c r="H762" s="229"/>
      <c r="I762" s="229"/>
      <c r="J762" s="229"/>
      <c r="K762" s="218"/>
      <c r="L762" s="87"/>
      <c r="M762" s="87"/>
      <c r="N762" s="82"/>
      <c r="O762" s="82"/>
      <c r="P762" s="241"/>
      <c r="Q762" s="241"/>
      <c r="R762" s="82"/>
      <c r="S762" s="241"/>
      <c r="T762" s="82"/>
      <c r="U762" s="241"/>
      <c r="V762" s="82"/>
      <c r="W762" s="88"/>
      <c r="X762" s="82"/>
      <c r="Y762" s="89"/>
      <c r="Z762" s="82"/>
      <c r="AA762" s="90"/>
      <c r="AB762" s="241"/>
      <c r="AC762" s="241"/>
      <c r="AD762" s="241"/>
      <c r="AE762" s="82"/>
      <c r="AF762" s="82"/>
      <c r="AG762" s="90"/>
      <c r="AH762" s="90"/>
      <c r="AI762" s="90"/>
      <c r="AJ762" s="90"/>
      <c r="AK762" s="82"/>
      <c r="AL762" s="82" t="str" cm="1">
        <f t="array" aca="1" ref="AL762" ca="1">_xlfn.IFS(
 AND($AK762&lt;&gt;"", M762&lt;&gt;0, M762&lt;=EDATE(TODAY(),2)),"도래",
 AND($AK762&lt;&gt;"", M762&lt;&gt;0, M762&lt;=EDATE(TODAY(),3)),"예정",
 AND($AK762&lt;&gt;"", M762&lt;&gt;0, M762&lt;=EDATE(TODAY(),6)),"관심",
 TRUE,""
)</f>
        <v/>
      </c>
      <c r="AM762" s="86"/>
    </row>
    <row r="763" spans="1:39" ht="18" customHeight="1">
      <c r="A763" s="81"/>
      <c r="B763" s="205" t="str">
        <f>_xlfn.LET(_xlpm.var,◆관리정보!B763,IF(_xlpm.var&lt;&gt;0,_xlpm.var,""))</f>
        <v/>
      </c>
      <c r="C763" s="82" t="str">
        <f>_xlfn.LET(_xlpm.var,◆관리정보!C763,IF(_xlpm.var&lt;&gt;0,_xlpm.var,""))</f>
        <v/>
      </c>
      <c r="D763" s="83"/>
      <c r="E763" s="84" t="str">
        <f t="shared" si="24"/>
        <v/>
      </c>
      <c r="F763" s="87"/>
      <c r="G763" s="229"/>
      <c r="H763" s="229"/>
      <c r="I763" s="229"/>
      <c r="J763" s="229"/>
      <c r="K763" s="218"/>
      <c r="L763" s="87"/>
      <c r="M763" s="87"/>
      <c r="N763" s="82"/>
      <c r="O763" s="82"/>
      <c r="P763" s="241"/>
      <c r="Q763" s="241"/>
      <c r="R763" s="82"/>
      <c r="S763" s="241"/>
      <c r="T763" s="82"/>
      <c r="U763" s="241"/>
      <c r="V763" s="82"/>
      <c r="W763" s="88"/>
      <c r="X763" s="82"/>
      <c r="Y763" s="89"/>
      <c r="Z763" s="82"/>
      <c r="AA763" s="90"/>
      <c r="AB763" s="241"/>
      <c r="AC763" s="241"/>
      <c r="AD763" s="241"/>
      <c r="AE763" s="82"/>
      <c r="AF763" s="82"/>
      <c r="AG763" s="90"/>
      <c r="AH763" s="90"/>
      <c r="AI763" s="90"/>
      <c r="AJ763" s="90"/>
      <c r="AK763" s="82"/>
      <c r="AL763" s="82" t="str" cm="1">
        <f t="array" aca="1" ref="AL763" ca="1">_xlfn.IFS(
 AND($AK763&lt;&gt;"", M763&lt;&gt;0, M763&lt;=EDATE(TODAY(),2)),"도래",
 AND($AK763&lt;&gt;"", M763&lt;&gt;0, M763&lt;=EDATE(TODAY(),3)),"예정",
 AND($AK763&lt;&gt;"", M763&lt;&gt;0, M763&lt;=EDATE(TODAY(),6)),"관심",
 TRUE,""
)</f>
        <v/>
      </c>
      <c r="AM763" s="86"/>
    </row>
    <row r="764" spans="1:39" ht="18" customHeight="1">
      <c r="A764" s="81"/>
      <c r="B764" s="205" t="str">
        <f>_xlfn.LET(_xlpm.var,◆관리정보!B764,IF(_xlpm.var&lt;&gt;0,_xlpm.var,""))</f>
        <v/>
      </c>
      <c r="C764" s="82" t="str">
        <f>_xlfn.LET(_xlpm.var,◆관리정보!C764,IF(_xlpm.var&lt;&gt;0,_xlpm.var,""))</f>
        <v/>
      </c>
      <c r="D764" s="83"/>
      <c r="E764" s="84" t="str">
        <f t="shared" si="24"/>
        <v/>
      </c>
      <c r="F764" s="87"/>
      <c r="G764" s="229"/>
      <c r="H764" s="229"/>
      <c r="I764" s="229"/>
      <c r="J764" s="229"/>
      <c r="K764" s="218"/>
      <c r="L764" s="87"/>
      <c r="M764" s="87"/>
      <c r="N764" s="82"/>
      <c r="O764" s="82"/>
      <c r="P764" s="241"/>
      <c r="Q764" s="241"/>
      <c r="R764" s="82"/>
      <c r="S764" s="241"/>
      <c r="T764" s="82"/>
      <c r="U764" s="241"/>
      <c r="V764" s="82"/>
      <c r="W764" s="88"/>
      <c r="X764" s="82"/>
      <c r="Y764" s="89"/>
      <c r="Z764" s="82"/>
      <c r="AA764" s="90"/>
      <c r="AB764" s="241"/>
      <c r="AC764" s="241"/>
      <c r="AD764" s="241"/>
      <c r="AE764" s="82"/>
      <c r="AF764" s="82"/>
      <c r="AG764" s="90"/>
      <c r="AH764" s="90"/>
      <c r="AI764" s="90"/>
      <c r="AJ764" s="90"/>
      <c r="AK764" s="82"/>
      <c r="AL764" s="82" t="str" cm="1">
        <f t="array" aca="1" ref="AL764" ca="1">_xlfn.IFS(
 AND($AK764&lt;&gt;"", M764&lt;&gt;0, M764&lt;=EDATE(TODAY(),2)),"도래",
 AND($AK764&lt;&gt;"", M764&lt;&gt;0, M764&lt;=EDATE(TODAY(),3)),"예정",
 AND($AK764&lt;&gt;"", M764&lt;&gt;0, M764&lt;=EDATE(TODAY(),6)),"관심",
 TRUE,""
)</f>
        <v/>
      </c>
      <c r="AM764" s="86"/>
    </row>
    <row r="765" spans="1:39" ht="18" customHeight="1">
      <c r="A765" s="81"/>
      <c r="B765" s="205" t="str">
        <f>_xlfn.LET(_xlpm.var,◆관리정보!B765,IF(_xlpm.var&lt;&gt;0,_xlpm.var,""))</f>
        <v/>
      </c>
      <c r="C765" s="82" t="str">
        <f>_xlfn.LET(_xlpm.var,◆관리정보!C765,IF(_xlpm.var&lt;&gt;0,_xlpm.var,""))</f>
        <v/>
      </c>
      <c r="D765" s="83"/>
      <c r="E765" s="84" t="str">
        <f t="shared" si="24"/>
        <v/>
      </c>
      <c r="F765" s="87"/>
      <c r="G765" s="229"/>
      <c r="H765" s="229"/>
      <c r="I765" s="229"/>
      <c r="J765" s="229"/>
      <c r="K765" s="218"/>
      <c r="L765" s="87"/>
      <c r="M765" s="87"/>
      <c r="N765" s="82"/>
      <c r="O765" s="82"/>
      <c r="P765" s="241"/>
      <c r="Q765" s="241"/>
      <c r="R765" s="82"/>
      <c r="S765" s="241"/>
      <c r="T765" s="82"/>
      <c r="U765" s="241"/>
      <c r="V765" s="82"/>
      <c r="W765" s="88"/>
      <c r="X765" s="82"/>
      <c r="Y765" s="89"/>
      <c r="Z765" s="82"/>
      <c r="AA765" s="90"/>
      <c r="AB765" s="241"/>
      <c r="AC765" s="241"/>
      <c r="AD765" s="241"/>
      <c r="AE765" s="82"/>
      <c r="AF765" s="82"/>
      <c r="AG765" s="90"/>
      <c r="AH765" s="90"/>
      <c r="AI765" s="90"/>
      <c r="AJ765" s="90"/>
      <c r="AK765" s="82"/>
      <c r="AL765" s="82" t="str" cm="1">
        <f t="array" aca="1" ref="AL765" ca="1">_xlfn.IFS(
 AND($AK765&lt;&gt;"", M765&lt;&gt;0, M765&lt;=EDATE(TODAY(),2)),"도래",
 AND($AK765&lt;&gt;"", M765&lt;&gt;0, M765&lt;=EDATE(TODAY(),3)),"예정",
 AND($AK765&lt;&gt;"", M765&lt;&gt;0, M765&lt;=EDATE(TODAY(),6)),"관심",
 TRUE,""
)</f>
        <v/>
      </c>
      <c r="AM765" s="86"/>
    </row>
    <row r="766" spans="1:39" ht="18" customHeight="1">
      <c r="A766" s="81"/>
      <c r="B766" s="205" t="str">
        <f>_xlfn.LET(_xlpm.var,◆관리정보!B766,IF(_xlpm.var&lt;&gt;0,_xlpm.var,""))</f>
        <v/>
      </c>
      <c r="C766" s="82" t="str">
        <f>_xlfn.LET(_xlpm.var,◆관리정보!C766,IF(_xlpm.var&lt;&gt;0,_xlpm.var,""))</f>
        <v/>
      </c>
      <c r="D766" s="83"/>
      <c r="E766" s="84" t="str">
        <f t="shared" si="24"/>
        <v/>
      </c>
      <c r="F766" s="87"/>
      <c r="G766" s="229"/>
      <c r="H766" s="229"/>
      <c r="I766" s="229"/>
      <c r="J766" s="229"/>
      <c r="K766" s="218"/>
      <c r="L766" s="87"/>
      <c r="M766" s="87"/>
      <c r="N766" s="82"/>
      <c r="O766" s="82"/>
      <c r="P766" s="241"/>
      <c r="Q766" s="241"/>
      <c r="R766" s="82"/>
      <c r="S766" s="241"/>
      <c r="T766" s="82"/>
      <c r="U766" s="241"/>
      <c r="V766" s="82"/>
      <c r="W766" s="88"/>
      <c r="X766" s="82"/>
      <c r="Y766" s="89"/>
      <c r="Z766" s="82"/>
      <c r="AA766" s="90"/>
      <c r="AB766" s="241"/>
      <c r="AC766" s="241"/>
      <c r="AD766" s="241"/>
      <c r="AE766" s="82"/>
      <c r="AF766" s="82"/>
      <c r="AG766" s="90"/>
      <c r="AH766" s="90"/>
      <c r="AI766" s="90"/>
      <c r="AJ766" s="90"/>
      <c r="AK766" s="82"/>
      <c r="AL766" s="82" t="str" cm="1">
        <f t="array" aca="1" ref="AL766" ca="1">_xlfn.IFS(
 AND($AK766&lt;&gt;"", M766&lt;&gt;0, M766&lt;=EDATE(TODAY(),2)),"도래",
 AND($AK766&lt;&gt;"", M766&lt;&gt;0, M766&lt;=EDATE(TODAY(),3)),"예정",
 AND($AK766&lt;&gt;"", M766&lt;&gt;0, M766&lt;=EDATE(TODAY(),6)),"관심",
 TRUE,""
)</f>
        <v/>
      </c>
      <c r="AM766" s="86"/>
    </row>
    <row r="767" spans="1:39" ht="18" customHeight="1">
      <c r="A767" s="81"/>
      <c r="B767" s="205" t="str">
        <f>_xlfn.LET(_xlpm.var,◆관리정보!B767,IF(_xlpm.var&lt;&gt;0,_xlpm.var,""))</f>
        <v/>
      </c>
      <c r="C767" s="82" t="str">
        <f>_xlfn.LET(_xlpm.var,◆관리정보!C767,IF(_xlpm.var&lt;&gt;0,_xlpm.var,""))</f>
        <v/>
      </c>
      <c r="D767" s="83"/>
      <c r="E767" s="84" t="str">
        <f t="shared" si="24"/>
        <v/>
      </c>
      <c r="F767" s="87"/>
      <c r="G767" s="229"/>
      <c r="H767" s="229"/>
      <c r="I767" s="229"/>
      <c r="J767" s="229"/>
      <c r="K767" s="218"/>
      <c r="L767" s="87"/>
      <c r="M767" s="87"/>
      <c r="N767" s="82"/>
      <c r="O767" s="82"/>
      <c r="P767" s="241"/>
      <c r="Q767" s="241"/>
      <c r="R767" s="82"/>
      <c r="S767" s="241"/>
      <c r="T767" s="82"/>
      <c r="U767" s="241"/>
      <c r="V767" s="82"/>
      <c r="W767" s="88"/>
      <c r="X767" s="82"/>
      <c r="Y767" s="89"/>
      <c r="Z767" s="82"/>
      <c r="AA767" s="90"/>
      <c r="AB767" s="241"/>
      <c r="AC767" s="241"/>
      <c r="AD767" s="241"/>
      <c r="AE767" s="82"/>
      <c r="AF767" s="82"/>
      <c r="AG767" s="90"/>
      <c r="AH767" s="90"/>
      <c r="AI767" s="90"/>
      <c r="AJ767" s="90"/>
      <c r="AK767" s="82"/>
      <c r="AL767" s="82" t="str" cm="1">
        <f t="array" aca="1" ref="AL767" ca="1">_xlfn.IFS(
 AND($AK767&lt;&gt;"", M767&lt;&gt;0, M767&lt;=EDATE(TODAY(),2)),"도래",
 AND($AK767&lt;&gt;"", M767&lt;&gt;0, M767&lt;=EDATE(TODAY(),3)),"예정",
 AND($AK767&lt;&gt;"", M767&lt;&gt;0, M767&lt;=EDATE(TODAY(),6)),"관심",
 TRUE,""
)</f>
        <v/>
      </c>
      <c r="AM767" s="86"/>
    </row>
    <row r="768" spans="1:39" ht="18" customHeight="1">
      <c r="A768" s="81"/>
      <c r="B768" s="205" t="str">
        <f>_xlfn.LET(_xlpm.var,◆관리정보!B768,IF(_xlpm.var&lt;&gt;0,_xlpm.var,""))</f>
        <v/>
      </c>
      <c r="C768" s="82" t="str">
        <f>_xlfn.LET(_xlpm.var,◆관리정보!C768,IF(_xlpm.var&lt;&gt;0,_xlpm.var,""))</f>
        <v/>
      </c>
      <c r="D768" s="83"/>
      <c r="E768" s="84" t="str">
        <f t="shared" si="24"/>
        <v/>
      </c>
      <c r="F768" s="87"/>
      <c r="G768" s="229"/>
      <c r="H768" s="229"/>
      <c r="I768" s="229"/>
      <c r="J768" s="229"/>
      <c r="K768" s="218"/>
      <c r="L768" s="87"/>
      <c r="M768" s="87"/>
      <c r="N768" s="82"/>
      <c r="O768" s="82"/>
      <c r="P768" s="241"/>
      <c r="Q768" s="241"/>
      <c r="R768" s="82"/>
      <c r="S768" s="241"/>
      <c r="T768" s="82"/>
      <c r="U768" s="241"/>
      <c r="V768" s="82"/>
      <c r="W768" s="88"/>
      <c r="X768" s="82"/>
      <c r="Y768" s="89"/>
      <c r="Z768" s="82"/>
      <c r="AA768" s="90"/>
      <c r="AB768" s="241"/>
      <c r="AC768" s="241"/>
      <c r="AD768" s="241"/>
      <c r="AE768" s="82"/>
      <c r="AF768" s="82"/>
      <c r="AG768" s="90"/>
      <c r="AH768" s="90"/>
      <c r="AI768" s="90"/>
      <c r="AJ768" s="90"/>
      <c r="AK768" s="82"/>
      <c r="AL768" s="82" t="str" cm="1">
        <f t="array" aca="1" ref="AL768" ca="1">_xlfn.IFS(
 AND($AK768&lt;&gt;"", M768&lt;&gt;0, M768&lt;=EDATE(TODAY(),2)),"도래",
 AND($AK768&lt;&gt;"", M768&lt;&gt;0, M768&lt;=EDATE(TODAY(),3)),"예정",
 AND($AK768&lt;&gt;"", M768&lt;&gt;0, M768&lt;=EDATE(TODAY(),6)),"관심",
 TRUE,""
)</f>
        <v/>
      </c>
      <c r="AM768" s="86"/>
    </row>
    <row r="769" spans="1:39" ht="18" customHeight="1">
      <c r="A769" s="81"/>
      <c r="B769" s="205" t="str">
        <f>_xlfn.LET(_xlpm.var,◆관리정보!B769,IF(_xlpm.var&lt;&gt;0,_xlpm.var,""))</f>
        <v/>
      </c>
      <c r="C769" s="82" t="str">
        <f>_xlfn.LET(_xlpm.var,◆관리정보!C769,IF(_xlpm.var&lt;&gt;0,_xlpm.var,""))</f>
        <v/>
      </c>
      <c r="D769" s="83"/>
      <c r="E769" s="84" t="str">
        <f t="shared" si="24"/>
        <v/>
      </c>
      <c r="F769" s="87"/>
      <c r="G769" s="229"/>
      <c r="H769" s="229"/>
      <c r="I769" s="229"/>
      <c r="J769" s="229"/>
      <c r="K769" s="218"/>
      <c r="L769" s="87"/>
      <c r="M769" s="87"/>
      <c r="N769" s="82"/>
      <c r="O769" s="82"/>
      <c r="P769" s="241"/>
      <c r="Q769" s="241"/>
      <c r="R769" s="82"/>
      <c r="S769" s="241"/>
      <c r="T769" s="82"/>
      <c r="U769" s="241"/>
      <c r="V769" s="82"/>
      <c r="W769" s="88"/>
      <c r="X769" s="82"/>
      <c r="Y769" s="89"/>
      <c r="Z769" s="82"/>
      <c r="AA769" s="90"/>
      <c r="AB769" s="241"/>
      <c r="AC769" s="241"/>
      <c r="AD769" s="241"/>
      <c r="AE769" s="82"/>
      <c r="AF769" s="82"/>
      <c r="AG769" s="90"/>
      <c r="AH769" s="90"/>
      <c r="AI769" s="90"/>
      <c r="AJ769" s="90"/>
      <c r="AK769" s="82"/>
      <c r="AL769" s="82" t="str" cm="1">
        <f t="array" aca="1" ref="AL769" ca="1">_xlfn.IFS(
 AND($AK769&lt;&gt;"", M769&lt;&gt;0, M769&lt;=EDATE(TODAY(),2)),"도래",
 AND($AK769&lt;&gt;"", M769&lt;&gt;0, M769&lt;=EDATE(TODAY(),3)),"예정",
 AND($AK769&lt;&gt;"", M769&lt;&gt;0, M769&lt;=EDATE(TODAY(),6)),"관심",
 TRUE,""
)</f>
        <v/>
      </c>
      <c r="AM769" s="86"/>
    </row>
    <row r="770" spans="1:39" ht="18" customHeight="1">
      <c r="A770" s="81"/>
      <c r="B770" s="205" t="str">
        <f>_xlfn.LET(_xlpm.var,◆관리정보!B770,IF(_xlpm.var&lt;&gt;0,_xlpm.var,""))</f>
        <v/>
      </c>
      <c r="C770" s="82" t="str">
        <f>_xlfn.LET(_xlpm.var,◆관리정보!C770,IF(_xlpm.var&lt;&gt;0,_xlpm.var,""))</f>
        <v/>
      </c>
      <c r="D770" s="83"/>
      <c r="E770" s="84" t="str">
        <f t="shared" si="24"/>
        <v/>
      </c>
      <c r="F770" s="87"/>
      <c r="G770" s="229"/>
      <c r="H770" s="229"/>
      <c r="I770" s="229"/>
      <c r="J770" s="229"/>
      <c r="K770" s="218"/>
      <c r="L770" s="87"/>
      <c r="M770" s="87"/>
      <c r="N770" s="82"/>
      <c r="O770" s="82"/>
      <c r="P770" s="241"/>
      <c r="Q770" s="241"/>
      <c r="R770" s="82"/>
      <c r="S770" s="241"/>
      <c r="T770" s="82"/>
      <c r="U770" s="241"/>
      <c r="V770" s="82"/>
      <c r="W770" s="88"/>
      <c r="X770" s="82"/>
      <c r="Y770" s="89"/>
      <c r="Z770" s="82"/>
      <c r="AA770" s="90"/>
      <c r="AB770" s="241"/>
      <c r="AC770" s="241"/>
      <c r="AD770" s="241"/>
      <c r="AE770" s="82"/>
      <c r="AF770" s="82"/>
      <c r="AG770" s="90"/>
      <c r="AH770" s="90"/>
      <c r="AI770" s="90"/>
      <c r="AJ770" s="90"/>
      <c r="AK770" s="82"/>
      <c r="AL770" s="82" t="str" cm="1">
        <f t="array" aca="1" ref="AL770" ca="1">_xlfn.IFS(
 AND($AK770&lt;&gt;"", M770&lt;&gt;0, M770&lt;=EDATE(TODAY(),2)),"도래",
 AND($AK770&lt;&gt;"", M770&lt;&gt;0, M770&lt;=EDATE(TODAY(),3)),"예정",
 AND($AK770&lt;&gt;"", M770&lt;&gt;0, M770&lt;=EDATE(TODAY(),6)),"관심",
 TRUE,""
)</f>
        <v/>
      </c>
      <c r="AM770" s="86"/>
    </row>
    <row r="771" spans="1:39" ht="18" customHeight="1">
      <c r="A771" s="81"/>
      <c r="B771" s="205" t="str">
        <f>_xlfn.LET(_xlpm.var,◆관리정보!B771,IF(_xlpm.var&lt;&gt;0,_xlpm.var,""))</f>
        <v/>
      </c>
      <c r="C771" s="82" t="str">
        <f>_xlfn.LET(_xlpm.var,◆관리정보!C771,IF(_xlpm.var&lt;&gt;0,_xlpm.var,""))</f>
        <v/>
      </c>
      <c r="D771" s="83"/>
      <c r="E771" s="84" t="str">
        <f t="shared" si="24"/>
        <v/>
      </c>
      <c r="F771" s="87"/>
      <c r="G771" s="229"/>
      <c r="H771" s="229"/>
      <c r="I771" s="229"/>
      <c r="J771" s="229"/>
      <c r="K771" s="218"/>
      <c r="L771" s="87"/>
      <c r="M771" s="87"/>
      <c r="N771" s="82"/>
      <c r="O771" s="82"/>
      <c r="P771" s="241"/>
      <c r="Q771" s="241"/>
      <c r="R771" s="82"/>
      <c r="S771" s="241"/>
      <c r="T771" s="82"/>
      <c r="U771" s="241"/>
      <c r="V771" s="82"/>
      <c r="W771" s="88"/>
      <c r="X771" s="82"/>
      <c r="Y771" s="89"/>
      <c r="Z771" s="82"/>
      <c r="AA771" s="90"/>
      <c r="AB771" s="241"/>
      <c r="AC771" s="241"/>
      <c r="AD771" s="241"/>
      <c r="AE771" s="82"/>
      <c r="AF771" s="82"/>
      <c r="AG771" s="90"/>
      <c r="AH771" s="90"/>
      <c r="AI771" s="90"/>
      <c r="AJ771" s="90"/>
      <c r="AK771" s="82"/>
      <c r="AL771" s="82" t="str" cm="1">
        <f t="array" aca="1" ref="AL771" ca="1">_xlfn.IFS(
 AND($AK771&lt;&gt;"", M771&lt;&gt;0, M771&lt;=EDATE(TODAY(),2)),"도래",
 AND($AK771&lt;&gt;"", M771&lt;&gt;0, M771&lt;=EDATE(TODAY(),3)),"예정",
 AND($AK771&lt;&gt;"", M771&lt;&gt;0, M771&lt;=EDATE(TODAY(),6)),"관심",
 TRUE,""
)</f>
        <v/>
      </c>
      <c r="AM771" s="86"/>
    </row>
    <row r="772" spans="1:39" ht="18" customHeight="1">
      <c r="A772" s="81"/>
      <c r="B772" s="205" t="str">
        <f>_xlfn.LET(_xlpm.var,◆관리정보!B772,IF(_xlpm.var&lt;&gt;0,_xlpm.var,""))</f>
        <v/>
      </c>
      <c r="C772" s="82" t="str">
        <f>_xlfn.LET(_xlpm.var,◆관리정보!C772,IF(_xlpm.var&lt;&gt;0,_xlpm.var,""))</f>
        <v/>
      </c>
      <c r="D772" s="83"/>
      <c r="E772" s="84" t="str">
        <f t="shared" ref="E772:E835" si="25">_xlfn.CONCAT(B772,C772)</f>
        <v/>
      </c>
      <c r="F772" s="87"/>
      <c r="G772" s="229"/>
      <c r="H772" s="229"/>
      <c r="I772" s="229"/>
      <c r="J772" s="229"/>
      <c r="K772" s="218"/>
      <c r="L772" s="87"/>
      <c r="M772" s="87"/>
      <c r="N772" s="82"/>
      <c r="O772" s="82"/>
      <c r="P772" s="241"/>
      <c r="Q772" s="241"/>
      <c r="R772" s="82"/>
      <c r="S772" s="241"/>
      <c r="T772" s="82"/>
      <c r="U772" s="241"/>
      <c r="V772" s="82"/>
      <c r="W772" s="88"/>
      <c r="X772" s="82"/>
      <c r="Y772" s="89"/>
      <c r="Z772" s="82"/>
      <c r="AA772" s="90"/>
      <c r="AB772" s="241"/>
      <c r="AC772" s="241"/>
      <c r="AD772" s="241"/>
      <c r="AE772" s="82"/>
      <c r="AF772" s="82"/>
      <c r="AG772" s="90"/>
      <c r="AH772" s="90"/>
      <c r="AI772" s="90"/>
      <c r="AJ772" s="90"/>
      <c r="AK772" s="82"/>
      <c r="AL772" s="82" t="str" cm="1">
        <f t="array" aca="1" ref="AL772" ca="1">_xlfn.IFS(
 AND($AK772&lt;&gt;"", M772&lt;&gt;0, M772&lt;=EDATE(TODAY(),2)),"도래",
 AND($AK772&lt;&gt;"", M772&lt;&gt;0, M772&lt;=EDATE(TODAY(),3)),"예정",
 AND($AK772&lt;&gt;"", M772&lt;&gt;0, M772&lt;=EDATE(TODAY(),6)),"관심",
 TRUE,""
)</f>
        <v/>
      </c>
      <c r="AM772" s="86"/>
    </row>
    <row r="773" spans="1:39" ht="18" customHeight="1">
      <c r="A773" s="81"/>
      <c r="B773" s="205" t="str">
        <f>_xlfn.LET(_xlpm.var,◆관리정보!B773,IF(_xlpm.var&lt;&gt;0,_xlpm.var,""))</f>
        <v/>
      </c>
      <c r="C773" s="82" t="str">
        <f>_xlfn.LET(_xlpm.var,◆관리정보!C773,IF(_xlpm.var&lt;&gt;0,_xlpm.var,""))</f>
        <v/>
      </c>
      <c r="D773" s="83"/>
      <c r="E773" s="84" t="str">
        <f t="shared" si="25"/>
        <v/>
      </c>
      <c r="F773" s="87"/>
      <c r="G773" s="229"/>
      <c r="H773" s="229"/>
      <c r="I773" s="229"/>
      <c r="J773" s="229"/>
      <c r="K773" s="218"/>
      <c r="L773" s="87"/>
      <c r="M773" s="87"/>
      <c r="N773" s="82"/>
      <c r="O773" s="82"/>
      <c r="P773" s="241"/>
      <c r="Q773" s="241"/>
      <c r="R773" s="82"/>
      <c r="S773" s="241"/>
      <c r="T773" s="82"/>
      <c r="U773" s="241"/>
      <c r="V773" s="82"/>
      <c r="W773" s="88"/>
      <c r="X773" s="82"/>
      <c r="Y773" s="89"/>
      <c r="Z773" s="82"/>
      <c r="AA773" s="90"/>
      <c r="AB773" s="241"/>
      <c r="AC773" s="241"/>
      <c r="AD773" s="241"/>
      <c r="AE773" s="82"/>
      <c r="AF773" s="82"/>
      <c r="AG773" s="90"/>
      <c r="AH773" s="90"/>
      <c r="AI773" s="90"/>
      <c r="AJ773" s="90"/>
      <c r="AK773" s="82"/>
      <c r="AL773" s="82" t="str" cm="1">
        <f t="array" aca="1" ref="AL773" ca="1">_xlfn.IFS(
 AND($AK773&lt;&gt;"", M773&lt;&gt;0, M773&lt;=EDATE(TODAY(),2)),"도래",
 AND($AK773&lt;&gt;"", M773&lt;&gt;0, M773&lt;=EDATE(TODAY(),3)),"예정",
 AND($AK773&lt;&gt;"", M773&lt;&gt;0, M773&lt;=EDATE(TODAY(),6)),"관심",
 TRUE,""
)</f>
        <v/>
      </c>
      <c r="AM773" s="86"/>
    </row>
    <row r="774" spans="1:39" ht="18" customHeight="1">
      <c r="A774" s="81"/>
      <c r="B774" s="205" t="str">
        <f>_xlfn.LET(_xlpm.var,◆관리정보!B774,IF(_xlpm.var&lt;&gt;0,_xlpm.var,""))</f>
        <v/>
      </c>
      <c r="C774" s="82" t="str">
        <f>_xlfn.LET(_xlpm.var,◆관리정보!C774,IF(_xlpm.var&lt;&gt;0,_xlpm.var,""))</f>
        <v/>
      </c>
      <c r="D774" s="83"/>
      <c r="E774" s="84" t="str">
        <f t="shared" si="25"/>
        <v/>
      </c>
      <c r="F774" s="87"/>
      <c r="G774" s="229"/>
      <c r="H774" s="229"/>
      <c r="I774" s="229"/>
      <c r="J774" s="229"/>
      <c r="K774" s="218"/>
      <c r="L774" s="87"/>
      <c r="M774" s="87"/>
      <c r="N774" s="82"/>
      <c r="O774" s="82"/>
      <c r="P774" s="241"/>
      <c r="Q774" s="241"/>
      <c r="R774" s="82"/>
      <c r="S774" s="241"/>
      <c r="T774" s="82"/>
      <c r="U774" s="241"/>
      <c r="V774" s="82"/>
      <c r="W774" s="88"/>
      <c r="X774" s="82"/>
      <c r="Y774" s="89"/>
      <c r="Z774" s="82"/>
      <c r="AA774" s="90"/>
      <c r="AB774" s="241"/>
      <c r="AC774" s="241"/>
      <c r="AD774" s="241"/>
      <c r="AE774" s="82"/>
      <c r="AF774" s="82"/>
      <c r="AG774" s="90"/>
      <c r="AH774" s="90"/>
      <c r="AI774" s="90"/>
      <c r="AJ774" s="90"/>
      <c r="AK774" s="82"/>
      <c r="AL774" s="82" t="str" cm="1">
        <f t="array" aca="1" ref="AL774" ca="1">_xlfn.IFS(
 AND($AK774&lt;&gt;"", M774&lt;&gt;0, M774&lt;=EDATE(TODAY(),2)),"도래",
 AND($AK774&lt;&gt;"", M774&lt;&gt;0, M774&lt;=EDATE(TODAY(),3)),"예정",
 AND($AK774&lt;&gt;"", M774&lt;&gt;0, M774&lt;=EDATE(TODAY(),6)),"관심",
 TRUE,""
)</f>
        <v/>
      </c>
      <c r="AM774" s="86"/>
    </row>
    <row r="775" spans="1:39" ht="18" customHeight="1">
      <c r="A775" s="81"/>
      <c r="B775" s="205" t="str">
        <f>_xlfn.LET(_xlpm.var,◆관리정보!B775,IF(_xlpm.var&lt;&gt;0,_xlpm.var,""))</f>
        <v/>
      </c>
      <c r="C775" s="82" t="str">
        <f>_xlfn.LET(_xlpm.var,◆관리정보!C775,IF(_xlpm.var&lt;&gt;0,_xlpm.var,""))</f>
        <v/>
      </c>
      <c r="D775" s="83"/>
      <c r="E775" s="84" t="str">
        <f t="shared" si="25"/>
        <v/>
      </c>
      <c r="F775" s="87"/>
      <c r="G775" s="229"/>
      <c r="H775" s="229"/>
      <c r="I775" s="229"/>
      <c r="J775" s="229"/>
      <c r="K775" s="218"/>
      <c r="L775" s="87"/>
      <c r="M775" s="87"/>
      <c r="N775" s="82"/>
      <c r="O775" s="82"/>
      <c r="P775" s="241"/>
      <c r="Q775" s="241"/>
      <c r="R775" s="82"/>
      <c r="S775" s="241"/>
      <c r="T775" s="82"/>
      <c r="U775" s="241"/>
      <c r="V775" s="82"/>
      <c r="W775" s="88"/>
      <c r="X775" s="82"/>
      <c r="Y775" s="89"/>
      <c r="Z775" s="82"/>
      <c r="AA775" s="90"/>
      <c r="AB775" s="241"/>
      <c r="AC775" s="241"/>
      <c r="AD775" s="241"/>
      <c r="AE775" s="82"/>
      <c r="AF775" s="82"/>
      <c r="AG775" s="90"/>
      <c r="AH775" s="90"/>
      <c r="AI775" s="90"/>
      <c r="AJ775" s="90"/>
      <c r="AK775" s="82"/>
      <c r="AL775" s="82" t="str" cm="1">
        <f t="array" aca="1" ref="AL775" ca="1">_xlfn.IFS(
 AND($AK775&lt;&gt;"", M775&lt;&gt;0, M775&lt;=EDATE(TODAY(),2)),"도래",
 AND($AK775&lt;&gt;"", M775&lt;&gt;0, M775&lt;=EDATE(TODAY(),3)),"예정",
 AND($AK775&lt;&gt;"", M775&lt;&gt;0, M775&lt;=EDATE(TODAY(),6)),"관심",
 TRUE,""
)</f>
        <v/>
      </c>
      <c r="AM775" s="86"/>
    </row>
    <row r="776" spans="1:39" ht="18" customHeight="1">
      <c r="A776" s="81"/>
      <c r="B776" s="205" t="str">
        <f>_xlfn.LET(_xlpm.var,◆관리정보!B776,IF(_xlpm.var&lt;&gt;0,_xlpm.var,""))</f>
        <v/>
      </c>
      <c r="C776" s="82" t="str">
        <f>_xlfn.LET(_xlpm.var,◆관리정보!C776,IF(_xlpm.var&lt;&gt;0,_xlpm.var,""))</f>
        <v/>
      </c>
      <c r="D776" s="83"/>
      <c r="E776" s="84" t="str">
        <f t="shared" si="25"/>
        <v/>
      </c>
      <c r="F776" s="87"/>
      <c r="G776" s="229"/>
      <c r="H776" s="229"/>
      <c r="I776" s="229"/>
      <c r="J776" s="229"/>
      <c r="K776" s="218"/>
      <c r="L776" s="87"/>
      <c r="M776" s="87"/>
      <c r="N776" s="82"/>
      <c r="O776" s="82"/>
      <c r="P776" s="241"/>
      <c r="Q776" s="241"/>
      <c r="R776" s="82"/>
      <c r="S776" s="241"/>
      <c r="T776" s="82"/>
      <c r="U776" s="241"/>
      <c r="V776" s="82"/>
      <c r="W776" s="88"/>
      <c r="X776" s="82"/>
      <c r="Y776" s="89"/>
      <c r="Z776" s="82"/>
      <c r="AA776" s="90"/>
      <c r="AB776" s="241"/>
      <c r="AC776" s="241"/>
      <c r="AD776" s="241"/>
      <c r="AE776" s="82"/>
      <c r="AF776" s="82"/>
      <c r="AG776" s="90"/>
      <c r="AH776" s="90"/>
      <c r="AI776" s="90"/>
      <c r="AJ776" s="90"/>
      <c r="AK776" s="82"/>
      <c r="AL776" s="82" t="str" cm="1">
        <f t="array" aca="1" ref="AL776" ca="1">_xlfn.IFS(
 AND($AK776&lt;&gt;"", M776&lt;&gt;0, M776&lt;=EDATE(TODAY(),2)),"도래",
 AND($AK776&lt;&gt;"", M776&lt;&gt;0, M776&lt;=EDATE(TODAY(),3)),"예정",
 AND($AK776&lt;&gt;"", M776&lt;&gt;0, M776&lt;=EDATE(TODAY(),6)),"관심",
 TRUE,""
)</f>
        <v/>
      </c>
      <c r="AM776" s="86"/>
    </row>
    <row r="777" spans="1:39" ht="18" customHeight="1">
      <c r="A777" s="81"/>
      <c r="B777" s="205" t="str">
        <f>_xlfn.LET(_xlpm.var,◆관리정보!B777,IF(_xlpm.var&lt;&gt;0,_xlpm.var,""))</f>
        <v/>
      </c>
      <c r="C777" s="82" t="str">
        <f>_xlfn.LET(_xlpm.var,◆관리정보!C777,IF(_xlpm.var&lt;&gt;0,_xlpm.var,""))</f>
        <v/>
      </c>
      <c r="D777" s="83"/>
      <c r="E777" s="84" t="str">
        <f t="shared" si="25"/>
        <v/>
      </c>
      <c r="F777" s="87"/>
      <c r="G777" s="229"/>
      <c r="H777" s="229"/>
      <c r="I777" s="229"/>
      <c r="J777" s="229"/>
      <c r="K777" s="218"/>
      <c r="L777" s="87"/>
      <c r="M777" s="87"/>
      <c r="N777" s="82"/>
      <c r="O777" s="82"/>
      <c r="P777" s="241"/>
      <c r="Q777" s="241"/>
      <c r="R777" s="82"/>
      <c r="S777" s="241"/>
      <c r="T777" s="82"/>
      <c r="U777" s="241"/>
      <c r="V777" s="82"/>
      <c r="W777" s="88"/>
      <c r="X777" s="82"/>
      <c r="Y777" s="89"/>
      <c r="Z777" s="82"/>
      <c r="AA777" s="90"/>
      <c r="AB777" s="241"/>
      <c r="AC777" s="241"/>
      <c r="AD777" s="241"/>
      <c r="AE777" s="82"/>
      <c r="AF777" s="82"/>
      <c r="AG777" s="90"/>
      <c r="AH777" s="90"/>
      <c r="AI777" s="90"/>
      <c r="AJ777" s="90"/>
      <c r="AK777" s="82"/>
      <c r="AL777" s="82" t="str" cm="1">
        <f t="array" aca="1" ref="AL777" ca="1">_xlfn.IFS(
 AND($AK777&lt;&gt;"", M777&lt;&gt;0, M777&lt;=EDATE(TODAY(),2)),"도래",
 AND($AK777&lt;&gt;"", M777&lt;&gt;0, M777&lt;=EDATE(TODAY(),3)),"예정",
 AND($AK777&lt;&gt;"", M777&lt;&gt;0, M777&lt;=EDATE(TODAY(),6)),"관심",
 TRUE,""
)</f>
        <v/>
      </c>
      <c r="AM777" s="86"/>
    </row>
    <row r="778" spans="1:39" ht="18" customHeight="1">
      <c r="A778" s="81"/>
      <c r="B778" s="205" t="str">
        <f>_xlfn.LET(_xlpm.var,◆관리정보!B778,IF(_xlpm.var&lt;&gt;0,_xlpm.var,""))</f>
        <v/>
      </c>
      <c r="C778" s="82" t="str">
        <f>_xlfn.LET(_xlpm.var,◆관리정보!C778,IF(_xlpm.var&lt;&gt;0,_xlpm.var,""))</f>
        <v/>
      </c>
      <c r="D778" s="83"/>
      <c r="E778" s="84" t="str">
        <f t="shared" si="25"/>
        <v/>
      </c>
      <c r="F778" s="87"/>
      <c r="G778" s="229"/>
      <c r="H778" s="229"/>
      <c r="I778" s="229"/>
      <c r="J778" s="229"/>
      <c r="K778" s="218"/>
      <c r="L778" s="87"/>
      <c r="M778" s="87"/>
      <c r="N778" s="82"/>
      <c r="O778" s="82"/>
      <c r="P778" s="241"/>
      <c r="Q778" s="241"/>
      <c r="R778" s="82"/>
      <c r="S778" s="241"/>
      <c r="T778" s="82"/>
      <c r="U778" s="241"/>
      <c r="V778" s="82"/>
      <c r="W778" s="88"/>
      <c r="X778" s="82"/>
      <c r="Y778" s="89"/>
      <c r="Z778" s="82"/>
      <c r="AA778" s="90"/>
      <c r="AB778" s="241"/>
      <c r="AC778" s="241"/>
      <c r="AD778" s="241"/>
      <c r="AE778" s="82"/>
      <c r="AF778" s="82"/>
      <c r="AG778" s="90"/>
      <c r="AH778" s="90"/>
      <c r="AI778" s="90"/>
      <c r="AJ778" s="90"/>
      <c r="AK778" s="82"/>
      <c r="AL778" s="82" t="str" cm="1">
        <f t="array" aca="1" ref="AL778" ca="1">_xlfn.IFS(
 AND($AK778&lt;&gt;"", M778&lt;&gt;0, M778&lt;=EDATE(TODAY(),2)),"도래",
 AND($AK778&lt;&gt;"", M778&lt;&gt;0, M778&lt;=EDATE(TODAY(),3)),"예정",
 AND($AK778&lt;&gt;"", M778&lt;&gt;0, M778&lt;=EDATE(TODAY(),6)),"관심",
 TRUE,""
)</f>
        <v/>
      </c>
      <c r="AM778" s="86"/>
    </row>
    <row r="779" spans="1:39" ht="18" customHeight="1">
      <c r="A779" s="81"/>
      <c r="B779" s="205" t="str">
        <f>_xlfn.LET(_xlpm.var,◆관리정보!B779,IF(_xlpm.var&lt;&gt;0,_xlpm.var,""))</f>
        <v/>
      </c>
      <c r="C779" s="82" t="str">
        <f>_xlfn.LET(_xlpm.var,◆관리정보!C779,IF(_xlpm.var&lt;&gt;0,_xlpm.var,""))</f>
        <v/>
      </c>
      <c r="D779" s="83"/>
      <c r="E779" s="84" t="str">
        <f t="shared" si="25"/>
        <v/>
      </c>
      <c r="F779" s="87"/>
      <c r="G779" s="229"/>
      <c r="H779" s="229"/>
      <c r="I779" s="229"/>
      <c r="J779" s="229"/>
      <c r="K779" s="218"/>
      <c r="L779" s="87"/>
      <c r="M779" s="87"/>
      <c r="N779" s="82"/>
      <c r="O779" s="82"/>
      <c r="P779" s="241"/>
      <c r="Q779" s="241"/>
      <c r="R779" s="82"/>
      <c r="S779" s="241"/>
      <c r="T779" s="82"/>
      <c r="U779" s="241"/>
      <c r="V779" s="82"/>
      <c r="W779" s="88"/>
      <c r="X779" s="82"/>
      <c r="Y779" s="89"/>
      <c r="Z779" s="82"/>
      <c r="AA779" s="90"/>
      <c r="AB779" s="241"/>
      <c r="AC779" s="241"/>
      <c r="AD779" s="241"/>
      <c r="AE779" s="82"/>
      <c r="AF779" s="82"/>
      <c r="AG779" s="90"/>
      <c r="AH779" s="90"/>
      <c r="AI779" s="90"/>
      <c r="AJ779" s="90"/>
      <c r="AK779" s="82"/>
      <c r="AL779" s="82" t="str" cm="1">
        <f t="array" aca="1" ref="AL779" ca="1">_xlfn.IFS(
 AND($AK779&lt;&gt;"", M779&lt;&gt;0, M779&lt;=EDATE(TODAY(),2)),"도래",
 AND($AK779&lt;&gt;"", M779&lt;&gt;0, M779&lt;=EDATE(TODAY(),3)),"예정",
 AND($AK779&lt;&gt;"", M779&lt;&gt;0, M779&lt;=EDATE(TODAY(),6)),"관심",
 TRUE,""
)</f>
        <v/>
      </c>
      <c r="AM779" s="86"/>
    </row>
    <row r="780" spans="1:39" ht="18" customHeight="1">
      <c r="A780" s="81"/>
      <c r="B780" s="205" t="str">
        <f>_xlfn.LET(_xlpm.var,◆관리정보!B780,IF(_xlpm.var&lt;&gt;0,_xlpm.var,""))</f>
        <v/>
      </c>
      <c r="C780" s="82" t="str">
        <f>_xlfn.LET(_xlpm.var,◆관리정보!C780,IF(_xlpm.var&lt;&gt;0,_xlpm.var,""))</f>
        <v/>
      </c>
      <c r="D780" s="83"/>
      <c r="E780" s="84" t="str">
        <f t="shared" si="25"/>
        <v/>
      </c>
      <c r="F780" s="87"/>
      <c r="G780" s="229"/>
      <c r="H780" s="229"/>
      <c r="I780" s="229"/>
      <c r="J780" s="229"/>
      <c r="K780" s="218"/>
      <c r="L780" s="87"/>
      <c r="M780" s="87"/>
      <c r="N780" s="82"/>
      <c r="O780" s="82"/>
      <c r="P780" s="241"/>
      <c r="Q780" s="241"/>
      <c r="R780" s="82"/>
      <c r="S780" s="241"/>
      <c r="T780" s="82"/>
      <c r="U780" s="241"/>
      <c r="V780" s="82"/>
      <c r="W780" s="88"/>
      <c r="X780" s="82"/>
      <c r="Y780" s="89"/>
      <c r="Z780" s="82"/>
      <c r="AA780" s="90"/>
      <c r="AB780" s="241"/>
      <c r="AC780" s="241"/>
      <c r="AD780" s="241"/>
      <c r="AE780" s="82"/>
      <c r="AF780" s="82"/>
      <c r="AG780" s="90"/>
      <c r="AH780" s="90"/>
      <c r="AI780" s="90"/>
      <c r="AJ780" s="90"/>
      <c r="AK780" s="82"/>
      <c r="AL780" s="82" t="str" cm="1">
        <f t="array" aca="1" ref="AL780" ca="1">_xlfn.IFS(
 AND($AK780&lt;&gt;"", M780&lt;&gt;0, M780&lt;=EDATE(TODAY(),2)),"도래",
 AND($AK780&lt;&gt;"", M780&lt;&gt;0, M780&lt;=EDATE(TODAY(),3)),"예정",
 AND($AK780&lt;&gt;"", M780&lt;&gt;0, M780&lt;=EDATE(TODAY(),6)),"관심",
 TRUE,""
)</f>
        <v/>
      </c>
      <c r="AM780" s="86"/>
    </row>
    <row r="781" spans="1:39" ht="18" customHeight="1">
      <c r="A781" s="81"/>
      <c r="B781" s="205" t="str">
        <f>_xlfn.LET(_xlpm.var,◆관리정보!B781,IF(_xlpm.var&lt;&gt;0,_xlpm.var,""))</f>
        <v/>
      </c>
      <c r="C781" s="82" t="str">
        <f>_xlfn.LET(_xlpm.var,◆관리정보!C781,IF(_xlpm.var&lt;&gt;0,_xlpm.var,""))</f>
        <v/>
      </c>
      <c r="D781" s="83"/>
      <c r="E781" s="84" t="str">
        <f t="shared" si="25"/>
        <v/>
      </c>
      <c r="F781" s="87"/>
      <c r="G781" s="229"/>
      <c r="H781" s="229"/>
      <c r="I781" s="229"/>
      <c r="J781" s="229"/>
      <c r="K781" s="218"/>
      <c r="L781" s="87"/>
      <c r="M781" s="87"/>
      <c r="N781" s="82"/>
      <c r="O781" s="82"/>
      <c r="P781" s="241"/>
      <c r="Q781" s="241"/>
      <c r="R781" s="82"/>
      <c r="S781" s="241"/>
      <c r="T781" s="82"/>
      <c r="U781" s="241"/>
      <c r="V781" s="82"/>
      <c r="W781" s="88"/>
      <c r="X781" s="82"/>
      <c r="Y781" s="89"/>
      <c r="Z781" s="82"/>
      <c r="AA781" s="90"/>
      <c r="AB781" s="241"/>
      <c r="AC781" s="241"/>
      <c r="AD781" s="241"/>
      <c r="AE781" s="82"/>
      <c r="AF781" s="82"/>
      <c r="AG781" s="90"/>
      <c r="AH781" s="90"/>
      <c r="AI781" s="90"/>
      <c r="AJ781" s="90"/>
      <c r="AK781" s="82"/>
      <c r="AL781" s="82" t="str" cm="1">
        <f t="array" aca="1" ref="AL781" ca="1">_xlfn.IFS(
 AND($AK781&lt;&gt;"", M781&lt;&gt;0, M781&lt;=EDATE(TODAY(),2)),"도래",
 AND($AK781&lt;&gt;"", M781&lt;&gt;0, M781&lt;=EDATE(TODAY(),3)),"예정",
 AND($AK781&lt;&gt;"", M781&lt;&gt;0, M781&lt;=EDATE(TODAY(),6)),"관심",
 TRUE,""
)</f>
        <v/>
      </c>
      <c r="AM781" s="86"/>
    </row>
    <row r="782" spans="1:39" ht="18" customHeight="1">
      <c r="A782" s="81"/>
      <c r="B782" s="205" t="str">
        <f>_xlfn.LET(_xlpm.var,◆관리정보!B782,IF(_xlpm.var&lt;&gt;0,_xlpm.var,""))</f>
        <v/>
      </c>
      <c r="C782" s="82" t="str">
        <f>_xlfn.LET(_xlpm.var,◆관리정보!C782,IF(_xlpm.var&lt;&gt;0,_xlpm.var,""))</f>
        <v/>
      </c>
      <c r="D782" s="83"/>
      <c r="E782" s="84" t="str">
        <f t="shared" si="25"/>
        <v/>
      </c>
      <c r="F782" s="87"/>
      <c r="G782" s="229"/>
      <c r="H782" s="229"/>
      <c r="I782" s="229"/>
      <c r="J782" s="229"/>
      <c r="K782" s="218"/>
      <c r="L782" s="87"/>
      <c r="M782" s="87"/>
      <c r="N782" s="82"/>
      <c r="O782" s="82"/>
      <c r="P782" s="241"/>
      <c r="Q782" s="241"/>
      <c r="R782" s="82"/>
      <c r="S782" s="241"/>
      <c r="T782" s="82"/>
      <c r="U782" s="241"/>
      <c r="V782" s="82"/>
      <c r="W782" s="88"/>
      <c r="X782" s="82"/>
      <c r="Y782" s="89"/>
      <c r="Z782" s="82"/>
      <c r="AA782" s="90"/>
      <c r="AB782" s="241"/>
      <c r="AC782" s="241"/>
      <c r="AD782" s="241"/>
      <c r="AE782" s="82"/>
      <c r="AF782" s="82"/>
      <c r="AG782" s="90"/>
      <c r="AH782" s="90"/>
      <c r="AI782" s="90"/>
      <c r="AJ782" s="90"/>
      <c r="AK782" s="82"/>
      <c r="AL782" s="82" t="str" cm="1">
        <f t="array" aca="1" ref="AL782" ca="1">_xlfn.IFS(
 AND($AK782&lt;&gt;"", M782&lt;&gt;0, M782&lt;=EDATE(TODAY(),2)),"도래",
 AND($AK782&lt;&gt;"", M782&lt;&gt;0, M782&lt;=EDATE(TODAY(),3)),"예정",
 AND($AK782&lt;&gt;"", M782&lt;&gt;0, M782&lt;=EDATE(TODAY(),6)),"관심",
 TRUE,""
)</f>
        <v/>
      </c>
      <c r="AM782" s="86"/>
    </row>
    <row r="783" spans="1:39" ht="18" customHeight="1">
      <c r="A783" s="81"/>
      <c r="B783" s="205" t="str">
        <f>_xlfn.LET(_xlpm.var,◆관리정보!B783,IF(_xlpm.var&lt;&gt;0,_xlpm.var,""))</f>
        <v/>
      </c>
      <c r="C783" s="82" t="str">
        <f>_xlfn.LET(_xlpm.var,◆관리정보!C783,IF(_xlpm.var&lt;&gt;0,_xlpm.var,""))</f>
        <v/>
      </c>
      <c r="D783" s="83"/>
      <c r="E783" s="84" t="str">
        <f t="shared" si="25"/>
        <v/>
      </c>
      <c r="F783" s="87"/>
      <c r="G783" s="229"/>
      <c r="H783" s="229"/>
      <c r="I783" s="229"/>
      <c r="J783" s="229"/>
      <c r="K783" s="218"/>
      <c r="L783" s="87"/>
      <c r="M783" s="87"/>
      <c r="N783" s="82"/>
      <c r="O783" s="82"/>
      <c r="P783" s="241"/>
      <c r="Q783" s="241"/>
      <c r="R783" s="82"/>
      <c r="S783" s="241"/>
      <c r="T783" s="82"/>
      <c r="U783" s="241"/>
      <c r="V783" s="82"/>
      <c r="W783" s="88"/>
      <c r="X783" s="82"/>
      <c r="Y783" s="89"/>
      <c r="Z783" s="82"/>
      <c r="AA783" s="90"/>
      <c r="AB783" s="241"/>
      <c r="AC783" s="241"/>
      <c r="AD783" s="241"/>
      <c r="AE783" s="82"/>
      <c r="AF783" s="82"/>
      <c r="AG783" s="90"/>
      <c r="AH783" s="90"/>
      <c r="AI783" s="90"/>
      <c r="AJ783" s="90"/>
      <c r="AK783" s="82"/>
      <c r="AL783" s="82" t="str" cm="1">
        <f t="array" aca="1" ref="AL783" ca="1">_xlfn.IFS(
 AND($AK783&lt;&gt;"", M783&lt;&gt;0, M783&lt;=EDATE(TODAY(),2)),"도래",
 AND($AK783&lt;&gt;"", M783&lt;&gt;0, M783&lt;=EDATE(TODAY(),3)),"예정",
 AND($AK783&lt;&gt;"", M783&lt;&gt;0, M783&lt;=EDATE(TODAY(),6)),"관심",
 TRUE,""
)</f>
        <v/>
      </c>
      <c r="AM783" s="86"/>
    </row>
    <row r="784" spans="1:39" ht="18" customHeight="1">
      <c r="A784" s="81"/>
      <c r="B784" s="205" t="str">
        <f>_xlfn.LET(_xlpm.var,◆관리정보!B784,IF(_xlpm.var&lt;&gt;0,_xlpm.var,""))</f>
        <v/>
      </c>
      <c r="C784" s="82" t="str">
        <f>_xlfn.LET(_xlpm.var,◆관리정보!C784,IF(_xlpm.var&lt;&gt;0,_xlpm.var,""))</f>
        <v/>
      </c>
      <c r="D784" s="83"/>
      <c r="E784" s="84" t="str">
        <f t="shared" si="25"/>
        <v/>
      </c>
      <c r="F784" s="87"/>
      <c r="G784" s="229"/>
      <c r="H784" s="229"/>
      <c r="I784" s="229"/>
      <c r="J784" s="229"/>
      <c r="K784" s="218"/>
      <c r="L784" s="87"/>
      <c r="M784" s="87"/>
      <c r="N784" s="82"/>
      <c r="O784" s="82"/>
      <c r="P784" s="241"/>
      <c r="Q784" s="241"/>
      <c r="R784" s="82"/>
      <c r="S784" s="241"/>
      <c r="T784" s="82"/>
      <c r="U784" s="241"/>
      <c r="V784" s="82"/>
      <c r="W784" s="88"/>
      <c r="X784" s="82"/>
      <c r="Y784" s="89"/>
      <c r="Z784" s="82"/>
      <c r="AA784" s="90"/>
      <c r="AB784" s="241"/>
      <c r="AC784" s="241"/>
      <c r="AD784" s="241"/>
      <c r="AE784" s="82"/>
      <c r="AF784" s="82"/>
      <c r="AG784" s="90"/>
      <c r="AH784" s="90"/>
      <c r="AI784" s="90"/>
      <c r="AJ784" s="90"/>
      <c r="AK784" s="82"/>
      <c r="AL784" s="82" t="str" cm="1">
        <f t="array" aca="1" ref="AL784" ca="1">_xlfn.IFS(
 AND($AK784&lt;&gt;"", M784&lt;&gt;0, M784&lt;=EDATE(TODAY(),2)),"도래",
 AND($AK784&lt;&gt;"", M784&lt;&gt;0, M784&lt;=EDATE(TODAY(),3)),"예정",
 AND($AK784&lt;&gt;"", M784&lt;&gt;0, M784&lt;=EDATE(TODAY(),6)),"관심",
 TRUE,""
)</f>
        <v/>
      </c>
      <c r="AM784" s="86"/>
    </row>
    <row r="785" spans="1:39" ht="18" customHeight="1">
      <c r="A785" s="81"/>
      <c r="B785" s="205" t="str">
        <f>_xlfn.LET(_xlpm.var,◆관리정보!B785,IF(_xlpm.var&lt;&gt;0,_xlpm.var,""))</f>
        <v/>
      </c>
      <c r="C785" s="82" t="str">
        <f>_xlfn.LET(_xlpm.var,◆관리정보!C785,IF(_xlpm.var&lt;&gt;0,_xlpm.var,""))</f>
        <v/>
      </c>
      <c r="D785" s="83"/>
      <c r="E785" s="84" t="str">
        <f t="shared" si="25"/>
        <v/>
      </c>
      <c r="F785" s="87"/>
      <c r="G785" s="229"/>
      <c r="H785" s="229"/>
      <c r="I785" s="229"/>
      <c r="J785" s="229"/>
      <c r="K785" s="218"/>
      <c r="L785" s="87"/>
      <c r="M785" s="87"/>
      <c r="N785" s="82"/>
      <c r="O785" s="82"/>
      <c r="P785" s="241"/>
      <c r="Q785" s="241"/>
      <c r="R785" s="82"/>
      <c r="S785" s="241"/>
      <c r="T785" s="82"/>
      <c r="U785" s="241"/>
      <c r="V785" s="82"/>
      <c r="W785" s="88"/>
      <c r="X785" s="82"/>
      <c r="Y785" s="89"/>
      <c r="Z785" s="82"/>
      <c r="AA785" s="90"/>
      <c r="AB785" s="241"/>
      <c r="AC785" s="241"/>
      <c r="AD785" s="241"/>
      <c r="AE785" s="82"/>
      <c r="AF785" s="82"/>
      <c r="AG785" s="90"/>
      <c r="AH785" s="90"/>
      <c r="AI785" s="90"/>
      <c r="AJ785" s="90"/>
      <c r="AK785" s="82"/>
      <c r="AL785" s="82" t="str" cm="1">
        <f t="array" aca="1" ref="AL785" ca="1">_xlfn.IFS(
 AND($AK785&lt;&gt;"", M785&lt;&gt;0, M785&lt;=EDATE(TODAY(),2)),"도래",
 AND($AK785&lt;&gt;"", M785&lt;&gt;0, M785&lt;=EDATE(TODAY(),3)),"예정",
 AND($AK785&lt;&gt;"", M785&lt;&gt;0, M785&lt;=EDATE(TODAY(),6)),"관심",
 TRUE,""
)</f>
        <v/>
      </c>
      <c r="AM785" s="86"/>
    </row>
    <row r="786" spans="1:39" ht="18" customHeight="1">
      <c r="A786" s="81"/>
      <c r="B786" s="205" t="str">
        <f>_xlfn.LET(_xlpm.var,◆관리정보!B786,IF(_xlpm.var&lt;&gt;0,_xlpm.var,""))</f>
        <v/>
      </c>
      <c r="C786" s="82" t="str">
        <f>_xlfn.LET(_xlpm.var,◆관리정보!C786,IF(_xlpm.var&lt;&gt;0,_xlpm.var,""))</f>
        <v/>
      </c>
      <c r="D786" s="83"/>
      <c r="E786" s="84" t="str">
        <f t="shared" si="25"/>
        <v/>
      </c>
      <c r="F786" s="87"/>
      <c r="G786" s="229"/>
      <c r="H786" s="229"/>
      <c r="I786" s="229"/>
      <c r="J786" s="229"/>
      <c r="K786" s="218"/>
      <c r="L786" s="87"/>
      <c r="M786" s="87"/>
      <c r="N786" s="82"/>
      <c r="O786" s="82"/>
      <c r="P786" s="241"/>
      <c r="Q786" s="241"/>
      <c r="R786" s="82"/>
      <c r="S786" s="241"/>
      <c r="T786" s="82"/>
      <c r="U786" s="241"/>
      <c r="V786" s="82"/>
      <c r="W786" s="88"/>
      <c r="X786" s="82"/>
      <c r="Y786" s="89"/>
      <c r="Z786" s="82"/>
      <c r="AA786" s="90"/>
      <c r="AB786" s="241"/>
      <c r="AC786" s="241"/>
      <c r="AD786" s="241"/>
      <c r="AE786" s="82"/>
      <c r="AF786" s="82"/>
      <c r="AG786" s="90"/>
      <c r="AH786" s="90"/>
      <c r="AI786" s="90"/>
      <c r="AJ786" s="90"/>
      <c r="AK786" s="82"/>
      <c r="AL786" s="82" t="str" cm="1">
        <f t="array" aca="1" ref="AL786" ca="1">_xlfn.IFS(
 AND($AK786&lt;&gt;"", M786&lt;&gt;0, M786&lt;=EDATE(TODAY(),2)),"도래",
 AND($AK786&lt;&gt;"", M786&lt;&gt;0, M786&lt;=EDATE(TODAY(),3)),"예정",
 AND($AK786&lt;&gt;"", M786&lt;&gt;0, M786&lt;=EDATE(TODAY(),6)),"관심",
 TRUE,""
)</f>
        <v/>
      </c>
      <c r="AM786" s="86"/>
    </row>
    <row r="787" spans="1:39" ht="18" customHeight="1">
      <c r="A787" s="81"/>
      <c r="B787" s="205" t="str">
        <f>_xlfn.LET(_xlpm.var,◆관리정보!B787,IF(_xlpm.var&lt;&gt;0,_xlpm.var,""))</f>
        <v/>
      </c>
      <c r="C787" s="82" t="str">
        <f>_xlfn.LET(_xlpm.var,◆관리정보!C787,IF(_xlpm.var&lt;&gt;0,_xlpm.var,""))</f>
        <v/>
      </c>
      <c r="D787" s="83"/>
      <c r="E787" s="84" t="str">
        <f t="shared" si="25"/>
        <v/>
      </c>
      <c r="F787" s="87"/>
      <c r="G787" s="229"/>
      <c r="H787" s="229"/>
      <c r="I787" s="229"/>
      <c r="J787" s="229"/>
      <c r="K787" s="218"/>
      <c r="L787" s="87"/>
      <c r="M787" s="87"/>
      <c r="N787" s="82"/>
      <c r="O787" s="82"/>
      <c r="P787" s="241"/>
      <c r="Q787" s="241"/>
      <c r="R787" s="82"/>
      <c r="S787" s="241"/>
      <c r="T787" s="82"/>
      <c r="U787" s="241"/>
      <c r="V787" s="82"/>
      <c r="W787" s="88"/>
      <c r="X787" s="82"/>
      <c r="Y787" s="89"/>
      <c r="Z787" s="82"/>
      <c r="AA787" s="90"/>
      <c r="AB787" s="241"/>
      <c r="AC787" s="241"/>
      <c r="AD787" s="241"/>
      <c r="AE787" s="82"/>
      <c r="AF787" s="82"/>
      <c r="AG787" s="90"/>
      <c r="AH787" s="90"/>
      <c r="AI787" s="90"/>
      <c r="AJ787" s="90"/>
      <c r="AK787" s="82"/>
      <c r="AL787" s="82" t="str" cm="1">
        <f t="array" aca="1" ref="AL787" ca="1">_xlfn.IFS(
 AND($AK787&lt;&gt;"", M787&lt;&gt;0, M787&lt;=EDATE(TODAY(),2)),"도래",
 AND($AK787&lt;&gt;"", M787&lt;&gt;0, M787&lt;=EDATE(TODAY(),3)),"예정",
 AND($AK787&lt;&gt;"", M787&lt;&gt;0, M787&lt;=EDATE(TODAY(),6)),"관심",
 TRUE,""
)</f>
        <v/>
      </c>
      <c r="AM787" s="86"/>
    </row>
    <row r="788" spans="1:39" ht="18" customHeight="1">
      <c r="A788" s="81"/>
      <c r="B788" s="205" t="str">
        <f>_xlfn.LET(_xlpm.var,◆관리정보!B788,IF(_xlpm.var&lt;&gt;0,_xlpm.var,""))</f>
        <v/>
      </c>
      <c r="C788" s="82" t="str">
        <f>_xlfn.LET(_xlpm.var,◆관리정보!C788,IF(_xlpm.var&lt;&gt;0,_xlpm.var,""))</f>
        <v/>
      </c>
      <c r="D788" s="83"/>
      <c r="E788" s="84" t="str">
        <f t="shared" si="25"/>
        <v/>
      </c>
      <c r="F788" s="87"/>
      <c r="G788" s="229"/>
      <c r="H788" s="229"/>
      <c r="I788" s="229"/>
      <c r="J788" s="229"/>
      <c r="K788" s="218"/>
      <c r="L788" s="87"/>
      <c r="M788" s="87"/>
      <c r="N788" s="82"/>
      <c r="O788" s="82"/>
      <c r="P788" s="241"/>
      <c r="Q788" s="241"/>
      <c r="R788" s="82"/>
      <c r="S788" s="241"/>
      <c r="T788" s="82"/>
      <c r="U788" s="241"/>
      <c r="V788" s="82"/>
      <c r="W788" s="88"/>
      <c r="X788" s="82"/>
      <c r="Y788" s="89"/>
      <c r="Z788" s="82"/>
      <c r="AA788" s="90"/>
      <c r="AB788" s="241"/>
      <c r="AC788" s="241"/>
      <c r="AD788" s="241"/>
      <c r="AE788" s="82"/>
      <c r="AF788" s="82"/>
      <c r="AG788" s="90"/>
      <c r="AH788" s="90"/>
      <c r="AI788" s="90"/>
      <c r="AJ788" s="90"/>
      <c r="AK788" s="82"/>
      <c r="AL788" s="82" t="str" cm="1">
        <f t="array" aca="1" ref="AL788" ca="1">_xlfn.IFS(
 AND($AK788&lt;&gt;"", M788&lt;&gt;0, M788&lt;=EDATE(TODAY(),2)),"도래",
 AND($AK788&lt;&gt;"", M788&lt;&gt;0, M788&lt;=EDATE(TODAY(),3)),"예정",
 AND($AK788&lt;&gt;"", M788&lt;&gt;0, M788&lt;=EDATE(TODAY(),6)),"관심",
 TRUE,""
)</f>
        <v/>
      </c>
      <c r="AM788" s="86"/>
    </row>
    <row r="789" spans="1:39" ht="18" customHeight="1">
      <c r="A789" s="81"/>
      <c r="B789" s="205" t="str">
        <f>_xlfn.LET(_xlpm.var,◆관리정보!B789,IF(_xlpm.var&lt;&gt;0,_xlpm.var,""))</f>
        <v/>
      </c>
      <c r="C789" s="82" t="str">
        <f>_xlfn.LET(_xlpm.var,◆관리정보!C789,IF(_xlpm.var&lt;&gt;0,_xlpm.var,""))</f>
        <v/>
      </c>
      <c r="D789" s="83"/>
      <c r="E789" s="84" t="str">
        <f t="shared" si="25"/>
        <v/>
      </c>
      <c r="F789" s="87"/>
      <c r="G789" s="229"/>
      <c r="H789" s="229"/>
      <c r="I789" s="229"/>
      <c r="J789" s="229"/>
      <c r="K789" s="218"/>
      <c r="L789" s="87"/>
      <c r="M789" s="87"/>
      <c r="N789" s="82"/>
      <c r="O789" s="82"/>
      <c r="P789" s="241"/>
      <c r="Q789" s="241"/>
      <c r="R789" s="82"/>
      <c r="S789" s="241"/>
      <c r="T789" s="82"/>
      <c r="U789" s="241"/>
      <c r="V789" s="82"/>
      <c r="W789" s="88"/>
      <c r="X789" s="82"/>
      <c r="Y789" s="89"/>
      <c r="Z789" s="82"/>
      <c r="AA789" s="90"/>
      <c r="AB789" s="241"/>
      <c r="AC789" s="241"/>
      <c r="AD789" s="241"/>
      <c r="AE789" s="82"/>
      <c r="AF789" s="82"/>
      <c r="AG789" s="90"/>
      <c r="AH789" s="90"/>
      <c r="AI789" s="90"/>
      <c r="AJ789" s="90"/>
      <c r="AK789" s="82"/>
      <c r="AL789" s="82" t="str" cm="1">
        <f t="array" aca="1" ref="AL789" ca="1">_xlfn.IFS(
 AND($AK789&lt;&gt;"", M789&lt;&gt;0, M789&lt;=EDATE(TODAY(),2)),"도래",
 AND($AK789&lt;&gt;"", M789&lt;&gt;0, M789&lt;=EDATE(TODAY(),3)),"예정",
 AND($AK789&lt;&gt;"", M789&lt;&gt;0, M789&lt;=EDATE(TODAY(),6)),"관심",
 TRUE,""
)</f>
        <v/>
      </c>
      <c r="AM789" s="86"/>
    </row>
    <row r="790" spans="1:39" ht="18" customHeight="1">
      <c r="A790" s="81"/>
      <c r="B790" s="205" t="str">
        <f>_xlfn.LET(_xlpm.var,◆관리정보!B790,IF(_xlpm.var&lt;&gt;0,_xlpm.var,""))</f>
        <v/>
      </c>
      <c r="C790" s="82" t="str">
        <f>_xlfn.LET(_xlpm.var,◆관리정보!C790,IF(_xlpm.var&lt;&gt;0,_xlpm.var,""))</f>
        <v/>
      </c>
      <c r="D790" s="83"/>
      <c r="E790" s="84" t="str">
        <f t="shared" si="25"/>
        <v/>
      </c>
      <c r="F790" s="87"/>
      <c r="G790" s="229"/>
      <c r="H790" s="229"/>
      <c r="I790" s="229"/>
      <c r="J790" s="229"/>
      <c r="K790" s="218"/>
      <c r="L790" s="87"/>
      <c r="M790" s="87"/>
      <c r="N790" s="82"/>
      <c r="O790" s="82"/>
      <c r="P790" s="241"/>
      <c r="Q790" s="241"/>
      <c r="R790" s="82"/>
      <c r="S790" s="241"/>
      <c r="T790" s="82"/>
      <c r="U790" s="241"/>
      <c r="V790" s="82"/>
      <c r="W790" s="88"/>
      <c r="X790" s="82"/>
      <c r="Y790" s="89"/>
      <c r="Z790" s="82"/>
      <c r="AA790" s="90"/>
      <c r="AB790" s="241"/>
      <c r="AC790" s="241"/>
      <c r="AD790" s="241"/>
      <c r="AE790" s="82"/>
      <c r="AF790" s="82"/>
      <c r="AG790" s="90"/>
      <c r="AH790" s="90"/>
      <c r="AI790" s="90"/>
      <c r="AJ790" s="90"/>
      <c r="AK790" s="82"/>
      <c r="AL790" s="82" t="str" cm="1">
        <f t="array" aca="1" ref="AL790" ca="1">_xlfn.IFS(
 AND($AK790&lt;&gt;"", M790&lt;&gt;0, M790&lt;=EDATE(TODAY(),2)),"도래",
 AND($AK790&lt;&gt;"", M790&lt;&gt;0, M790&lt;=EDATE(TODAY(),3)),"예정",
 AND($AK790&lt;&gt;"", M790&lt;&gt;0, M790&lt;=EDATE(TODAY(),6)),"관심",
 TRUE,""
)</f>
        <v/>
      </c>
      <c r="AM790" s="86"/>
    </row>
    <row r="791" spans="1:39" ht="18" customHeight="1">
      <c r="A791" s="81"/>
      <c r="B791" s="205" t="str">
        <f>_xlfn.LET(_xlpm.var,◆관리정보!B791,IF(_xlpm.var&lt;&gt;0,_xlpm.var,""))</f>
        <v/>
      </c>
      <c r="C791" s="82" t="str">
        <f>_xlfn.LET(_xlpm.var,◆관리정보!C791,IF(_xlpm.var&lt;&gt;0,_xlpm.var,""))</f>
        <v/>
      </c>
      <c r="D791" s="83"/>
      <c r="E791" s="84" t="str">
        <f t="shared" si="25"/>
        <v/>
      </c>
      <c r="F791" s="87"/>
      <c r="G791" s="229"/>
      <c r="H791" s="229"/>
      <c r="I791" s="229"/>
      <c r="J791" s="229"/>
      <c r="K791" s="218"/>
      <c r="L791" s="87"/>
      <c r="M791" s="87"/>
      <c r="N791" s="82"/>
      <c r="O791" s="82"/>
      <c r="P791" s="241"/>
      <c r="Q791" s="241"/>
      <c r="R791" s="82"/>
      <c r="S791" s="241"/>
      <c r="T791" s="82"/>
      <c r="U791" s="241"/>
      <c r="V791" s="82"/>
      <c r="W791" s="88"/>
      <c r="X791" s="82"/>
      <c r="Y791" s="89"/>
      <c r="Z791" s="82"/>
      <c r="AA791" s="90"/>
      <c r="AB791" s="241"/>
      <c r="AC791" s="241"/>
      <c r="AD791" s="241"/>
      <c r="AE791" s="82"/>
      <c r="AF791" s="82"/>
      <c r="AG791" s="90"/>
      <c r="AH791" s="90"/>
      <c r="AI791" s="90"/>
      <c r="AJ791" s="90"/>
      <c r="AK791" s="82"/>
      <c r="AL791" s="82" t="str" cm="1">
        <f t="array" aca="1" ref="AL791" ca="1">_xlfn.IFS(
 AND($AK791&lt;&gt;"", M791&lt;&gt;0, M791&lt;=EDATE(TODAY(),2)),"도래",
 AND($AK791&lt;&gt;"", M791&lt;&gt;0, M791&lt;=EDATE(TODAY(),3)),"예정",
 AND($AK791&lt;&gt;"", M791&lt;&gt;0, M791&lt;=EDATE(TODAY(),6)),"관심",
 TRUE,""
)</f>
        <v/>
      </c>
      <c r="AM791" s="86"/>
    </row>
    <row r="792" spans="1:39" ht="18" customHeight="1">
      <c r="A792" s="81"/>
      <c r="B792" s="205" t="str">
        <f>_xlfn.LET(_xlpm.var,◆관리정보!B792,IF(_xlpm.var&lt;&gt;0,_xlpm.var,""))</f>
        <v/>
      </c>
      <c r="C792" s="82" t="str">
        <f>_xlfn.LET(_xlpm.var,◆관리정보!C792,IF(_xlpm.var&lt;&gt;0,_xlpm.var,""))</f>
        <v/>
      </c>
      <c r="D792" s="83"/>
      <c r="E792" s="84" t="str">
        <f t="shared" si="25"/>
        <v/>
      </c>
      <c r="F792" s="87"/>
      <c r="G792" s="229"/>
      <c r="H792" s="229"/>
      <c r="I792" s="229"/>
      <c r="J792" s="229"/>
      <c r="K792" s="218"/>
      <c r="L792" s="87"/>
      <c r="M792" s="87"/>
      <c r="N792" s="82"/>
      <c r="O792" s="82"/>
      <c r="P792" s="241"/>
      <c r="Q792" s="241"/>
      <c r="R792" s="82"/>
      <c r="S792" s="241"/>
      <c r="T792" s="82"/>
      <c r="U792" s="241"/>
      <c r="V792" s="82"/>
      <c r="W792" s="88"/>
      <c r="X792" s="82"/>
      <c r="Y792" s="89"/>
      <c r="Z792" s="82"/>
      <c r="AA792" s="90"/>
      <c r="AB792" s="241"/>
      <c r="AC792" s="241"/>
      <c r="AD792" s="241"/>
      <c r="AE792" s="82"/>
      <c r="AF792" s="82"/>
      <c r="AG792" s="90"/>
      <c r="AH792" s="90"/>
      <c r="AI792" s="90"/>
      <c r="AJ792" s="90"/>
      <c r="AK792" s="82"/>
      <c r="AL792" s="82" t="str" cm="1">
        <f t="array" aca="1" ref="AL792" ca="1">_xlfn.IFS(
 AND($AK792&lt;&gt;"", M792&lt;&gt;0, M792&lt;=EDATE(TODAY(),2)),"도래",
 AND($AK792&lt;&gt;"", M792&lt;&gt;0, M792&lt;=EDATE(TODAY(),3)),"예정",
 AND($AK792&lt;&gt;"", M792&lt;&gt;0, M792&lt;=EDATE(TODAY(),6)),"관심",
 TRUE,""
)</f>
        <v/>
      </c>
      <c r="AM792" s="86"/>
    </row>
    <row r="793" spans="1:39" ht="18" customHeight="1">
      <c r="A793" s="81"/>
      <c r="B793" s="205" t="str">
        <f>_xlfn.LET(_xlpm.var,◆관리정보!B793,IF(_xlpm.var&lt;&gt;0,_xlpm.var,""))</f>
        <v/>
      </c>
      <c r="C793" s="82" t="str">
        <f>_xlfn.LET(_xlpm.var,◆관리정보!C793,IF(_xlpm.var&lt;&gt;0,_xlpm.var,""))</f>
        <v/>
      </c>
      <c r="D793" s="83"/>
      <c r="E793" s="84" t="str">
        <f t="shared" si="25"/>
        <v/>
      </c>
      <c r="F793" s="87"/>
      <c r="G793" s="229"/>
      <c r="H793" s="229"/>
      <c r="I793" s="229"/>
      <c r="J793" s="229"/>
      <c r="K793" s="218"/>
      <c r="L793" s="87"/>
      <c r="M793" s="87"/>
      <c r="N793" s="82"/>
      <c r="O793" s="82"/>
      <c r="P793" s="241"/>
      <c r="Q793" s="241"/>
      <c r="R793" s="82"/>
      <c r="S793" s="241"/>
      <c r="T793" s="82"/>
      <c r="U793" s="241"/>
      <c r="V793" s="82"/>
      <c r="W793" s="88"/>
      <c r="X793" s="82"/>
      <c r="Y793" s="89"/>
      <c r="Z793" s="82"/>
      <c r="AA793" s="90"/>
      <c r="AB793" s="241"/>
      <c r="AC793" s="241"/>
      <c r="AD793" s="241"/>
      <c r="AE793" s="82"/>
      <c r="AF793" s="82"/>
      <c r="AG793" s="90"/>
      <c r="AH793" s="90"/>
      <c r="AI793" s="90"/>
      <c r="AJ793" s="90"/>
      <c r="AK793" s="82"/>
      <c r="AL793" s="82" t="str" cm="1">
        <f t="array" aca="1" ref="AL793" ca="1">_xlfn.IFS(
 AND($AK793&lt;&gt;"", M793&lt;&gt;0, M793&lt;=EDATE(TODAY(),2)),"도래",
 AND($AK793&lt;&gt;"", M793&lt;&gt;0, M793&lt;=EDATE(TODAY(),3)),"예정",
 AND($AK793&lt;&gt;"", M793&lt;&gt;0, M793&lt;=EDATE(TODAY(),6)),"관심",
 TRUE,""
)</f>
        <v/>
      </c>
      <c r="AM793" s="86"/>
    </row>
    <row r="794" spans="1:39" ht="18" customHeight="1">
      <c r="A794" s="81"/>
      <c r="B794" s="205" t="str">
        <f>_xlfn.LET(_xlpm.var,◆관리정보!B794,IF(_xlpm.var&lt;&gt;0,_xlpm.var,""))</f>
        <v/>
      </c>
      <c r="C794" s="82" t="str">
        <f>_xlfn.LET(_xlpm.var,◆관리정보!C794,IF(_xlpm.var&lt;&gt;0,_xlpm.var,""))</f>
        <v/>
      </c>
      <c r="D794" s="83"/>
      <c r="E794" s="84" t="str">
        <f t="shared" si="25"/>
        <v/>
      </c>
      <c r="F794" s="87"/>
      <c r="G794" s="229"/>
      <c r="H794" s="229"/>
      <c r="I794" s="229"/>
      <c r="J794" s="229"/>
      <c r="K794" s="218"/>
      <c r="L794" s="87"/>
      <c r="M794" s="87"/>
      <c r="N794" s="82"/>
      <c r="O794" s="82"/>
      <c r="P794" s="241"/>
      <c r="Q794" s="241"/>
      <c r="R794" s="82"/>
      <c r="S794" s="241"/>
      <c r="T794" s="82"/>
      <c r="U794" s="241"/>
      <c r="V794" s="82"/>
      <c r="W794" s="88"/>
      <c r="X794" s="82"/>
      <c r="Y794" s="89"/>
      <c r="Z794" s="82"/>
      <c r="AA794" s="90"/>
      <c r="AB794" s="241"/>
      <c r="AC794" s="241"/>
      <c r="AD794" s="241"/>
      <c r="AE794" s="82"/>
      <c r="AF794" s="82"/>
      <c r="AG794" s="90"/>
      <c r="AH794" s="90"/>
      <c r="AI794" s="90"/>
      <c r="AJ794" s="90"/>
      <c r="AK794" s="82"/>
      <c r="AL794" s="82" t="str" cm="1">
        <f t="array" aca="1" ref="AL794" ca="1">_xlfn.IFS(
 AND($AK794&lt;&gt;"", M794&lt;&gt;0, M794&lt;=EDATE(TODAY(),2)),"도래",
 AND($AK794&lt;&gt;"", M794&lt;&gt;0, M794&lt;=EDATE(TODAY(),3)),"예정",
 AND($AK794&lt;&gt;"", M794&lt;&gt;0, M794&lt;=EDATE(TODAY(),6)),"관심",
 TRUE,""
)</f>
        <v/>
      </c>
      <c r="AM794" s="86"/>
    </row>
    <row r="795" spans="1:39" ht="18" customHeight="1">
      <c r="A795" s="81"/>
      <c r="B795" s="205" t="str">
        <f>_xlfn.LET(_xlpm.var,◆관리정보!B795,IF(_xlpm.var&lt;&gt;0,_xlpm.var,""))</f>
        <v/>
      </c>
      <c r="C795" s="82" t="str">
        <f>_xlfn.LET(_xlpm.var,◆관리정보!C795,IF(_xlpm.var&lt;&gt;0,_xlpm.var,""))</f>
        <v/>
      </c>
      <c r="D795" s="83"/>
      <c r="E795" s="84" t="str">
        <f t="shared" si="25"/>
        <v/>
      </c>
      <c r="F795" s="87"/>
      <c r="G795" s="229"/>
      <c r="H795" s="229"/>
      <c r="I795" s="229"/>
      <c r="J795" s="229"/>
      <c r="K795" s="218"/>
      <c r="L795" s="87"/>
      <c r="M795" s="87"/>
      <c r="N795" s="82"/>
      <c r="O795" s="82"/>
      <c r="P795" s="241"/>
      <c r="Q795" s="241"/>
      <c r="R795" s="82"/>
      <c r="S795" s="241"/>
      <c r="T795" s="82"/>
      <c r="U795" s="241"/>
      <c r="V795" s="82"/>
      <c r="W795" s="88"/>
      <c r="X795" s="82"/>
      <c r="Y795" s="89"/>
      <c r="Z795" s="82"/>
      <c r="AA795" s="90"/>
      <c r="AB795" s="241"/>
      <c r="AC795" s="241"/>
      <c r="AD795" s="241"/>
      <c r="AE795" s="82"/>
      <c r="AF795" s="82"/>
      <c r="AG795" s="90"/>
      <c r="AH795" s="90"/>
      <c r="AI795" s="90"/>
      <c r="AJ795" s="90"/>
      <c r="AK795" s="82"/>
      <c r="AL795" s="82" t="str" cm="1">
        <f t="array" aca="1" ref="AL795" ca="1">_xlfn.IFS(
 AND($AK795&lt;&gt;"", M795&lt;&gt;0, M795&lt;=EDATE(TODAY(),2)),"도래",
 AND($AK795&lt;&gt;"", M795&lt;&gt;0, M795&lt;=EDATE(TODAY(),3)),"예정",
 AND($AK795&lt;&gt;"", M795&lt;&gt;0, M795&lt;=EDATE(TODAY(),6)),"관심",
 TRUE,""
)</f>
        <v/>
      </c>
      <c r="AM795" s="86"/>
    </row>
    <row r="796" spans="1:39" ht="18" customHeight="1">
      <c r="A796" s="81"/>
      <c r="B796" s="205" t="str">
        <f>_xlfn.LET(_xlpm.var,◆관리정보!B796,IF(_xlpm.var&lt;&gt;0,_xlpm.var,""))</f>
        <v/>
      </c>
      <c r="C796" s="82" t="str">
        <f>_xlfn.LET(_xlpm.var,◆관리정보!C796,IF(_xlpm.var&lt;&gt;0,_xlpm.var,""))</f>
        <v/>
      </c>
      <c r="D796" s="83"/>
      <c r="E796" s="84" t="str">
        <f t="shared" si="25"/>
        <v/>
      </c>
      <c r="F796" s="87"/>
      <c r="G796" s="229"/>
      <c r="H796" s="229"/>
      <c r="I796" s="229"/>
      <c r="J796" s="229"/>
      <c r="K796" s="218"/>
      <c r="L796" s="87"/>
      <c r="M796" s="87"/>
      <c r="N796" s="82"/>
      <c r="O796" s="82"/>
      <c r="P796" s="241"/>
      <c r="Q796" s="241"/>
      <c r="R796" s="82"/>
      <c r="S796" s="241"/>
      <c r="T796" s="82"/>
      <c r="U796" s="241"/>
      <c r="V796" s="82"/>
      <c r="W796" s="88"/>
      <c r="X796" s="82"/>
      <c r="Y796" s="89"/>
      <c r="Z796" s="82"/>
      <c r="AA796" s="90"/>
      <c r="AB796" s="241"/>
      <c r="AC796" s="241"/>
      <c r="AD796" s="241"/>
      <c r="AE796" s="82"/>
      <c r="AF796" s="82"/>
      <c r="AG796" s="90"/>
      <c r="AH796" s="90"/>
      <c r="AI796" s="90"/>
      <c r="AJ796" s="90"/>
      <c r="AK796" s="82"/>
      <c r="AL796" s="82" t="str" cm="1">
        <f t="array" aca="1" ref="AL796" ca="1">_xlfn.IFS(
 AND($AK796&lt;&gt;"", M796&lt;&gt;0, M796&lt;=EDATE(TODAY(),2)),"도래",
 AND($AK796&lt;&gt;"", M796&lt;&gt;0, M796&lt;=EDATE(TODAY(),3)),"예정",
 AND($AK796&lt;&gt;"", M796&lt;&gt;0, M796&lt;=EDATE(TODAY(),6)),"관심",
 TRUE,""
)</f>
        <v/>
      </c>
      <c r="AM796" s="86"/>
    </row>
    <row r="797" spans="1:39" ht="18" customHeight="1">
      <c r="A797" s="81"/>
      <c r="B797" s="205" t="str">
        <f>_xlfn.LET(_xlpm.var,◆관리정보!B797,IF(_xlpm.var&lt;&gt;0,_xlpm.var,""))</f>
        <v/>
      </c>
      <c r="C797" s="82" t="str">
        <f>_xlfn.LET(_xlpm.var,◆관리정보!C797,IF(_xlpm.var&lt;&gt;0,_xlpm.var,""))</f>
        <v/>
      </c>
      <c r="D797" s="83"/>
      <c r="E797" s="84" t="str">
        <f t="shared" si="25"/>
        <v/>
      </c>
      <c r="F797" s="87"/>
      <c r="G797" s="229"/>
      <c r="H797" s="229"/>
      <c r="I797" s="229"/>
      <c r="J797" s="229"/>
      <c r="K797" s="218"/>
      <c r="L797" s="87"/>
      <c r="M797" s="87"/>
      <c r="N797" s="82"/>
      <c r="O797" s="82"/>
      <c r="P797" s="241"/>
      <c r="Q797" s="241"/>
      <c r="R797" s="82"/>
      <c r="S797" s="241"/>
      <c r="T797" s="82"/>
      <c r="U797" s="241"/>
      <c r="V797" s="82"/>
      <c r="W797" s="88"/>
      <c r="X797" s="82"/>
      <c r="Y797" s="89"/>
      <c r="Z797" s="82"/>
      <c r="AA797" s="90"/>
      <c r="AB797" s="241"/>
      <c r="AC797" s="241"/>
      <c r="AD797" s="241"/>
      <c r="AE797" s="82"/>
      <c r="AF797" s="82"/>
      <c r="AG797" s="90"/>
      <c r="AH797" s="90"/>
      <c r="AI797" s="90"/>
      <c r="AJ797" s="90"/>
      <c r="AK797" s="82"/>
      <c r="AL797" s="82" t="str" cm="1">
        <f t="array" aca="1" ref="AL797" ca="1">_xlfn.IFS(
 AND($AK797&lt;&gt;"", M797&lt;&gt;0, M797&lt;=EDATE(TODAY(),2)),"도래",
 AND($AK797&lt;&gt;"", M797&lt;&gt;0, M797&lt;=EDATE(TODAY(),3)),"예정",
 AND($AK797&lt;&gt;"", M797&lt;&gt;0, M797&lt;=EDATE(TODAY(),6)),"관심",
 TRUE,""
)</f>
        <v/>
      </c>
      <c r="AM797" s="86"/>
    </row>
    <row r="798" spans="1:39" ht="18" customHeight="1">
      <c r="A798" s="81"/>
      <c r="B798" s="205" t="str">
        <f>_xlfn.LET(_xlpm.var,◆관리정보!B798,IF(_xlpm.var&lt;&gt;0,_xlpm.var,""))</f>
        <v/>
      </c>
      <c r="C798" s="82" t="str">
        <f>_xlfn.LET(_xlpm.var,◆관리정보!C798,IF(_xlpm.var&lt;&gt;0,_xlpm.var,""))</f>
        <v/>
      </c>
      <c r="D798" s="83"/>
      <c r="E798" s="84" t="str">
        <f t="shared" si="25"/>
        <v/>
      </c>
      <c r="F798" s="87"/>
      <c r="G798" s="229"/>
      <c r="H798" s="229"/>
      <c r="I798" s="229"/>
      <c r="J798" s="229"/>
      <c r="K798" s="218"/>
      <c r="L798" s="87"/>
      <c r="M798" s="87"/>
      <c r="N798" s="82"/>
      <c r="O798" s="82"/>
      <c r="P798" s="241"/>
      <c r="Q798" s="241"/>
      <c r="R798" s="82"/>
      <c r="S798" s="241"/>
      <c r="T798" s="82"/>
      <c r="U798" s="241"/>
      <c r="V798" s="82"/>
      <c r="W798" s="88"/>
      <c r="X798" s="82"/>
      <c r="Y798" s="89"/>
      <c r="Z798" s="82"/>
      <c r="AA798" s="90"/>
      <c r="AB798" s="241"/>
      <c r="AC798" s="241"/>
      <c r="AD798" s="241"/>
      <c r="AE798" s="82"/>
      <c r="AF798" s="82"/>
      <c r="AG798" s="90"/>
      <c r="AH798" s="90"/>
      <c r="AI798" s="90"/>
      <c r="AJ798" s="90"/>
      <c r="AK798" s="82"/>
      <c r="AL798" s="82" t="str" cm="1">
        <f t="array" aca="1" ref="AL798" ca="1">_xlfn.IFS(
 AND($AK798&lt;&gt;"", M798&lt;&gt;0, M798&lt;=EDATE(TODAY(),2)),"도래",
 AND($AK798&lt;&gt;"", M798&lt;&gt;0, M798&lt;=EDATE(TODAY(),3)),"예정",
 AND($AK798&lt;&gt;"", M798&lt;&gt;0, M798&lt;=EDATE(TODAY(),6)),"관심",
 TRUE,""
)</f>
        <v/>
      </c>
      <c r="AM798" s="86"/>
    </row>
    <row r="799" spans="1:39" ht="18" customHeight="1">
      <c r="A799" s="81"/>
      <c r="B799" s="205" t="str">
        <f>_xlfn.LET(_xlpm.var,◆관리정보!B799,IF(_xlpm.var&lt;&gt;0,_xlpm.var,""))</f>
        <v/>
      </c>
      <c r="C799" s="82" t="str">
        <f>_xlfn.LET(_xlpm.var,◆관리정보!C799,IF(_xlpm.var&lt;&gt;0,_xlpm.var,""))</f>
        <v/>
      </c>
      <c r="D799" s="83"/>
      <c r="E799" s="84" t="str">
        <f t="shared" si="25"/>
        <v/>
      </c>
      <c r="F799" s="87"/>
      <c r="G799" s="229"/>
      <c r="H799" s="229"/>
      <c r="I799" s="229"/>
      <c r="J799" s="229"/>
      <c r="K799" s="218"/>
      <c r="L799" s="87"/>
      <c r="M799" s="87"/>
      <c r="N799" s="82"/>
      <c r="O799" s="82"/>
      <c r="P799" s="241"/>
      <c r="Q799" s="241"/>
      <c r="R799" s="82"/>
      <c r="S799" s="241"/>
      <c r="T799" s="82"/>
      <c r="U799" s="241"/>
      <c r="V799" s="82"/>
      <c r="W799" s="88"/>
      <c r="X799" s="82"/>
      <c r="Y799" s="89"/>
      <c r="Z799" s="82"/>
      <c r="AA799" s="90"/>
      <c r="AB799" s="241"/>
      <c r="AC799" s="241"/>
      <c r="AD799" s="241"/>
      <c r="AE799" s="82"/>
      <c r="AF799" s="82"/>
      <c r="AG799" s="90"/>
      <c r="AH799" s="90"/>
      <c r="AI799" s="90"/>
      <c r="AJ799" s="90"/>
      <c r="AK799" s="82"/>
      <c r="AL799" s="82" t="str" cm="1">
        <f t="array" aca="1" ref="AL799" ca="1">_xlfn.IFS(
 AND($AK799&lt;&gt;"", M799&lt;&gt;0, M799&lt;=EDATE(TODAY(),2)),"도래",
 AND($AK799&lt;&gt;"", M799&lt;&gt;0, M799&lt;=EDATE(TODAY(),3)),"예정",
 AND($AK799&lt;&gt;"", M799&lt;&gt;0, M799&lt;=EDATE(TODAY(),6)),"관심",
 TRUE,""
)</f>
        <v/>
      </c>
      <c r="AM799" s="86"/>
    </row>
    <row r="800" spans="1:39" ht="18" customHeight="1">
      <c r="A800" s="81"/>
      <c r="B800" s="205" t="str">
        <f>_xlfn.LET(_xlpm.var,◆관리정보!B800,IF(_xlpm.var&lt;&gt;0,_xlpm.var,""))</f>
        <v/>
      </c>
      <c r="C800" s="82" t="str">
        <f>_xlfn.LET(_xlpm.var,◆관리정보!C800,IF(_xlpm.var&lt;&gt;0,_xlpm.var,""))</f>
        <v/>
      </c>
      <c r="D800" s="83"/>
      <c r="E800" s="84" t="str">
        <f t="shared" si="25"/>
        <v/>
      </c>
      <c r="F800" s="87"/>
      <c r="G800" s="229"/>
      <c r="H800" s="229"/>
      <c r="I800" s="229"/>
      <c r="J800" s="229"/>
      <c r="K800" s="218"/>
      <c r="L800" s="87"/>
      <c r="M800" s="87"/>
      <c r="N800" s="82"/>
      <c r="O800" s="82"/>
      <c r="P800" s="241"/>
      <c r="Q800" s="241"/>
      <c r="R800" s="82"/>
      <c r="S800" s="241"/>
      <c r="T800" s="82"/>
      <c r="U800" s="241"/>
      <c r="V800" s="82"/>
      <c r="W800" s="88"/>
      <c r="X800" s="82"/>
      <c r="Y800" s="89"/>
      <c r="Z800" s="82"/>
      <c r="AA800" s="90"/>
      <c r="AB800" s="241"/>
      <c r="AC800" s="241"/>
      <c r="AD800" s="241"/>
      <c r="AE800" s="82"/>
      <c r="AF800" s="82"/>
      <c r="AG800" s="90"/>
      <c r="AH800" s="90"/>
      <c r="AI800" s="90"/>
      <c r="AJ800" s="90"/>
      <c r="AK800" s="82"/>
      <c r="AL800" s="82" t="str" cm="1">
        <f t="array" aca="1" ref="AL800" ca="1">_xlfn.IFS(
 AND($AK800&lt;&gt;"", M800&lt;&gt;0, M800&lt;=EDATE(TODAY(),2)),"도래",
 AND($AK800&lt;&gt;"", M800&lt;&gt;0, M800&lt;=EDATE(TODAY(),3)),"예정",
 AND($AK800&lt;&gt;"", M800&lt;&gt;0, M800&lt;=EDATE(TODAY(),6)),"관심",
 TRUE,""
)</f>
        <v/>
      </c>
      <c r="AM800" s="86"/>
    </row>
    <row r="801" spans="1:39" ht="18" customHeight="1">
      <c r="A801" s="81"/>
      <c r="B801" s="205" t="str">
        <f>_xlfn.LET(_xlpm.var,◆관리정보!B801,IF(_xlpm.var&lt;&gt;0,_xlpm.var,""))</f>
        <v/>
      </c>
      <c r="C801" s="82" t="str">
        <f>_xlfn.LET(_xlpm.var,◆관리정보!C801,IF(_xlpm.var&lt;&gt;0,_xlpm.var,""))</f>
        <v/>
      </c>
      <c r="D801" s="83"/>
      <c r="E801" s="84" t="str">
        <f t="shared" si="25"/>
        <v/>
      </c>
      <c r="F801" s="87"/>
      <c r="G801" s="229"/>
      <c r="H801" s="229"/>
      <c r="I801" s="229"/>
      <c r="J801" s="229"/>
      <c r="K801" s="218"/>
      <c r="L801" s="87"/>
      <c r="M801" s="87"/>
      <c r="N801" s="82"/>
      <c r="O801" s="82"/>
      <c r="P801" s="241"/>
      <c r="Q801" s="241"/>
      <c r="R801" s="82"/>
      <c r="S801" s="241"/>
      <c r="T801" s="82"/>
      <c r="U801" s="241"/>
      <c r="V801" s="82"/>
      <c r="W801" s="88"/>
      <c r="X801" s="82"/>
      <c r="Y801" s="89"/>
      <c r="Z801" s="82"/>
      <c r="AA801" s="90"/>
      <c r="AB801" s="241"/>
      <c r="AC801" s="241"/>
      <c r="AD801" s="241"/>
      <c r="AE801" s="82"/>
      <c r="AF801" s="82"/>
      <c r="AG801" s="90"/>
      <c r="AH801" s="90"/>
      <c r="AI801" s="90"/>
      <c r="AJ801" s="90"/>
      <c r="AK801" s="82"/>
      <c r="AL801" s="82" t="str" cm="1">
        <f t="array" aca="1" ref="AL801" ca="1">_xlfn.IFS(
 AND($AK801&lt;&gt;"", M801&lt;&gt;0, M801&lt;=EDATE(TODAY(),2)),"도래",
 AND($AK801&lt;&gt;"", M801&lt;&gt;0, M801&lt;=EDATE(TODAY(),3)),"예정",
 AND($AK801&lt;&gt;"", M801&lt;&gt;0, M801&lt;=EDATE(TODAY(),6)),"관심",
 TRUE,""
)</f>
        <v/>
      </c>
      <c r="AM801" s="86"/>
    </row>
    <row r="802" spans="1:39" ht="18" customHeight="1">
      <c r="A802" s="81"/>
      <c r="B802" s="205" t="str">
        <f>_xlfn.LET(_xlpm.var,◆관리정보!B802,IF(_xlpm.var&lt;&gt;0,_xlpm.var,""))</f>
        <v/>
      </c>
      <c r="C802" s="82" t="str">
        <f>_xlfn.LET(_xlpm.var,◆관리정보!C802,IF(_xlpm.var&lt;&gt;0,_xlpm.var,""))</f>
        <v/>
      </c>
      <c r="D802" s="83"/>
      <c r="E802" s="84" t="str">
        <f t="shared" si="25"/>
        <v/>
      </c>
      <c r="F802" s="87"/>
      <c r="G802" s="229"/>
      <c r="H802" s="229"/>
      <c r="I802" s="229"/>
      <c r="J802" s="229"/>
      <c r="K802" s="218"/>
      <c r="L802" s="87"/>
      <c r="M802" s="87"/>
      <c r="N802" s="82"/>
      <c r="O802" s="82"/>
      <c r="P802" s="241"/>
      <c r="Q802" s="241"/>
      <c r="R802" s="82"/>
      <c r="S802" s="241"/>
      <c r="T802" s="82"/>
      <c r="U802" s="241"/>
      <c r="V802" s="82"/>
      <c r="W802" s="88"/>
      <c r="X802" s="82"/>
      <c r="Y802" s="89"/>
      <c r="Z802" s="82"/>
      <c r="AA802" s="90"/>
      <c r="AB802" s="241"/>
      <c r="AC802" s="241"/>
      <c r="AD802" s="241"/>
      <c r="AE802" s="82"/>
      <c r="AF802" s="82"/>
      <c r="AG802" s="90"/>
      <c r="AH802" s="90"/>
      <c r="AI802" s="90"/>
      <c r="AJ802" s="90"/>
      <c r="AK802" s="82"/>
      <c r="AL802" s="82" t="str" cm="1">
        <f t="array" aca="1" ref="AL802" ca="1">_xlfn.IFS(
 AND($AK802&lt;&gt;"", M802&lt;&gt;0, M802&lt;=EDATE(TODAY(),2)),"도래",
 AND($AK802&lt;&gt;"", M802&lt;&gt;0, M802&lt;=EDATE(TODAY(),3)),"예정",
 AND($AK802&lt;&gt;"", M802&lt;&gt;0, M802&lt;=EDATE(TODAY(),6)),"관심",
 TRUE,""
)</f>
        <v/>
      </c>
      <c r="AM802" s="86"/>
    </row>
    <row r="803" spans="1:39" ht="18" customHeight="1">
      <c r="A803" s="81"/>
      <c r="B803" s="205" t="str">
        <f>_xlfn.LET(_xlpm.var,◆관리정보!B803,IF(_xlpm.var&lt;&gt;0,_xlpm.var,""))</f>
        <v/>
      </c>
      <c r="C803" s="82" t="str">
        <f>_xlfn.LET(_xlpm.var,◆관리정보!C803,IF(_xlpm.var&lt;&gt;0,_xlpm.var,""))</f>
        <v/>
      </c>
      <c r="D803" s="83"/>
      <c r="E803" s="84" t="str">
        <f t="shared" si="25"/>
        <v/>
      </c>
      <c r="F803" s="87"/>
      <c r="G803" s="229"/>
      <c r="H803" s="229"/>
      <c r="I803" s="229"/>
      <c r="J803" s="229"/>
      <c r="K803" s="218"/>
      <c r="L803" s="87"/>
      <c r="M803" s="87"/>
      <c r="N803" s="82"/>
      <c r="O803" s="82"/>
      <c r="P803" s="241"/>
      <c r="Q803" s="241"/>
      <c r="R803" s="82"/>
      <c r="S803" s="241"/>
      <c r="T803" s="82"/>
      <c r="U803" s="241"/>
      <c r="V803" s="82"/>
      <c r="W803" s="88"/>
      <c r="X803" s="82"/>
      <c r="Y803" s="89"/>
      <c r="Z803" s="82"/>
      <c r="AA803" s="90"/>
      <c r="AB803" s="241"/>
      <c r="AC803" s="241"/>
      <c r="AD803" s="241"/>
      <c r="AE803" s="82"/>
      <c r="AF803" s="82"/>
      <c r="AG803" s="90"/>
      <c r="AH803" s="90"/>
      <c r="AI803" s="90"/>
      <c r="AJ803" s="90"/>
      <c r="AK803" s="82"/>
      <c r="AL803" s="82" t="str" cm="1">
        <f t="array" aca="1" ref="AL803" ca="1">_xlfn.IFS(
 AND($AK803&lt;&gt;"", M803&lt;&gt;0, M803&lt;=EDATE(TODAY(),2)),"도래",
 AND($AK803&lt;&gt;"", M803&lt;&gt;0, M803&lt;=EDATE(TODAY(),3)),"예정",
 AND($AK803&lt;&gt;"", M803&lt;&gt;0, M803&lt;=EDATE(TODAY(),6)),"관심",
 TRUE,""
)</f>
        <v/>
      </c>
      <c r="AM803" s="86"/>
    </row>
    <row r="804" spans="1:39" ht="18" customHeight="1">
      <c r="A804" s="81"/>
      <c r="B804" s="205" t="str">
        <f>_xlfn.LET(_xlpm.var,◆관리정보!B804,IF(_xlpm.var&lt;&gt;0,_xlpm.var,""))</f>
        <v/>
      </c>
      <c r="C804" s="82" t="str">
        <f>_xlfn.LET(_xlpm.var,◆관리정보!C804,IF(_xlpm.var&lt;&gt;0,_xlpm.var,""))</f>
        <v/>
      </c>
      <c r="D804" s="83"/>
      <c r="E804" s="84" t="str">
        <f t="shared" si="25"/>
        <v/>
      </c>
      <c r="F804" s="87"/>
      <c r="G804" s="229"/>
      <c r="H804" s="229"/>
      <c r="I804" s="229"/>
      <c r="J804" s="229"/>
      <c r="K804" s="218"/>
      <c r="L804" s="87"/>
      <c r="M804" s="87"/>
      <c r="N804" s="82"/>
      <c r="O804" s="82"/>
      <c r="P804" s="241"/>
      <c r="Q804" s="241"/>
      <c r="R804" s="82"/>
      <c r="S804" s="241"/>
      <c r="T804" s="82"/>
      <c r="U804" s="241"/>
      <c r="V804" s="82"/>
      <c r="W804" s="88"/>
      <c r="X804" s="82"/>
      <c r="Y804" s="89"/>
      <c r="Z804" s="82"/>
      <c r="AA804" s="90"/>
      <c r="AB804" s="241"/>
      <c r="AC804" s="241"/>
      <c r="AD804" s="241"/>
      <c r="AE804" s="82"/>
      <c r="AF804" s="82"/>
      <c r="AG804" s="90"/>
      <c r="AH804" s="90"/>
      <c r="AI804" s="90"/>
      <c r="AJ804" s="90"/>
      <c r="AK804" s="82"/>
      <c r="AL804" s="82" t="str" cm="1">
        <f t="array" aca="1" ref="AL804" ca="1">_xlfn.IFS(
 AND($AK804&lt;&gt;"", M804&lt;&gt;0, M804&lt;=EDATE(TODAY(),2)),"도래",
 AND($AK804&lt;&gt;"", M804&lt;&gt;0, M804&lt;=EDATE(TODAY(),3)),"예정",
 AND($AK804&lt;&gt;"", M804&lt;&gt;0, M804&lt;=EDATE(TODAY(),6)),"관심",
 TRUE,""
)</f>
        <v/>
      </c>
      <c r="AM804" s="86"/>
    </row>
    <row r="805" spans="1:39" ht="18" customHeight="1">
      <c r="A805" s="81"/>
      <c r="B805" s="205" t="str">
        <f>_xlfn.LET(_xlpm.var,◆관리정보!B805,IF(_xlpm.var&lt;&gt;0,_xlpm.var,""))</f>
        <v/>
      </c>
      <c r="C805" s="82" t="str">
        <f>_xlfn.LET(_xlpm.var,◆관리정보!C805,IF(_xlpm.var&lt;&gt;0,_xlpm.var,""))</f>
        <v/>
      </c>
      <c r="D805" s="83"/>
      <c r="E805" s="84" t="str">
        <f t="shared" si="25"/>
        <v/>
      </c>
      <c r="F805" s="87"/>
      <c r="G805" s="229"/>
      <c r="H805" s="229"/>
      <c r="I805" s="229"/>
      <c r="J805" s="229"/>
      <c r="K805" s="218"/>
      <c r="L805" s="87"/>
      <c r="M805" s="87"/>
      <c r="N805" s="82"/>
      <c r="O805" s="82"/>
      <c r="P805" s="241"/>
      <c r="Q805" s="241"/>
      <c r="R805" s="82"/>
      <c r="S805" s="241"/>
      <c r="T805" s="82"/>
      <c r="U805" s="241"/>
      <c r="V805" s="82"/>
      <c r="W805" s="88"/>
      <c r="X805" s="82"/>
      <c r="Y805" s="89"/>
      <c r="Z805" s="82"/>
      <c r="AA805" s="90"/>
      <c r="AB805" s="241"/>
      <c r="AC805" s="241"/>
      <c r="AD805" s="241"/>
      <c r="AE805" s="82"/>
      <c r="AF805" s="82"/>
      <c r="AG805" s="90"/>
      <c r="AH805" s="90"/>
      <c r="AI805" s="90"/>
      <c r="AJ805" s="90"/>
      <c r="AK805" s="82"/>
      <c r="AL805" s="82" t="str" cm="1">
        <f t="array" aca="1" ref="AL805" ca="1">_xlfn.IFS(
 AND($AK805&lt;&gt;"", M805&lt;&gt;0, M805&lt;=EDATE(TODAY(),2)),"도래",
 AND($AK805&lt;&gt;"", M805&lt;&gt;0, M805&lt;=EDATE(TODAY(),3)),"예정",
 AND($AK805&lt;&gt;"", M805&lt;&gt;0, M805&lt;=EDATE(TODAY(),6)),"관심",
 TRUE,""
)</f>
        <v/>
      </c>
      <c r="AM805" s="86"/>
    </row>
    <row r="806" spans="1:39" ht="18" customHeight="1">
      <c r="A806" s="81"/>
      <c r="B806" s="205" t="str">
        <f>_xlfn.LET(_xlpm.var,◆관리정보!B806,IF(_xlpm.var&lt;&gt;0,_xlpm.var,""))</f>
        <v/>
      </c>
      <c r="C806" s="82" t="str">
        <f>_xlfn.LET(_xlpm.var,◆관리정보!C806,IF(_xlpm.var&lt;&gt;0,_xlpm.var,""))</f>
        <v/>
      </c>
      <c r="D806" s="83"/>
      <c r="E806" s="84" t="str">
        <f t="shared" si="25"/>
        <v/>
      </c>
      <c r="F806" s="87"/>
      <c r="G806" s="229"/>
      <c r="H806" s="229"/>
      <c r="I806" s="229"/>
      <c r="J806" s="229"/>
      <c r="K806" s="218"/>
      <c r="L806" s="87"/>
      <c r="M806" s="87"/>
      <c r="N806" s="82"/>
      <c r="O806" s="82"/>
      <c r="P806" s="241"/>
      <c r="Q806" s="241"/>
      <c r="R806" s="82"/>
      <c r="S806" s="241"/>
      <c r="T806" s="82"/>
      <c r="U806" s="241"/>
      <c r="V806" s="82"/>
      <c r="W806" s="88"/>
      <c r="X806" s="82"/>
      <c r="Y806" s="89"/>
      <c r="Z806" s="82"/>
      <c r="AA806" s="90"/>
      <c r="AB806" s="241"/>
      <c r="AC806" s="241"/>
      <c r="AD806" s="241"/>
      <c r="AE806" s="82"/>
      <c r="AF806" s="82"/>
      <c r="AG806" s="90"/>
      <c r="AH806" s="90"/>
      <c r="AI806" s="90"/>
      <c r="AJ806" s="90"/>
      <c r="AK806" s="82"/>
      <c r="AL806" s="82" t="str" cm="1">
        <f t="array" aca="1" ref="AL806" ca="1">_xlfn.IFS(
 AND($AK806&lt;&gt;"", M806&lt;&gt;0, M806&lt;=EDATE(TODAY(),2)),"도래",
 AND($AK806&lt;&gt;"", M806&lt;&gt;0, M806&lt;=EDATE(TODAY(),3)),"예정",
 AND($AK806&lt;&gt;"", M806&lt;&gt;0, M806&lt;=EDATE(TODAY(),6)),"관심",
 TRUE,""
)</f>
        <v/>
      </c>
      <c r="AM806" s="86"/>
    </row>
    <row r="807" spans="1:39" ht="18" customHeight="1">
      <c r="A807" s="81"/>
      <c r="B807" s="205" t="str">
        <f>_xlfn.LET(_xlpm.var,◆관리정보!B807,IF(_xlpm.var&lt;&gt;0,_xlpm.var,""))</f>
        <v/>
      </c>
      <c r="C807" s="82" t="str">
        <f>_xlfn.LET(_xlpm.var,◆관리정보!C807,IF(_xlpm.var&lt;&gt;0,_xlpm.var,""))</f>
        <v/>
      </c>
      <c r="D807" s="83"/>
      <c r="E807" s="84" t="str">
        <f t="shared" si="25"/>
        <v/>
      </c>
      <c r="F807" s="87"/>
      <c r="G807" s="229"/>
      <c r="H807" s="229"/>
      <c r="I807" s="229"/>
      <c r="J807" s="229"/>
      <c r="K807" s="218"/>
      <c r="L807" s="87"/>
      <c r="M807" s="87"/>
      <c r="N807" s="82"/>
      <c r="O807" s="82"/>
      <c r="P807" s="241"/>
      <c r="Q807" s="241"/>
      <c r="R807" s="82"/>
      <c r="S807" s="241"/>
      <c r="T807" s="82"/>
      <c r="U807" s="241"/>
      <c r="V807" s="82"/>
      <c r="W807" s="88"/>
      <c r="X807" s="82"/>
      <c r="Y807" s="89"/>
      <c r="Z807" s="82"/>
      <c r="AA807" s="90"/>
      <c r="AB807" s="241"/>
      <c r="AC807" s="241"/>
      <c r="AD807" s="241"/>
      <c r="AE807" s="82"/>
      <c r="AF807" s="82"/>
      <c r="AG807" s="90"/>
      <c r="AH807" s="90"/>
      <c r="AI807" s="90"/>
      <c r="AJ807" s="90"/>
      <c r="AK807" s="82"/>
      <c r="AL807" s="82" t="str" cm="1">
        <f t="array" aca="1" ref="AL807" ca="1">_xlfn.IFS(
 AND($AK807&lt;&gt;"", M807&lt;&gt;0, M807&lt;=EDATE(TODAY(),2)),"도래",
 AND($AK807&lt;&gt;"", M807&lt;&gt;0, M807&lt;=EDATE(TODAY(),3)),"예정",
 AND($AK807&lt;&gt;"", M807&lt;&gt;0, M807&lt;=EDATE(TODAY(),6)),"관심",
 TRUE,""
)</f>
        <v/>
      </c>
      <c r="AM807" s="86"/>
    </row>
    <row r="808" spans="1:39" ht="18" customHeight="1">
      <c r="A808" s="81"/>
      <c r="B808" s="205" t="str">
        <f>_xlfn.LET(_xlpm.var,◆관리정보!B808,IF(_xlpm.var&lt;&gt;0,_xlpm.var,""))</f>
        <v/>
      </c>
      <c r="C808" s="82" t="str">
        <f>_xlfn.LET(_xlpm.var,◆관리정보!C808,IF(_xlpm.var&lt;&gt;0,_xlpm.var,""))</f>
        <v/>
      </c>
      <c r="D808" s="83"/>
      <c r="E808" s="84" t="str">
        <f t="shared" si="25"/>
        <v/>
      </c>
      <c r="F808" s="87"/>
      <c r="G808" s="229"/>
      <c r="H808" s="229"/>
      <c r="I808" s="229"/>
      <c r="J808" s="229"/>
      <c r="K808" s="218"/>
      <c r="L808" s="87"/>
      <c r="M808" s="87"/>
      <c r="N808" s="82"/>
      <c r="O808" s="82"/>
      <c r="P808" s="241"/>
      <c r="Q808" s="241"/>
      <c r="R808" s="82"/>
      <c r="S808" s="241"/>
      <c r="T808" s="82"/>
      <c r="U808" s="241"/>
      <c r="V808" s="82"/>
      <c r="W808" s="88"/>
      <c r="X808" s="82"/>
      <c r="Y808" s="89"/>
      <c r="Z808" s="82"/>
      <c r="AA808" s="90"/>
      <c r="AB808" s="241"/>
      <c r="AC808" s="241"/>
      <c r="AD808" s="241"/>
      <c r="AE808" s="82"/>
      <c r="AF808" s="82"/>
      <c r="AG808" s="90"/>
      <c r="AH808" s="90"/>
      <c r="AI808" s="90"/>
      <c r="AJ808" s="90"/>
      <c r="AK808" s="82"/>
      <c r="AL808" s="82" t="str" cm="1">
        <f t="array" aca="1" ref="AL808" ca="1">_xlfn.IFS(
 AND($AK808&lt;&gt;"", M808&lt;&gt;0, M808&lt;=EDATE(TODAY(),2)),"도래",
 AND($AK808&lt;&gt;"", M808&lt;&gt;0, M808&lt;=EDATE(TODAY(),3)),"예정",
 AND($AK808&lt;&gt;"", M808&lt;&gt;0, M808&lt;=EDATE(TODAY(),6)),"관심",
 TRUE,""
)</f>
        <v/>
      </c>
      <c r="AM808" s="86"/>
    </row>
    <row r="809" spans="1:39" ht="18" customHeight="1">
      <c r="A809" s="81"/>
      <c r="B809" s="205" t="str">
        <f>_xlfn.LET(_xlpm.var,◆관리정보!B809,IF(_xlpm.var&lt;&gt;0,_xlpm.var,""))</f>
        <v/>
      </c>
      <c r="C809" s="82" t="str">
        <f>_xlfn.LET(_xlpm.var,◆관리정보!C809,IF(_xlpm.var&lt;&gt;0,_xlpm.var,""))</f>
        <v/>
      </c>
      <c r="D809" s="83"/>
      <c r="E809" s="84" t="str">
        <f t="shared" si="25"/>
        <v/>
      </c>
      <c r="F809" s="87"/>
      <c r="G809" s="229"/>
      <c r="H809" s="229"/>
      <c r="I809" s="229"/>
      <c r="J809" s="229"/>
      <c r="K809" s="218"/>
      <c r="L809" s="87"/>
      <c r="M809" s="87"/>
      <c r="N809" s="82"/>
      <c r="O809" s="82"/>
      <c r="P809" s="241"/>
      <c r="Q809" s="241"/>
      <c r="R809" s="82"/>
      <c r="S809" s="241"/>
      <c r="T809" s="82"/>
      <c r="U809" s="241"/>
      <c r="V809" s="82"/>
      <c r="W809" s="88"/>
      <c r="X809" s="82"/>
      <c r="Y809" s="89"/>
      <c r="Z809" s="82"/>
      <c r="AA809" s="90"/>
      <c r="AB809" s="241"/>
      <c r="AC809" s="241"/>
      <c r="AD809" s="241"/>
      <c r="AE809" s="82"/>
      <c r="AF809" s="82"/>
      <c r="AG809" s="90"/>
      <c r="AH809" s="90"/>
      <c r="AI809" s="90"/>
      <c r="AJ809" s="90"/>
      <c r="AK809" s="82"/>
      <c r="AL809" s="82" t="str" cm="1">
        <f t="array" aca="1" ref="AL809" ca="1">_xlfn.IFS(
 AND($AK809&lt;&gt;"", M809&lt;&gt;0, M809&lt;=EDATE(TODAY(),2)),"도래",
 AND($AK809&lt;&gt;"", M809&lt;&gt;0, M809&lt;=EDATE(TODAY(),3)),"예정",
 AND($AK809&lt;&gt;"", M809&lt;&gt;0, M809&lt;=EDATE(TODAY(),6)),"관심",
 TRUE,""
)</f>
        <v/>
      </c>
      <c r="AM809" s="86"/>
    </row>
    <row r="810" spans="1:39" ht="18" customHeight="1">
      <c r="A810" s="81"/>
      <c r="B810" s="205" t="str">
        <f>_xlfn.LET(_xlpm.var,◆관리정보!B810,IF(_xlpm.var&lt;&gt;0,_xlpm.var,""))</f>
        <v/>
      </c>
      <c r="C810" s="82" t="str">
        <f>_xlfn.LET(_xlpm.var,◆관리정보!C810,IF(_xlpm.var&lt;&gt;0,_xlpm.var,""))</f>
        <v/>
      </c>
      <c r="D810" s="83"/>
      <c r="E810" s="84" t="str">
        <f t="shared" si="25"/>
        <v/>
      </c>
      <c r="F810" s="87"/>
      <c r="G810" s="229"/>
      <c r="H810" s="229"/>
      <c r="I810" s="229"/>
      <c r="J810" s="229"/>
      <c r="K810" s="218"/>
      <c r="L810" s="87"/>
      <c r="M810" s="87"/>
      <c r="N810" s="82"/>
      <c r="O810" s="82"/>
      <c r="P810" s="241"/>
      <c r="Q810" s="241"/>
      <c r="R810" s="82"/>
      <c r="S810" s="241"/>
      <c r="T810" s="82"/>
      <c r="U810" s="241"/>
      <c r="V810" s="82"/>
      <c r="W810" s="88"/>
      <c r="X810" s="82"/>
      <c r="Y810" s="89"/>
      <c r="Z810" s="82"/>
      <c r="AA810" s="90"/>
      <c r="AB810" s="241"/>
      <c r="AC810" s="241"/>
      <c r="AD810" s="241"/>
      <c r="AE810" s="82"/>
      <c r="AF810" s="82"/>
      <c r="AG810" s="90"/>
      <c r="AH810" s="90"/>
      <c r="AI810" s="90"/>
      <c r="AJ810" s="90"/>
      <c r="AK810" s="82"/>
      <c r="AL810" s="82" t="str" cm="1">
        <f t="array" aca="1" ref="AL810" ca="1">_xlfn.IFS(
 AND($AK810&lt;&gt;"", M810&lt;&gt;0, M810&lt;=EDATE(TODAY(),2)),"도래",
 AND($AK810&lt;&gt;"", M810&lt;&gt;0, M810&lt;=EDATE(TODAY(),3)),"예정",
 AND($AK810&lt;&gt;"", M810&lt;&gt;0, M810&lt;=EDATE(TODAY(),6)),"관심",
 TRUE,""
)</f>
        <v/>
      </c>
      <c r="AM810" s="86"/>
    </row>
    <row r="811" spans="1:39" ht="18" customHeight="1">
      <c r="A811" s="81"/>
      <c r="B811" s="205" t="str">
        <f>_xlfn.LET(_xlpm.var,◆관리정보!B811,IF(_xlpm.var&lt;&gt;0,_xlpm.var,""))</f>
        <v/>
      </c>
      <c r="C811" s="82" t="str">
        <f>_xlfn.LET(_xlpm.var,◆관리정보!C811,IF(_xlpm.var&lt;&gt;0,_xlpm.var,""))</f>
        <v/>
      </c>
      <c r="D811" s="83"/>
      <c r="E811" s="84" t="str">
        <f t="shared" si="25"/>
        <v/>
      </c>
      <c r="F811" s="87"/>
      <c r="G811" s="229"/>
      <c r="H811" s="229"/>
      <c r="I811" s="229"/>
      <c r="J811" s="229"/>
      <c r="K811" s="218"/>
      <c r="L811" s="87"/>
      <c r="M811" s="87"/>
      <c r="N811" s="82"/>
      <c r="O811" s="82"/>
      <c r="P811" s="241"/>
      <c r="Q811" s="241"/>
      <c r="R811" s="82"/>
      <c r="S811" s="241"/>
      <c r="T811" s="82"/>
      <c r="U811" s="241"/>
      <c r="V811" s="82"/>
      <c r="W811" s="88"/>
      <c r="X811" s="82"/>
      <c r="Y811" s="89"/>
      <c r="Z811" s="82"/>
      <c r="AA811" s="90"/>
      <c r="AB811" s="241"/>
      <c r="AC811" s="241"/>
      <c r="AD811" s="241"/>
      <c r="AE811" s="82"/>
      <c r="AF811" s="82"/>
      <c r="AG811" s="90"/>
      <c r="AH811" s="90"/>
      <c r="AI811" s="90"/>
      <c r="AJ811" s="90"/>
      <c r="AK811" s="82"/>
      <c r="AL811" s="82" t="str" cm="1">
        <f t="array" aca="1" ref="AL811" ca="1">_xlfn.IFS(
 AND($AK811&lt;&gt;"", M811&lt;&gt;0, M811&lt;=EDATE(TODAY(),2)),"도래",
 AND($AK811&lt;&gt;"", M811&lt;&gt;0, M811&lt;=EDATE(TODAY(),3)),"예정",
 AND($AK811&lt;&gt;"", M811&lt;&gt;0, M811&lt;=EDATE(TODAY(),6)),"관심",
 TRUE,""
)</f>
        <v/>
      </c>
      <c r="AM811" s="86"/>
    </row>
    <row r="812" spans="1:39" ht="18" customHeight="1">
      <c r="A812" s="81"/>
      <c r="B812" s="205" t="str">
        <f>_xlfn.LET(_xlpm.var,◆관리정보!B812,IF(_xlpm.var&lt;&gt;0,_xlpm.var,""))</f>
        <v/>
      </c>
      <c r="C812" s="82" t="str">
        <f>_xlfn.LET(_xlpm.var,◆관리정보!C812,IF(_xlpm.var&lt;&gt;0,_xlpm.var,""))</f>
        <v/>
      </c>
      <c r="D812" s="83"/>
      <c r="E812" s="84" t="str">
        <f t="shared" si="25"/>
        <v/>
      </c>
      <c r="F812" s="87"/>
      <c r="G812" s="229"/>
      <c r="H812" s="229"/>
      <c r="I812" s="229"/>
      <c r="J812" s="229"/>
      <c r="K812" s="218"/>
      <c r="L812" s="87"/>
      <c r="M812" s="87"/>
      <c r="N812" s="82"/>
      <c r="O812" s="82"/>
      <c r="P812" s="241"/>
      <c r="Q812" s="241"/>
      <c r="R812" s="82"/>
      <c r="S812" s="241"/>
      <c r="T812" s="82"/>
      <c r="U812" s="241"/>
      <c r="V812" s="82"/>
      <c r="W812" s="88"/>
      <c r="X812" s="82"/>
      <c r="Y812" s="89"/>
      <c r="Z812" s="82"/>
      <c r="AA812" s="90"/>
      <c r="AB812" s="241"/>
      <c r="AC812" s="241"/>
      <c r="AD812" s="241"/>
      <c r="AE812" s="82"/>
      <c r="AF812" s="82"/>
      <c r="AG812" s="90"/>
      <c r="AH812" s="90"/>
      <c r="AI812" s="90"/>
      <c r="AJ812" s="90"/>
      <c r="AK812" s="82"/>
      <c r="AL812" s="82" t="str" cm="1">
        <f t="array" aca="1" ref="AL812" ca="1">_xlfn.IFS(
 AND($AK812&lt;&gt;"", M812&lt;&gt;0, M812&lt;=EDATE(TODAY(),2)),"도래",
 AND($AK812&lt;&gt;"", M812&lt;&gt;0, M812&lt;=EDATE(TODAY(),3)),"예정",
 AND($AK812&lt;&gt;"", M812&lt;&gt;0, M812&lt;=EDATE(TODAY(),6)),"관심",
 TRUE,""
)</f>
        <v/>
      </c>
      <c r="AM812" s="86"/>
    </row>
    <row r="813" spans="1:39" ht="18" customHeight="1">
      <c r="A813" s="81"/>
      <c r="B813" s="205" t="str">
        <f>_xlfn.LET(_xlpm.var,◆관리정보!B813,IF(_xlpm.var&lt;&gt;0,_xlpm.var,""))</f>
        <v/>
      </c>
      <c r="C813" s="82" t="str">
        <f>_xlfn.LET(_xlpm.var,◆관리정보!C813,IF(_xlpm.var&lt;&gt;0,_xlpm.var,""))</f>
        <v/>
      </c>
      <c r="D813" s="83"/>
      <c r="E813" s="84" t="str">
        <f t="shared" si="25"/>
        <v/>
      </c>
      <c r="F813" s="87"/>
      <c r="G813" s="229"/>
      <c r="H813" s="229"/>
      <c r="I813" s="229"/>
      <c r="J813" s="229"/>
      <c r="K813" s="218"/>
      <c r="L813" s="87"/>
      <c r="M813" s="87"/>
      <c r="N813" s="82"/>
      <c r="O813" s="82"/>
      <c r="P813" s="241"/>
      <c r="Q813" s="241"/>
      <c r="R813" s="82"/>
      <c r="S813" s="241"/>
      <c r="T813" s="82"/>
      <c r="U813" s="241"/>
      <c r="V813" s="82"/>
      <c r="W813" s="88"/>
      <c r="X813" s="82"/>
      <c r="Y813" s="89"/>
      <c r="Z813" s="82"/>
      <c r="AA813" s="90"/>
      <c r="AB813" s="241"/>
      <c r="AC813" s="241"/>
      <c r="AD813" s="241"/>
      <c r="AE813" s="82"/>
      <c r="AF813" s="82"/>
      <c r="AG813" s="90"/>
      <c r="AH813" s="90"/>
      <c r="AI813" s="90"/>
      <c r="AJ813" s="90"/>
      <c r="AK813" s="82"/>
      <c r="AL813" s="82" t="str" cm="1">
        <f t="array" aca="1" ref="AL813" ca="1">_xlfn.IFS(
 AND($AK813&lt;&gt;"", M813&lt;&gt;0, M813&lt;=EDATE(TODAY(),2)),"도래",
 AND($AK813&lt;&gt;"", M813&lt;&gt;0, M813&lt;=EDATE(TODAY(),3)),"예정",
 AND($AK813&lt;&gt;"", M813&lt;&gt;0, M813&lt;=EDATE(TODAY(),6)),"관심",
 TRUE,""
)</f>
        <v/>
      </c>
      <c r="AM813" s="86"/>
    </row>
    <row r="814" spans="1:39" ht="18" customHeight="1">
      <c r="A814" s="81"/>
      <c r="B814" s="205" t="str">
        <f>_xlfn.LET(_xlpm.var,◆관리정보!B814,IF(_xlpm.var&lt;&gt;0,_xlpm.var,""))</f>
        <v/>
      </c>
      <c r="C814" s="82" t="str">
        <f>_xlfn.LET(_xlpm.var,◆관리정보!C814,IF(_xlpm.var&lt;&gt;0,_xlpm.var,""))</f>
        <v/>
      </c>
      <c r="D814" s="83"/>
      <c r="E814" s="84" t="str">
        <f t="shared" si="25"/>
        <v/>
      </c>
      <c r="F814" s="87"/>
      <c r="G814" s="229"/>
      <c r="H814" s="229"/>
      <c r="I814" s="229"/>
      <c r="J814" s="229"/>
      <c r="K814" s="218"/>
      <c r="L814" s="87"/>
      <c r="M814" s="87"/>
      <c r="N814" s="82"/>
      <c r="O814" s="82"/>
      <c r="P814" s="241"/>
      <c r="Q814" s="241"/>
      <c r="R814" s="82"/>
      <c r="S814" s="241"/>
      <c r="T814" s="82"/>
      <c r="U814" s="241"/>
      <c r="V814" s="82"/>
      <c r="W814" s="88"/>
      <c r="X814" s="82"/>
      <c r="Y814" s="89"/>
      <c r="Z814" s="82"/>
      <c r="AA814" s="90"/>
      <c r="AB814" s="241"/>
      <c r="AC814" s="241"/>
      <c r="AD814" s="241"/>
      <c r="AE814" s="82"/>
      <c r="AF814" s="82"/>
      <c r="AG814" s="90"/>
      <c r="AH814" s="90"/>
      <c r="AI814" s="90"/>
      <c r="AJ814" s="90"/>
      <c r="AK814" s="82"/>
      <c r="AL814" s="82" t="str" cm="1">
        <f t="array" aca="1" ref="AL814" ca="1">_xlfn.IFS(
 AND($AK814&lt;&gt;"", M814&lt;&gt;0, M814&lt;=EDATE(TODAY(),2)),"도래",
 AND($AK814&lt;&gt;"", M814&lt;&gt;0, M814&lt;=EDATE(TODAY(),3)),"예정",
 AND($AK814&lt;&gt;"", M814&lt;&gt;0, M814&lt;=EDATE(TODAY(),6)),"관심",
 TRUE,""
)</f>
        <v/>
      </c>
      <c r="AM814" s="86"/>
    </row>
    <row r="815" spans="1:39" ht="18" customHeight="1">
      <c r="A815" s="81"/>
      <c r="B815" s="205" t="str">
        <f>_xlfn.LET(_xlpm.var,◆관리정보!B815,IF(_xlpm.var&lt;&gt;0,_xlpm.var,""))</f>
        <v/>
      </c>
      <c r="C815" s="82" t="str">
        <f>_xlfn.LET(_xlpm.var,◆관리정보!C815,IF(_xlpm.var&lt;&gt;0,_xlpm.var,""))</f>
        <v/>
      </c>
      <c r="D815" s="83"/>
      <c r="E815" s="84" t="str">
        <f t="shared" si="25"/>
        <v/>
      </c>
      <c r="F815" s="87"/>
      <c r="G815" s="229"/>
      <c r="H815" s="229"/>
      <c r="I815" s="229"/>
      <c r="J815" s="229"/>
      <c r="K815" s="218"/>
      <c r="L815" s="87"/>
      <c r="M815" s="87"/>
      <c r="N815" s="82"/>
      <c r="O815" s="82"/>
      <c r="P815" s="241"/>
      <c r="Q815" s="241"/>
      <c r="R815" s="82"/>
      <c r="S815" s="241"/>
      <c r="T815" s="82"/>
      <c r="U815" s="241"/>
      <c r="V815" s="82"/>
      <c r="W815" s="88"/>
      <c r="X815" s="82"/>
      <c r="Y815" s="89"/>
      <c r="Z815" s="82"/>
      <c r="AA815" s="90"/>
      <c r="AB815" s="241"/>
      <c r="AC815" s="241"/>
      <c r="AD815" s="241"/>
      <c r="AE815" s="82"/>
      <c r="AF815" s="82"/>
      <c r="AG815" s="90"/>
      <c r="AH815" s="90"/>
      <c r="AI815" s="90"/>
      <c r="AJ815" s="90"/>
      <c r="AK815" s="82"/>
      <c r="AL815" s="82" t="str" cm="1">
        <f t="array" aca="1" ref="AL815" ca="1">_xlfn.IFS(
 AND($AK815&lt;&gt;"", M815&lt;&gt;0, M815&lt;=EDATE(TODAY(),2)),"도래",
 AND($AK815&lt;&gt;"", M815&lt;&gt;0, M815&lt;=EDATE(TODAY(),3)),"예정",
 AND($AK815&lt;&gt;"", M815&lt;&gt;0, M815&lt;=EDATE(TODAY(),6)),"관심",
 TRUE,""
)</f>
        <v/>
      </c>
      <c r="AM815" s="86"/>
    </row>
    <row r="816" spans="1:39" ht="18" customHeight="1">
      <c r="A816" s="81"/>
      <c r="B816" s="205" t="str">
        <f>_xlfn.LET(_xlpm.var,◆관리정보!B816,IF(_xlpm.var&lt;&gt;0,_xlpm.var,""))</f>
        <v/>
      </c>
      <c r="C816" s="82" t="str">
        <f>_xlfn.LET(_xlpm.var,◆관리정보!C816,IF(_xlpm.var&lt;&gt;0,_xlpm.var,""))</f>
        <v/>
      </c>
      <c r="D816" s="83"/>
      <c r="E816" s="84" t="str">
        <f t="shared" si="25"/>
        <v/>
      </c>
      <c r="F816" s="87"/>
      <c r="G816" s="229"/>
      <c r="H816" s="229"/>
      <c r="I816" s="229"/>
      <c r="J816" s="229"/>
      <c r="K816" s="218"/>
      <c r="L816" s="87"/>
      <c r="M816" s="87"/>
      <c r="N816" s="82"/>
      <c r="O816" s="82"/>
      <c r="P816" s="241"/>
      <c r="Q816" s="241"/>
      <c r="R816" s="82"/>
      <c r="S816" s="241"/>
      <c r="T816" s="82"/>
      <c r="U816" s="241"/>
      <c r="V816" s="82"/>
      <c r="W816" s="88"/>
      <c r="X816" s="82"/>
      <c r="Y816" s="89"/>
      <c r="Z816" s="82"/>
      <c r="AA816" s="90"/>
      <c r="AB816" s="241"/>
      <c r="AC816" s="241"/>
      <c r="AD816" s="241"/>
      <c r="AE816" s="82"/>
      <c r="AF816" s="82"/>
      <c r="AG816" s="90"/>
      <c r="AH816" s="90"/>
      <c r="AI816" s="90"/>
      <c r="AJ816" s="90"/>
      <c r="AK816" s="82"/>
      <c r="AL816" s="82" t="str" cm="1">
        <f t="array" aca="1" ref="AL816" ca="1">_xlfn.IFS(
 AND($AK816&lt;&gt;"", M816&lt;&gt;0, M816&lt;=EDATE(TODAY(),2)),"도래",
 AND($AK816&lt;&gt;"", M816&lt;&gt;0, M816&lt;=EDATE(TODAY(),3)),"예정",
 AND($AK816&lt;&gt;"", M816&lt;&gt;0, M816&lt;=EDATE(TODAY(),6)),"관심",
 TRUE,""
)</f>
        <v/>
      </c>
      <c r="AM816" s="86"/>
    </row>
    <row r="817" spans="1:39" ht="18" customHeight="1">
      <c r="A817" s="81"/>
      <c r="B817" s="205" t="str">
        <f>_xlfn.LET(_xlpm.var,◆관리정보!B817,IF(_xlpm.var&lt;&gt;0,_xlpm.var,""))</f>
        <v/>
      </c>
      <c r="C817" s="82" t="str">
        <f>_xlfn.LET(_xlpm.var,◆관리정보!C817,IF(_xlpm.var&lt;&gt;0,_xlpm.var,""))</f>
        <v/>
      </c>
      <c r="D817" s="83"/>
      <c r="E817" s="84" t="str">
        <f t="shared" si="25"/>
        <v/>
      </c>
      <c r="F817" s="87"/>
      <c r="G817" s="229"/>
      <c r="H817" s="229"/>
      <c r="I817" s="229"/>
      <c r="J817" s="229"/>
      <c r="K817" s="218"/>
      <c r="L817" s="87"/>
      <c r="M817" s="87"/>
      <c r="N817" s="82"/>
      <c r="O817" s="82"/>
      <c r="P817" s="241"/>
      <c r="Q817" s="241"/>
      <c r="R817" s="82"/>
      <c r="S817" s="241"/>
      <c r="T817" s="82"/>
      <c r="U817" s="241"/>
      <c r="V817" s="82"/>
      <c r="W817" s="88"/>
      <c r="X817" s="82"/>
      <c r="Y817" s="89"/>
      <c r="Z817" s="82"/>
      <c r="AA817" s="90"/>
      <c r="AB817" s="241"/>
      <c r="AC817" s="241"/>
      <c r="AD817" s="241"/>
      <c r="AE817" s="82"/>
      <c r="AF817" s="82"/>
      <c r="AG817" s="90"/>
      <c r="AH817" s="90"/>
      <c r="AI817" s="90"/>
      <c r="AJ817" s="90"/>
      <c r="AK817" s="82"/>
      <c r="AL817" s="82" t="str" cm="1">
        <f t="array" aca="1" ref="AL817" ca="1">_xlfn.IFS(
 AND($AK817&lt;&gt;"", M817&lt;&gt;0, M817&lt;=EDATE(TODAY(),2)),"도래",
 AND($AK817&lt;&gt;"", M817&lt;&gt;0, M817&lt;=EDATE(TODAY(),3)),"예정",
 AND($AK817&lt;&gt;"", M817&lt;&gt;0, M817&lt;=EDATE(TODAY(),6)),"관심",
 TRUE,""
)</f>
        <v/>
      </c>
      <c r="AM817" s="86"/>
    </row>
    <row r="818" spans="1:39" ht="18" customHeight="1">
      <c r="A818" s="81"/>
      <c r="B818" s="205" t="str">
        <f>_xlfn.LET(_xlpm.var,◆관리정보!B818,IF(_xlpm.var&lt;&gt;0,_xlpm.var,""))</f>
        <v/>
      </c>
      <c r="C818" s="82" t="str">
        <f>_xlfn.LET(_xlpm.var,◆관리정보!C818,IF(_xlpm.var&lt;&gt;0,_xlpm.var,""))</f>
        <v/>
      </c>
      <c r="D818" s="83"/>
      <c r="E818" s="84" t="str">
        <f t="shared" si="25"/>
        <v/>
      </c>
      <c r="F818" s="87"/>
      <c r="G818" s="229"/>
      <c r="H818" s="229"/>
      <c r="I818" s="229"/>
      <c r="J818" s="229"/>
      <c r="K818" s="218"/>
      <c r="L818" s="87"/>
      <c r="M818" s="87"/>
      <c r="N818" s="82"/>
      <c r="O818" s="82"/>
      <c r="P818" s="241"/>
      <c r="Q818" s="241"/>
      <c r="R818" s="82"/>
      <c r="S818" s="241"/>
      <c r="T818" s="82"/>
      <c r="U818" s="241"/>
      <c r="V818" s="82"/>
      <c r="W818" s="88"/>
      <c r="X818" s="82"/>
      <c r="Y818" s="89"/>
      <c r="Z818" s="82"/>
      <c r="AA818" s="90"/>
      <c r="AB818" s="241"/>
      <c r="AC818" s="241"/>
      <c r="AD818" s="241"/>
      <c r="AE818" s="82"/>
      <c r="AF818" s="82"/>
      <c r="AG818" s="90"/>
      <c r="AH818" s="90"/>
      <c r="AI818" s="90"/>
      <c r="AJ818" s="90"/>
      <c r="AK818" s="82"/>
      <c r="AL818" s="82" t="str" cm="1">
        <f t="array" aca="1" ref="AL818" ca="1">_xlfn.IFS(
 AND($AK818&lt;&gt;"", M818&lt;&gt;0, M818&lt;=EDATE(TODAY(),2)),"도래",
 AND($AK818&lt;&gt;"", M818&lt;&gt;0, M818&lt;=EDATE(TODAY(),3)),"예정",
 AND($AK818&lt;&gt;"", M818&lt;&gt;0, M818&lt;=EDATE(TODAY(),6)),"관심",
 TRUE,""
)</f>
        <v/>
      </c>
      <c r="AM818" s="86"/>
    </row>
    <row r="819" spans="1:39" ht="18" customHeight="1">
      <c r="A819" s="81"/>
      <c r="B819" s="205" t="str">
        <f>_xlfn.LET(_xlpm.var,◆관리정보!B819,IF(_xlpm.var&lt;&gt;0,_xlpm.var,""))</f>
        <v/>
      </c>
      <c r="C819" s="82" t="str">
        <f>_xlfn.LET(_xlpm.var,◆관리정보!C819,IF(_xlpm.var&lt;&gt;0,_xlpm.var,""))</f>
        <v/>
      </c>
      <c r="D819" s="83"/>
      <c r="E819" s="84" t="str">
        <f t="shared" si="25"/>
        <v/>
      </c>
      <c r="F819" s="87"/>
      <c r="G819" s="229"/>
      <c r="H819" s="229"/>
      <c r="I819" s="229"/>
      <c r="J819" s="229"/>
      <c r="K819" s="218"/>
      <c r="L819" s="87"/>
      <c r="M819" s="87"/>
      <c r="N819" s="82"/>
      <c r="O819" s="82"/>
      <c r="P819" s="241"/>
      <c r="Q819" s="241"/>
      <c r="R819" s="82"/>
      <c r="S819" s="241"/>
      <c r="T819" s="82"/>
      <c r="U819" s="241"/>
      <c r="V819" s="82"/>
      <c r="W819" s="88"/>
      <c r="X819" s="82"/>
      <c r="Y819" s="89"/>
      <c r="Z819" s="82"/>
      <c r="AA819" s="90"/>
      <c r="AB819" s="241"/>
      <c r="AC819" s="241"/>
      <c r="AD819" s="241"/>
      <c r="AE819" s="82"/>
      <c r="AF819" s="82"/>
      <c r="AG819" s="90"/>
      <c r="AH819" s="90"/>
      <c r="AI819" s="90"/>
      <c r="AJ819" s="90"/>
      <c r="AK819" s="82"/>
      <c r="AL819" s="82" t="str" cm="1">
        <f t="array" aca="1" ref="AL819" ca="1">_xlfn.IFS(
 AND($AK819&lt;&gt;"", M819&lt;&gt;0, M819&lt;=EDATE(TODAY(),2)),"도래",
 AND($AK819&lt;&gt;"", M819&lt;&gt;0, M819&lt;=EDATE(TODAY(),3)),"예정",
 AND($AK819&lt;&gt;"", M819&lt;&gt;0, M819&lt;=EDATE(TODAY(),6)),"관심",
 TRUE,""
)</f>
        <v/>
      </c>
      <c r="AM819" s="86"/>
    </row>
    <row r="820" spans="1:39" ht="18" customHeight="1">
      <c r="A820" s="81"/>
      <c r="B820" s="205" t="str">
        <f>_xlfn.LET(_xlpm.var,◆관리정보!B820,IF(_xlpm.var&lt;&gt;0,_xlpm.var,""))</f>
        <v/>
      </c>
      <c r="C820" s="82" t="str">
        <f>_xlfn.LET(_xlpm.var,◆관리정보!C820,IF(_xlpm.var&lt;&gt;0,_xlpm.var,""))</f>
        <v/>
      </c>
      <c r="D820" s="83"/>
      <c r="E820" s="84" t="str">
        <f t="shared" si="25"/>
        <v/>
      </c>
      <c r="F820" s="87"/>
      <c r="G820" s="229"/>
      <c r="H820" s="229"/>
      <c r="I820" s="229"/>
      <c r="J820" s="229"/>
      <c r="K820" s="218"/>
      <c r="L820" s="87"/>
      <c r="M820" s="87"/>
      <c r="N820" s="82"/>
      <c r="O820" s="82"/>
      <c r="P820" s="241"/>
      <c r="Q820" s="241"/>
      <c r="R820" s="82"/>
      <c r="S820" s="241"/>
      <c r="T820" s="82"/>
      <c r="U820" s="241"/>
      <c r="V820" s="82"/>
      <c r="W820" s="88"/>
      <c r="X820" s="82"/>
      <c r="Y820" s="89"/>
      <c r="Z820" s="82"/>
      <c r="AA820" s="90"/>
      <c r="AB820" s="241"/>
      <c r="AC820" s="241"/>
      <c r="AD820" s="241"/>
      <c r="AE820" s="82"/>
      <c r="AF820" s="82"/>
      <c r="AG820" s="90"/>
      <c r="AH820" s="90"/>
      <c r="AI820" s="90"/>
      <c r="AJ820" s="90"/>
      <c r="AK820" s="82"/>
      <c r="AL820" s="82" t="str" cm="1">
        <f t="array" aca="1" ref="AL820" ca="1">_xlfn.IFS(
 AND($AK820&lt;&gt;"", M820&lt;&gt;0, M820&lt;=EDATE(TODAY(),2)),"도래",
 AND($AK820&lt;&gt;"", M820&lt;&gt;0, M820&lt;=EDATE(TODAY(),3)),"예정",
 AND($AK820&lt;&gt;"", M820&lt;&gt;0, M820&lt;=EDATE(TODAY(),6)),"관심",
 TRUE,""
)</f>
        <v/>
      </c>
      <c r="AM820" s="86"/>
    </row>
    <row r="821" spans="1:39" ht="18" customHeight="1">
      <c r="A821" s="81"/>
      <c r="B821" s="205" t="str">
        <f>_xlfn.LET(_xlpm.var,◆관리정보!B821,IF(_xlpm.var&lt;&gt;0,_xlpm.var,""))</f>
        <v/>
      </c>
      <c r="C821" s="82" t="str">
        <f>_xlfn.LET(_xlpm.var,◆관리정보!C821,IF(_xlpm.var&lt;&gt;0,_xlpm.var,""))</f>
        <v/>
      </c>
      <c r="D821" s="83"/>
      <c r="E821" s="84" t="str">
        <f t="shared" si="25"/>
        <v/>
      </c>
      <c r="F821" s="87"/>
      <c r="G821" s="229"/>
      <c r="H821" s="229"/>
      <c r="I821" s="229"/>
      <c r="J821" s="229"/>
      <c r="K821" s="218"/>
      <c r="L821" s="87"/>
      <c r="M821" s="87"/>
      <c r="N821" s="82"/>
      <c r="O821" s="82"/>
      <c r="P821" s="241"/>
      <c r="Q821" s="241"/>
      <c r="R821" s="82"/>
      <c r="S821" s="241"/>
      <c r="T821" s="82"/>
      <c r="U821" s="241"/>
      <c r="V821" s="82"/>
      <c r="W821" s="88"/>
      <c r="X821" s="82"/>
      <c r="Y821" s="89"/>
      <c r="Z821" s="82"/>
      <c r="AA821" s="90"/>
      <c r="AB821" s="241"/>
      <c r="AC821" s="241"/>
      <c r="AD821" s="241"/>
      <c r="AE821" s="82"/>
      <c r="AF821" s="82"/>
      <c r="AG821" s="90"/>
      <c r="AH821" s="90"/>
      <c r="AI821" s="90"/>
      <c r="AJ821" s="90"/>
      <c r="AK821" s="82"/>
      <c r="AL821" s="82" t="str" cm="1">
        <f t="array" aca="1" ref="AL821" ca="1">_xlfn.IFS(
 AND($AK821&lt;&gt;"", M821&lt;&gt;0, M821&lt;=EDATE(TODAY(),2)),"도래",
 AND($AK821&lt;&gt;"", M821&lt;&gt;0, M821&lt;=EDATE(TODAY(),3)),"예정",
 AND($AK821&lt;&gt;"", M821&lt;&gt;0, M821&lt;=EDATE(TODAY(),6)),"관심",
 TRUE,""
)</f>
        <v/>
      </c>
      <c r="AM821" s="86"/>
    </row>
    <row r="822" spans="1:39" ht="18" customHeight="1">
      <c r="A822" s="81"/>
      <c r="B822" s="205" t="str">
        <f>_xlfn.LET(_xlpm.var,◆관리정보!B822,IF(_xlpm.var&lt;&gt;0,_xlpm.var,""))</f>
        <v/>
      </c>
      <c r="C822" s="82" t="str">
        <f>_xlfn.LET(_xlpm.var,◆관리정보!C822,IF(_xlpm.var&lt;&gt;0,_xlpm.var,""))</f>
        <v/>
      </c>
      <c r="D822" s="83"/>
      <c r="E822" s="84" t="str">
        <f t="shared" si="25"/>
        <v/>
      </c>
      <c r="F822" s="87"/>
      <c r="G822" s="229"/>
      <c r="H822" s="229"/>
      <c r="I822" s="229"/>
      <c r="J822" s="229"/>
      <c r="K822" s="218"/>
      <c r="L822" s="87"/>
      <c r="M822" s="87"/>
      <c r="N822" s="82"/>
      <c r="O822" s="82"/>
      <c r="P822" s="241"/>
      <c r="Q822" s="241"/>
      <c r="R822" s="82"/>
      <c r="S822" s="241"/>
      <c r="T822" s="82"/>
      <c r="U822" s="241"/>
      <c r="V822" s="82"/>
      <c r="W822" s="88"/>
      <c r="X822" s="82"/>
      <c r="Y822" s="89"/>
      <c r="Z822" s="82"/>
      <c r="AA822" s="90"/>
      <c r="AB822" s="241"/>
      <c r="AC822" s="241"/>
      <c r="AD822" s="241"/>
      <c r="AE822" s="82"/>
      <c r="AF822" s="82"/>
      <c r="AG822" s="90"/>
      <c r="AH822" s="90"/>
      <c r="AI822" s="90"/>
      <c r="AJ822" s="90"/>
      <c r="AK822" s="82"/>
      <c r="AL822" s="82" t="str" cm="1">
        <f t="array" aca="1" ref="AL822" ca="1">_xlfn.IFS(
 AND($AK822&lt;&gt;"", M822&lt;&gt;0, M822&lt;=EDATE(TODAY(),2)),"도래",
 AND($AK822&lt;&gt;"", M822&lt;&gt;0, M822&lt;=EDATE(TODAY(),3)),"예정",
 AND($AK822&lt;&gt;"", M822&lt;&gt;0, M822&lt;=EDATE(TODAY(),6)),"관심",
 TRUE,""
)</f>
        <v/>
      </c>
      <c r="AM822" s="86"/>
    </row>
    <row r="823" spans="1:39" ht="18" customHeight="1">
      <c r="A823" s="81"/>
      <c r="B823" s="205" t="str">
        <f>_xlfn.LET(_xlpm.var,◆관리정보!B823,IF(_xlpm.var&lt;&gt;0,_xlpm.var,""))</f>
        <v/>
      </c>
      <c r="C823" s="82" t="str">
        <f>_xlfn.LET(_xlpm.var,◆관리정보!C823,IF(_xlpm.var&lt;&gt;0,_xlpm.var,""))</f>
        <v/>
      </c>
      <c r="D823" s="83"/>
      <c r="E823" s="84" t="str">
        <f t="shared" si="25"/>
        <v/>
      </c>
      <c r="F823" s="87"/>
      <c r="G823" s="229"/>
      <c r="H823" s="229"/>
      <c r="I823" s="229"/>
      <c r="J823" s="229"/>
      <c r="K823" s="218"/>
      <c r="L823" s="87"/>
      <c r="M823" s="87"/>
      <c r="N823" s="82"/>
      <c r="O823" s="82"/>
      <c r="P823" s="241"/>
      <c r="Q823" s="241"/>
      <c r="R823" s="82"/>
      <c r="S823" s="241"/>
      <c r="T823" s="82"/>
      <c r="U823" s="241"/>
      <c r="V823" s="82"/>
      <c r="W823" s="88"/>
      <c r="X823" s="82"/>
      <c r="Y823" s="89"/>
      <c r="Z823" s="82"/>
      <c r="AA823" s="90"/>
      <c r="AB823" s="241"/>
      <c r="AC823" s="241"/>
      <c r="AD823" s="241"/>
      <c r="AE823" s="82"/>
      <c r="AF823" s="82"/>
      <c r="AG823" s="90"/>
      <c r="AH823" s="90"/>
      <c r="AI823" s="90"/>
      <c r="AJ823" s="90"/>
      <c r="AK823" s="82"/>
      <c r="AL823" s="82" t="str" cm="1">
        <f t="array" aca="1" ref="AL823" ca="1">_xlfn.IFS(
 AND($AK823&lt;&gt;"", M823&lt;&gt;0, M823&lt;=EDATE(TODAY(),2)),"도래",
 AND($AK823&lt;&gt;"", M823&lt;&gt;0, M823&lt;=EDATE(TODAY(),3)),"예정",
 AND($AK823&lt;&gt;"", M823&lt;&gt;0, M823&lt;=EDATE(TODAY(),6)),"관심",
 TRUE,""
)</f>
        <v/>
      </c>
      <c r="AM823" s="86"/>
    </row>
    <row r="824" spans="1:39" ht="18" customHeight="1">
      <c r="A824" s="81"/>
      <c r="B824" s="205" t="str">
        <f>_xlfn.LET(_xlpm.var,◆관리정보!B824,IF(_xlpm.var&lt;&gt;0,_xlpm.var,""))</f>
        <v/>
      </c>
      <c r="C824" s="82" t="str">
        <f>_xlfn.LET(_xlpm.var,◆관리정보!C824,IF(_xlpm.var&lt;&gt;0,_xlpm.var,""))</f>
        <v/>
      </c>
      <c r="D824" s="83"/>
      <c r="E824" s="84" t="str">
        <f t="shared" si="25"/>
        <v/>
      </c>
      <c r="F824" s="87"/>
      <c r="G824" s="229"/>
      <c r="H824" s="229"/>
      <c r="I824" s="229"/>
      <c r="J824" s="229"/>
      <c r="K824" s="218"/>
      <c r="L824" s="87"/>
      <c r="M824" s="87"/>
      <c r="N824" s="82"/>
      <c r="O824" s="82"/>
      <c r="P824" s="241"/>
      <c r="Q824" s="241"/>
      <c r="R824" s="82"/>
      <c r="S824" s="241"/>
      <c r="T824" s="82"/>
      <c r="U824" s="241"/>
      <c r="V824" s="82"/>
      <c r="W824" s="88"/>
      <c r="X824" s="82"/>
      <c r="Y824" s="89"/>
      <c r="Z824" s="82"/>
      <c r="AA824" s="90"/>
      <c r="AB824" s="241"/>
      <c r="AC824" s="241"/>
      <c r="AD824" s="241"/>
      <c r="AE824" s="82"/>
      <c r="AF824" s="82"/>
      <c r="AG824" s="90"/>
      <c r="AH824" s="90"/>
      <c r="AI824" s="90"/>
      <c r="AJ824" s="90"/>
      <c r="AK824" s="82"/>
      <c r="AL824" s="82" t="str" cm="1">
        <f t="array" aca="1" ref="AL824" ca="1">_xlfn.IFS(
 AND($AK824&lt;&gt;"", M824&lt;&gt;0, M824&lt;=EDATE(TODAY(),2)),"도래",
 AND($AK824&lt;&gt;"", M824&lt;&gt;0, M824&lt;=EDATE(TODAY(),3)),"예정",
 AND($AK824&lt;&gt;"", M824&lt;&gt;0, M824&lt;=EDATE(TODAY(),6)),"관심",
 TRUE,""
)</f>
        <v/>
      </c>
      <c r="AM824" s="86"/>
    </row>
    <row r="825" spans="1:39" ht="18" customHeight="1">
      <c r="A825" s="81"/>
      <c r="B825" s="205" t="str">
        <f>_xlfn.LET(_xlpm.var,◆관리정보!B825,IF(_xlpm.var&lt;&gt;0,_xlpm.var,""))</f>
        <v/>
      </c>
      <c r="C825" s="82" t="str">
        <f>_xlfn.LET(_xlpm.var,◆관리정보!C825,IF(_xlpm.var&lt;&gt;0,_xlpm.var,""))</f>
        <v/>
      </c>
      <c r="D825" s="83"/>
      <c r="E825" s="84" t="str">
        <f t="shared" si="25"/>
        <v/>
      </c>
      <c r="F825" s="87"/>
      <c r="G825" s="229"/>
      <c r="H825" s="229"/>
      <c r="I825" s="229"/>
      <c r="J825" s="229"/>
      <c r="K825" s="218"/>
      <c r="L825" s="87"/>
      <c r="M825" s="87"/>
      <c r="N825" s="82"/>
      <c r="O825" s="82"/>
      <c r="P825" s="241"/>
      <c r="Q825" s="241"/>
      <c r="R825" s="82"/>
      <c r="S825" s="241"/>
      <c r="T825" s="82"/>
      <c r="U825" s="241"/>
      <c r="V825" s="82"/>
      <c r="W825" s="88"/>
      <c r="X825" s="82"/>
      <c r="Y825" s="89"/>
      <c r="Z825" s="82"/>
      <c r="AA825" s="90"/>
      <c r="AB825" s="241"/>
      <c r="AC825" s="241"/>
      <c r="AD825" s="241"/>
      <c r="AE825" s="82"/>
      <c r="AF825" s="82"/>
      <c r="AG825" s="90"/>
      <c r="AH825" s="90"/>
      <c r="AI825" s="90"/>
      <c r="AJ825" s="90"/>
      <c r="AK825" s="82"/>
      <c r="AL825" s="82" t="str" cm="1">
        <f t="array" aca="1" ref="AL825" ca="1">_xlfn.IFS(
 AND($AK825&lt;&gt;"", M825&lt;&gt;0, M825&lt;=EDATE(TODAY(),2)),"도래",
 AND($AK825&lt;&gt;"", M825&lt;&gt;0, M825&lt;=EDATE(TODAY(),3)),"예정",
 AND($AK825&lt;&gt;"", M825&lt;&gt;0, M825&lt;=EDATE(TODAY(),6)),"관심",
 TRUE,""
)</f>
        <v/>
      </c>
      <c r="AM825" s="86"/>
    </row>
    <row r="826" spans="1:39" ht="18" customHeight="1">
      <c r="A826" s="81"/>
      <c r="B826" s="205" t="str">
        <f>_xlfn.LET(_xlpm.var,◆관리정보!B826,IF(_xlpm.var&lt;&gt;0,_xlpm.var,""))</f>
        <v/>
      </c>
      <c r="C826" s="82" t="str">
        <f>_xlfn.LET(_xlpm.var,◆관리정보!C826,IF(_xlpm.var&lt;&gt;0,_xlpm.var,""))</f>
        <v/>
      </c>
      <c r="D826" s="83"/>
      <c r="E826" s="84" t="str">
        <f t="shared" si="25"/>
        <v/>
      </c>
      <c r="F826" s="87"/>
      <c r="G826" s="229"/>
      <c r="H826" s="229"/>
      <c r="I826" s="229"/>
      <c r="J826" s="229"/>
      <c r="K826" s="218"/>
      <c r="L826" s="87"/>
      <c r="M826" s="87"/>
      <c r="N826" s="82"/>
      <c r="O826" s="82"/>
      <c r="P826" s="241"/>
      <c r="Q826" s="241"/>
      <c r="R826" s="82"/>
      <c r="S826" s="241"/>
      <c r="T826" s="82"/>
      <c r="U826" s="241"/>
      <c r="V826" s="82"/>
      <c r="W826" s="88"/>
      <c r="X826" s="82"/>
      <c r="Y826" s="89"/>
      <c r="Z826" s="82"/>
      <c r="AA826" s="90"/>
      <c r="AB826" s="241"/>
      <c r="AC826" s="241"/>
      <c r="AD826" s="241"/>
      <c r="AE826" s="82"/>
      <c r="AF826" s="82"/>
      <c r="AG826" s="90"/>
      <c r="AH826" s="90"/>
      <c r="AI826" s="90"/>
      <c r="AJ826" s="90"/>
      <c r="AK826" s="82"/>
      <c r="AL826" s="82" t="str" cm="1">
        <f t="array" aca="1" ref="AL826" ca="1">_xlfn.IFS(
 AND($AK826&lt;&gt;"", M826&lt;&gt;0, M826&lt;=EDATE(TODAY(),2)),"도래",
 AND($AK826&lt;&gt;"", M826&lt;&gt;0, M826&lt;=EDATE(TODAY(),3)),"예정",
 AND($AK826&lt;&gt;"", M826&lt;&gt;0, M826&lt;=EDATE(TODAY(),6)),"관심",
 TRUE,""
)</f>
        <v/>
      </c>
      <c r="AM826" s="86"/>
    </row>
    <row r="827" spans="1:39" ht="18" customHeight="1">
      <c r="A827" s="81"/>
      <c r="B827" s="205" t="str">
        <f>_xlfn.LET(_xlpm.var,◆관리정보!B827,IF(_xlpm.var&lt;&gt;0,_xlpm.var,""))</f>
        <v/>
      </c>
      <c r="C827" s="82" t="str">
        <f>_xlfn.LET(_xlpm.var,◆관리정보!C827,IF(_xlpm.var&lt;&gt;0,_xlpm.var,""))</f>
        <v/>
      </c>
      <c r="D827" s="83"/>
      <c r="E827" s="84" t="str">
        <f t="shared" si="25"/>
        <v/>
      </c>
      <c r="F827" s="87"/>
      <c r="G827" s="229"/>
      <c r="H827" s="229"/>
      <c r="I827" s="229"/>
      <c r="J827" s="229"/>
      <c r="K827" s="218"/>
      <c r="L827" s="87"/>
      <c r="M827" s="87"/>
      <c r="N827" s="82"/>
      <c r="O827" s="82"/>
      <c r="P827" s="241"/>
      <c r="Q827" s="241"/>
      <c r="R827" s="82"/>
      <c r="S827" s="241"/>
      <c r="T827" s="82"/>
      <c r="U827" s="241"/>
      <c r="V827" s="82"/>
      <c r="W827" s="88"/>
      <c r="X827" s="82"/>
      <c r="Y827" s="89"/>
      <c r="Z827" s="82"/>
      <c r="AA827" s="90"/>
      <c r="AB827" s="241"/>
      <c r="AC827" s="241"/>
      <c r="AD827" s="241"/>
      <c r="AE827" s="82"/>
      <c r="AF827" s="82"/>
      <c r="AG827" s="90"/>
      <c r="AH827" s="90"/>
      <c r="AI827" s="90"/>
      <c r="AJ827" s="90"/>
      <c r="AK827" s="82"/>
      <c r="AL827" s="82" t="str" cm="1">
        <f t="array" aca="1" ref="AL827" ca="1">_xlfn.IFS(
 AND($AK827&lt;&gt;"", M827&lt;&gt;0, M827&lt;=EDATE(TODAY(),2)),"도래",
 AND($AK827&lt;&gt;"", M827&lt;&gt;0, M827&lt;=EDATE(TODAY(),3)),"예정",
 AND($AK827&lt;&gt;"", M827&lt;&gt;0, M827&lt;=EDATE(TODAY(),6)),"관심",
 TRUE,""
)</f>
        <v/>
      </c>
      <c r="AM827" s="86"/>
    </row>
    <row r="828" spans="1:39" ht="18" customHeight="1">
      <c r="A828" s="81"/>
      <c r="B828" s="205" t="str">
        <f>_xlfn.LET(_xlpm.var,◆관리정보!B828,IF(_xlpm.var&lt;&gt;0,_xlpm.var,""))</f>
        <v/>
      </c>
      <c r="C828" s="82" t="str">
        <f>_xlfn.LET(_xlpm.var,◆관리정보!C828,IF(_xlpm.var&lt;&gt;0,_xlpm.var,""))</f>
        <v/>
      </c>
      <c r="D828" s="83"/>
      <c r="E828" s="84" t="str">
        <f t="shared" si="25"/>
        <v/>
      </c>
      <c r="F828" s="87"/>
      <c r="G828" s="229"/>
      <c r="H828" s="229"/>
      <c r="I828" s="229"/>
      <c r="J828" s="229"/>
      <c r="K828" s="218"/>
      <c r="L828" s="87"/>
      <c r="M828" s="87"/>
      <c r="N828" s="82"/>
      <c r="O828" s="82"/>
      <c r="P828" s="241"/>
      <c r="Q828" s="241"/>
      <c r="R828" s="82"/>
      <c r="S828" s="241"/>
      <c r="T828" s="82"/>
      <c r="U828" s="241"/>
      <c r="V828" s="82"/>
      <c r="W828" s="88"/>
      <c r="X828" s="82"/>
      <c r="Y828" s="89"/>
      <c r="Z828" s="82"/>
      <c r="AA828" s="90"/>
      <c r="AB828" s="241"/>
      <c r="AC828" s="241"/>
      <c r="AD828" s="241"/>
      <c r="AE828" s="82"/>
      <c r="AF828" s="82"/>
      <c r="AG828" s="90"/>
      <c r="AH828" s="90"/>
      <c r="AI828" s="90"/>
      <c r="AJ828" s="90"/>
      <c r="AK828" s="82"/>
      <c r="AL828" s="82" t="str" cm="1">
        <f t="array" aca="1" ref="AL828" ca="1">_xlfn.IFS(
 AND($AK828&lt;&gt;"", M828&lt;&gt;0, M828&lt;=EDATE(TODAY(),2)),"도래",
 AND($AK828&lt;&gt;"", M828&lt;&gt;0, M828&lt;=EDATE(TODAY(),3)),"예정",
 AND($AK828&lt;&gt;"", M828&lt;&gt;0, M828&lt;=EDATE(TODAY(),6)),"관심",
 TRUE,""
)</f>
        <v/>
      </c>
      <c r="AM828" s="86"/>
    </row>
    <row r="829" spans="1:39" ht="18" customHeight="1">
      <c r="A829" s="81"/>
      <c r="B829" s="205" t="str">
        <f>_xlfn.LET(_xlpm.var,◆관리정보!B829,IF(_xlpm.var&lt;&gt;0,_xlpm.var,""))</f>
        <v/>
      </c>
      <c r="C829" s="82" t="str">
        <f>_xlfn.LET(_xlpm.var,◆관리정보!C829,IF(_xlpm.var&lt;&gt;0,_xlpm.var,""))</f>
        <v/>
      </c>
      <c r="D829" s="83"/>
      <c r="E829" s="84" t="str">
        <f t="shared" si="25"/>
        <v/>
      </c>
      <c r="F829" s="87"/>
      <c r="G829" s="229"/>
      <c r="H829" s="229"/>
      <c r="I829" s="229"/>
      <c r="J829" s="229"/>
      <c r="K829" s="218"/>
      <c r="L829" s="87"/>
      <c r="M829" s="87"/>
      <c r="N829" s="82"/>
      <c r="O829" s="82"/>
      <c r="P829" s="241"/>
      <c r="Q829" s="241"/>
      <c r="R829" s="82"/>
      <c r="S829" s="241"/>
      <c r="T829" s="82"/>
      <c r="U829" s="241"/>
      <c r="V829" s="82"/>
      <c r="W829" s="88"/>
      <c r="X829" s="82"/>
      <c r="Y829" s="89"/>
      <c r="Z829" s="82"/>
      <c r="AA829" s="90"/>
      <c r="AB829" s="241"/>
      <c r="AC829" s="241"/>
      <c r="AD829" s="241"/>
      <c r="AE829" s="82"/>
      <c r="AF829" s="82"/>
      <c r="AG829" s="90"/>
      <c r="AH829" s="90"/>
      <c r="AI829" s="90"/>
      <c r="AJ829" s="90"/>
      <c r="AK829" s="82"/>
      <c r="AL829" s="82" t="str" cm="1">
        <f t="array" aca="1" ref="AL829" ca="1">_xlfn.IFS(
 AND($AK829&lt;&gt;"", M829&lt;&gt;0, M829&lt;=EDATE(TODAY(),2)),"도래",
 AND($AK829&lt;&gt;"", M829&lt;&gt;0, M829&lt;=EDATE(TODAY(),3)),"예정",
 AND($AK829&lt;&gt;"", M829&lt;&gt;0, M829&lt;=EDATE(TODAY(),6)),"관심",
 TRUE,""
)</f>
        <v/>
      </c>
      <c r="AM829" s="86"/>
    </row>
    <row r="830" spans="1:39" ht="18" customHeight="1">
      <c r="A830" s="81"/>
      <c r="B830" s="205" t="str">
        <f>_xlfn.LET(_xlpm.var,◆관리정보!B830,IF(_xlpm.var&lt;&gt;0,_xlpm.var,""))</f>
        <v/>
      </c>
      <c r="C830" s="82" t="str">
        <f>_xlfn.LET(_xlpm.var,◆관리정보!C830,IF(_xlpm.var&lt;&gt;0,_xlpm.var,""))</f>
        <v/>
      </c>
      <c r="D830" s="83"/>
      <c r="E830" s="84" t="str">
        <f t="shared" si="25"/>
        <v/>
      </c>
      <c r="F830" s="87"/>
      <c r="G830" s="229"/>
      <c r="H830" s="229"/>
      <c r="I830" s="229"/>
      <c r="J830" s="229"/>
      <c r="K830" s="218"/>
      <c r="L830" s="87"/>
      <c r="M830" s="87"/>
      <c r="N830" s="82"/>
      <c r="O830" s="82"/>
      <c r="P830" s="241"/>
      <c r="Q830" s="241"/>
      <c r="R830" s="82"/>
      <c r="S830" s="241"/>
      <c r="T830" s="82"/>
      <c r="U830" s="241"/>
      <c r="V830" s="82"/>
      <c r="W830" s="88"/>
      <c r="X830" s="82"/>
      <c r="Y830" s="89"/>
      <c r="Z830" s="82"/>
      <c r="AA830" s="90"/>
      <c r="AB830" s="241"/>
      <c r="AC830" s="241"/>
      <c r="AD830" s="241"/>
      <c r="AE830" s="82"/>
      <c r="AF830" s="82"/>
      <c r="AG830" s="90"/>
      <c r="AH830" s="90"/>
      <c r="AI830" s="90"/>
      <c r="AJ830" s="90"/>
      <c r="AK830" s="82"/>
      <c r="AL830" s="82" t="str" cm="1">
        <f t="array" aca="1" ref="AL830" ca="1">_xlfn.IFS(
 AND($AK830&lt;&gt;"", M830&lt;&gt;0, M830&lt;=EDATE(TODAY(),2)),"도래",
 AND($AK830&lt;&gt;"", M830&lt;&gt;0, M830&lt;=EDATE(TODAY(),3)),"예정",
 AND($AK830&lt;&gt;"", M830&lt;&gt;0, M830&lt;=EDATE(TODAY(),6)),"관심",
 TRUE,""
)</f>
        <v/>
      </c>
      <c r="AM830" s="86"/>
    </row>
    <row r="831" spans="1:39" ht="18" customHeight="1">
      <c r="A831" s="81"/>
      <c r="B831" s="205" t="str">
        <f>_xlfn.LET(_xlpm.var,◆관리정보!B831,IF(_xlpm.var&lt;&gt;0,_xlpm.var,""))</f>
        <v/>
      </c>
      <c r="C831" s="82" t="str">
        <f>_xlfn.LET(_xlpm.var,◆관리정보!C831,IF(_xlpm.var&lt;&gt;0,_xlpm.var,""))</f>
        <v/>
      </c>
      <c r="D831" s="83"/>
      <c r="E831" s="84" t="str">
        <f t="shared" si="25"/>
        <v/>
      </c>
      <c r="F831" s="87"/>
      <c r="G831" s="229"/>
      <c r="H831" s="229"/>
      <c r="I831" s="229"/>
      <c r="J831" s="229"/>
      <c r="K831" s="218"/>
      <c r="L831" s="87"/>
      <c r="M831" s="87"/>
      <c r="N831" s="82"/>
      <c r="O831" s="82"/>
      <c r="P831" s="241"/>
      <c r="Q831" s="241"/>
      <c r="R831" s="82"/>
      <c r="S831" s="241"/>
      <c r="T831" s="82"/>
      <c r="U831" s="241"/>
      <c r="V831" s="82"/>
      <c r="W831" s="88"/>
      <c r="X831" s="82"/>
      <c r="Y831" s="89"/>
      <c r="Z831" s="82"/>
      <c r="AA831" s="90"/>
      <c r="AB831" s="241"/>
      <c r="AC831" s="241"/>
      <c r="AD831" s="241"/>
      <c r="AE831" s="82"/>
      <c r="AF831" s="82"/>
      <c r="AG831" s="90"/>
      <c r="AH831" s="90"/>
      <c r="AI831" s="90"/>
      <c r="AJ831" s="90"/>
      <c r="AK831" s="82"/>
      <c r="AL831" s="82" t="str" cm="1">
        <f t="array" aca="1" ref="AL831" ca="1">_xlfn.IFS(
 AND($AK831&lt;&gt;"", M831&lt;&gt;0, M831&lt;=EDATE(TODAY(),2)),"도래",
 AND($AK831&lt;&gt;"", M831&lt;&gt;0, M831&lt;=EDATE(TODAY(),3)),"예정",
 AND($AK831&lt;&gt;"", M831&lt;&gt;0, M831&lt;=EDATE(TODAY(),6)),"관심",
 TRUE,""
)</f>
        <v/>
      </c>
      <c r="AM831" s="86"/>
    </row>
    <row r="832" spans="1:39" ht="18" customHeight="1">
      <c r="A832" s="81"/>
      <c r="B832" s="205" t="str">
        <f>_xlfn.LET(_xlpm.var,◆관리정보!B832,IF(_xlpm.var&lt;&gt;0,_xlpm.var,""))</f>
        <v/>
      </c>
      <c r="C832" s="82" t="str">
        <f>_xlfn.LET(_xlpm.var,◆관리정보!C832,IF(_xlpm.var&lt;&gt;0,_xlpm.var,""))</f>
        <v/>
      </c>
      <c r="D832" s="83"/>
      <c r="E832" s="84" t="str">
        <f t="shared" si="25"/>
        <v/>
      </c>
      <c r="F832" s="87"/>
      <c r="G832" s="229"/>
      <c r="H832" s="229"/>
      <c r="I832" s="229"/>
      <c r="J832" s="229"/>
      <c r="K832" s="218"/>
      <c r="L832" s="87"/>
      <c r="M832" s="87"/>
      <c r="N832" s="82"/>
      <c r="O832" s="82"/>
      <c r="P832" s="241"/>
      <c r="Q832" s="241"/>
      <c r="R832" s="82"/>
      <c r="S832" s="241"/>
      <c r="T832" s="82"/>
      <c r="U832" s="241"/>
      <c r="V832" s="82"/>
      <c r="W832" s="88"/>
      <c r="X832" s="82"/>
      <c r="Y832" s="89"/>
      <c r="Z832" s="82"/>
      <c r="AA832" s="90"/>
      <c r="AB832" s="241"/>
      <c r="AC832" s="241"/>
      <c r="AD832" s="241"/>
      <c r="AE832" s="82"/>
      <c r="AF832" s="82"/>
      <c r="AG832" s="90"/>
      <c r="AH832" s="90"/>
      <c r="AI832" s="90"/>
      <c r="AJ832" s="90"/>
      <c r="AK832" s="82"/>
      <c r="AL832" s="82" t="str" cm="1">
        <f t="array" aca="1" ref="AL832" ca="1">_xlfn.IFS(
 AND($AK832&lt;&gt;"", M832&lt;&gt;0, M832&lt;=EDATE(TODAY(),2)),"도래",
 AND($AK832&lt;&gt;"", M832&lt;&gt;0, M832&lt;=EDATE(TODAY(),3)),"예정",
 AND($AK832&lt;&gt;"", M832&lt;&gt;0, M832&lt;=EDATE(TODAY(),6)),"관심",
 TRUE,""
)</f>
        <v/>
      </c>
      <c r="AM832" s="86"/>
    </row>
    <row r="833" spans="1:39" ht="18" customHeight="1">
      <c r="A833" s="81"/>
      <c r="B833" s="205" t="str">
        <f>_xlfn.LET(_xlpm.var,◆관리정보!B833,IF(_xlpm.var&lt;&gt;0,_xlpm.var,""))</f>
        <v/>
      </c>
      <c r="C833" s="82" t="str">
        <f>_xlfn.LET(_xlpm.var,◆관리정보!C833,IF(_xlpm.var&lt;&gt;0,_xlpm.var,""))</f>
        <v/>
      </c>
      <c r="D833" s="83"/>
      <c r="E833" s="84" t="str">
        <f t="shared" si="25"/>
        <v/>
      </c>
      <c r="F833" s="87"/>
      <c r="G833" s="229"/>
      <c r="H833" s="229"/>
      <c r="I833" s="229"/>
      <c r="J833" s="229"/>
      <c r="K833" s="218"/>
      <c r="L833" s="87"/>
      <c r="M833" s="87"/>
      <c r="N833" s="82"/>
      <c r="O833" s="82"/>
      <c r="P833" s="241"/>
      <c r="Q833" s="241"/>
      <c r="R833" s="82"/>
      <c r="S833" s="241"/>
      <c r="T833" s="82"/>
      <c r="U833" s="241"/>
      <c r="V833" s="82"/>
      <c r="W833" s="88"/>
      <c r="X833" s="82"/>
      <c r="Y833" s="89"/>
      <c r="Z833" s="82"/>
      <c r="AA833" s="90"/>
      <c r="AB833" s="241"/>
      <c r="AC833" s="241"/>
      <c r="AD833" s="241"/>
      <c r="AE833" s="82"/>
      <c r="AF833" s="82"/>
      <c r="AG833" s="90"/>
      <c r="AH833" s="90"/>
      <c r="AI833" s="90"/>
      <c r="AJ833" s="90"/>
      <c r="AK833" s="82"/>
      <c r="AL833" s="82" t="str" cm="1">
        <f t="array" aca="1" ref="AL833" ca="1">_xlfn.IFS(
 AND($AK833&lt;&gt;"", M833&lt;&gt;0, M833&lt;=EDATE(TODAY(),2)),"도래",
 AND($AK833&lt;&gt;"", M833&lt;&gt;0, M833&lt;=EDATE(TODAY(),3)),"예정",
 AND($AK833&lt;&gt;"", M833&lt;&gt;0, M833&lt;=EDATE(TODAY(),6)),"관심",
 TRUE,""
)</f>
        <v/>
      </c>
      <c r="AM833" s="86"/>
    </row>
    <row r="834" spans="1:39" ht="18" customHeight="1">
      <c r="A834" s="81"/>
      <c r="B834" s="205" t="str">
        <f>_xlfn.LET(_xlpm.var,◆관리정보!B834,IF(_xlpm.var&lt;&gt;0,_xlpm.var,""))</f>
        <v/>
      </c>
      <c r="C834" s="82" t="str">
        <f>_xlfn.LET(_xlpm.var,◆관리정보!C834,IF(_xlpm.var&lt;&gt;0,_xlpm.var,""))</f>
        <v/>
      </c>
      <c r="D834" s="83"/>
      <c r="E834" s="84" t="str">
        <f t="shared" si="25"/>
        <v/>
      </c>
      <c r="F834" s="87"/>
      <c r="G834" s="229"/>
      <c r="H834" s="229"/>
      <c r="I834" s="229"/>
      <c r="J834" s="229"/>
      <c r="K834" s="218"/>
      <c r="L834" s="87"/>
      <c r="M834" s="87"/>
      <c r="N834" s="82"/>
      <c r="O834" s="82"/>
      <c r="P834" s="241"/>
      <c r="Q834" s="241"/>
      <c r="R834" s="82"/>
      <c r="S834" s="241"/>
      <c r="T834" s="82"/>
      <c r="U834" s="241"/>
      <c r="V834" s="82"/>
      <c r="W834" s="88"/>
      <c r="X834" s="82"/>
      <c r="Y834" s="89"/>
      <c r="Z834" s="82"/>
      <c r="AA834" s="90"/>
      <c r="AB834" s="241"/>
      <c r="AC834" s="241"/>
      <c r="AD834" s="241"/>
      <c r="AE834" s="82"/>
      <c r="AF834" s="82"/>
      <c r="AG834" s="90"/>
      <c r="AH834" s="90"/>
      <c r="AI834" s="90"/>
      <c r="AJ834" s="90"/>
      <c r="AK834" s="82"/>
      <c r="AL834" s="82" t="str" cm="1">
        <f t="array" aca="1" ref="AL834" ca="1">_xlfn.IFS(
 AND($AK834&lt;&gt;"", M834&lt;&gt;0, M834&lt;=EDATE(TODAY(),2)),"도래",
 AND($AK834&lt;&gt;"", M834&lt;&gt;0, M834&lt;=EDATE(TODAY(),3)),"예정",
 AND($AK834&lt;&gt;"", M834&lt;&gt;0, M834&lt;=EDATE(TODAY(),6)),"관심",
 TRUE,""
)</f>
        <v/>
      </c>
      <c r="AM834" s="86"/>
    </row>
    <row r="835" spans="1:39" ht="18" customHeight="1">
      <c r="A835" s="81"/>
      <c r="B835" s="205" t="str">
        <f>_xlfn.LET(_xlpm.var,◆관리정보!B835,IF(_xlpm.var&lt;&gt;0,_xlpm.var,""))</f>
        <v/>
      </c>
      <c r="C835" s="82" t="str">
        <f>_xlfn.LET(_xlpm.var,◆관리정보!C835,IF(_xlpm.var&lt;&gt;0,_xlpm.var,""))</f>
        <v/>
      </c>
      <c r="D835" s="83"/>
      <c r="E835" s="84" t="str">
        <f t="shared" si="25"/>
        <v/>
      </c>
      <c r="F835" s="87"/>
      <c r="G835" s="229"/>
      <c r="H835" s="229"/>
      <c r="I835" s="229"/>
      <c r="J835" s="229"/>
      <c r="K835" s="218"/>
      <c r="L835" s="87"/>
      <c r="M835" s="87"/>
      <c r="N835" s="82"/>
      <c r="O835" s="82"/>
      <c r="P835" s="241"/>
      <c r="Q835" s="241"/>
      <c r="R835" s="82"/>
      <c r="S835" s="241"/>
      <c r="T835" s="82"/>
      <c r="U835" s="241"/>
      <c r="V835" s="82"/>
      <c r="W835" s="88"/>
      <c r="X835" s="82"/>
      <c r="Y835" s="89"/>
      <c r="Z835" s="82"/>
      <c r="AA835" s="90"/>
      <c r="AB835" s="241"/>
      <c r="AC835" s="241"/>
      <c r="AD835" s="241"/>
      <c r="AE835" s="82"/>
      <c r="AF835" s="82"/>
      <c r="AG835" s="90"/>
      <c r="AH835" s="90"/>
      <c r="AI835" s="90"/>
      <c r="AJ835" s="90"/>
      <c r="AK835" s="82"/>
      <c r="AL835" s="82" t="str" cm="1">
        <f t="array" aca="1" ref="AL835" ca="1">_xlfn.IFS(
 AND($AK835&lt;&gt;"", M835&lt;&gt;0, M835&lt;=EDATE(TODAY(),2)),"도래",
 AND($AK835&lt;&gt;"", M835&lt;&gt;0, M835&lt;=EDATE(TODAY(),3)),"예정",
 AND($AK835&lt;&gt;"", M835&lt;&gt;0, M835&lt;=EDATE(TODAY(),6)),"관심",
 TRUE,""
)</f>
        <v/>
      </c>
      <c r="AM835" s="86"/>
    </row>
    <row r="836" spans="1:39" ht="18" customHeight="1">
      <c r="A836" s="81"/>
      <c r="B836" s="205" t="str">
        <f>_xlfn.LET(_xlpm.var,◆관리정보!B836,IF(_xlpm.var&lt;&gt;0,_xlpm.var,""))</f>
        <v/>
      </c>
      <c r="C836" s="82" t="str">
        <f>_xlfn.LET(_xlpm.var,◆관리정보!C836,IF(_xlpm.var&lt;&gt;0,_xlpm.var,""))</f>
        <v/>
      </c>
      <c r="D836" s="83"/>
      <c r="E836" s="84" t="str">
        <f t="shared" ref="E836:E899" si="26">_xlfn.CONCAT(B836,C836)</f>
        <v/>
      </c>
      <c r="F836" s="87"/>
      <c r="G836" s="229"/>
      <c r="H836" s="229"/>
      <c r="I836" s="229"/>
      <c r="J836" s="229"/>
      <c r="K836" s="218"/>
      <c r="L836" s="87"/>
      <c r="M836" s="87"/>
      <c r="N836" s="82"/>
      <c r="O836" s="82"/>
      <c r="P836" s="241"/>
      <c r="Q836" s="241"/>
      <c r="R836" s="82"/>
      <c r="S836" s="241"/>
      <c r="T836" s="82"/>
      <c r="U836" s="241"/>
      <c r="V836" s="82"/>
      <c r="W836" s="88"/>
      <c r="X836" s="82"/>
      <c r="Y836" s="89"/>
      <c r="Z836" s="82"/>
      <c r="AA836" s="90"/>
      <c r="AB836" s="241"/>
      <c r="AC836" s="241"/>
      <c r="AD836" s="241"/>
      <c r="AE836" s="82"/>
      <c r="AF836" s="82"/>
      <c r="AG836" s="90"/>
      <c r="AH836" s="90"/>
      <c r="AI836" s="90"/>
      <c r="AJ836" s="90"/>
      <c r="AK836" s="82"/>
      <c r="AL836" s="82" t="str" cm="1">
        <f t="array" aca="1" ref="AL836" ca="1">_xlfn.IFS(
 AND($AK836&lt;&gt;"", M836&lt;&gt;0, M836&lt;=EDATE(TODAY(),2)),"도래",
 AND($AK836&lt;&gt;"", M836&lt;&gt;0, M836&lt;=EDATE(TODAY(),3)),"예정",
 AND($AK836&lt;&gt;"", M836&lt;&gt;0, M836&lt;=EDATE(TODAY(),6)),"관심",
 TRUE,""
)</f>
        <v/>
      </c>
      <c r="AM836" s="86"/>
    </row>
    <row r="837" spans="1:39" ht="18" customHeight="1">
      <c r="A837" s="81"/>
      <c r="B837" s="205" t="str">
        <f>_xlfn.LET(_xlpm.var,◆관리정보!B837,IF(_xlpm.var&lt;&gt;0,_xlpm.var,""))</f>
        <v/>
      </c>
      <c r="C837" s="82" t="str">
        <f>_xlfn.LET(_xlpm.var,◆관리정보!C837,IF(_xlpm.var&lt;&gt;0,_xlpm.var,""))</f>
        <v/>
      </c>
      <c r="D837" s="83"/>
      <c r="E837" s="84" t="str">
        <f t="shared" si="26"/>
        <v/>
      </c>
      <c r="F837" s="87"/>
      <c r="G837" s="229"/>
      <c r="H837" s="229"/>
      <c r="I837" s="229"/>
      <c r="J837" s="229"/>
      <c r="K837" s="218"/>
      <c r="L837" s="87"/>
      <c r="M837" s="87"/>
      <c r="N837" s="82"/>
      <c r="O837" s="82"/>
      <c r="P837" s="241"/>
      <c r="Q837" s="241"/>
      <c r="R837" s="82"/>
      <c r="S837" s="241"/>
      <c r="T837" s="82"/>
      <c r="U837" s="241"/>
      <c r="V837" s="82"/>
      <c r="W837" s="88"/>
      <c r="X837" s="82"/>
      <c r="Y837" s="89"/>
      <c r="Z837" s="82"/>
      <c r="AA837" s="90"/>
      <c r="AB837" s="241"/>
      <c r="AC837" s="241"/>
      <c r="AD837" s="241"/>
      <c r="AE837" s="82"/>
      <c r="AF837" s="82"/>
      <c r="AG837" s="90"/>
      <c r="AH837" s="90"/>
      <c r="AI837" s="90"/>
      <c r="AJ837" s="90"/>
      <c r="AK837" s="82"/>
      <c r="AL837" s="82" t="str" cm="1">
        <f t="array" aca="1" ref="AL837" ca="1">_xlfn.IFS(
 AND($AK837&lt;&gt;"", M837&lt;&gt;0, M837&lt;=EDATE(TODAY(),2)),"도래",
 AND($AK837&lt;&gt;"", M837&lt;&gt;0, M837&lt;=EDATE(TODAY(),3)),"예정",
 AND($AK837&lt;&gt;"", M837&lt;&gt;0, M837&lt;=EDATE(TODAY(),6)),"관심",
 TRUE,""
)</f>
        <v/>
      </c>
      <c r="AM837" s="86"/>
    </row>
    <row r="838" spans="1:39" ht="18" customHeight="1">
      <c r="A838" s="81"/>
      <c r="B838" s="205" t="str">
        <f>_xlfn.LET(_xlpm.var,◆관리정보!B838,IF(_xlpm.var&lt;&gt;0,_xlpm.var,""))</f>
        <v/>
      </c>
      <c r="C838" s="82" t="str">
        <f>_xlfn.LET(_xlpm.var,◆관리정보!C838,IF(_xlpm.var&lt;&gt;0,_xlpm.var,""))</f>
        <v/>
      </c>
      <c r="D838" s="83"/>
      <c r="E838" s="84" t="str">
        <f t="shared" si="26"/>
        <v/>
      </c>
      <c r="F838" s="87"/>
      <c r="G838" s="229"/>
      <c r="H838" s="229"/>
      <c r="I838" s="229"/>
      <c r="J838" s="229"/>
      <c r="K838" s="218"/>
      <c r="L838" s="87"/>
      <c r="M838" s="87"/>
      <c r="N838" s="82"/>
      <c r="O838" s="82"/>
      <c r="P838" s="241"/>
      <c r="Q838" s="241"/>
      <c r="R838" s="82"/>
      <c r="S838" s="241"/>
      <c r="T838" s="82"/>
      <c r="U838" s="241"/>
      <c r="V838" s="82"/>
      <c r="W838" s="88"/>
      <c r="X838" s="82"/>
      <c r="Y838" s="89"/>
      <c r="Z838" s="82"/>
      <c r="AA838" s="90"/>
      <c r="AB838" s="241"/>
      <c r="AC838" s="241"/>
      <c r="AD838" s="241"/>
      <c r="AE838" s="82"/>
      <c r="AF838" s="82"/>
      <c r="AG838" s="90"/>
      <c r="AH838" s="90"/>
      <c r="AI838" s="90"/>
      <c r="AJ838" s="90"/>
      <c r="AK838" s="82"/>
      <c r="AL838" s="82" t="str" cm="1">
        <f t="array" aca="1" ref="AL838" ca="1">_xlfn.IFS(
 AND($AK838&lt;&gt;"", M838&lt;&gt;0, M838&lt;=EDATE(TODAY(),2)),"도래",
 AND($AK838&lt;&gt;"", M838&lt;&gt;0, M838&lt;=EDATE(TODAY(),3)),"예정",
 AND($AK838&lt;&gt;"", M838&lt;&gt;0, M838&lt;=EDATE(TODAY(),6)),"관심",
 TRUE,""
)</f>
        <v/>
      </c>
      <c r="AM838" s="86"/>
    </row>
    <row r="839" spans="1:39" ht="18" customHeight="1">
      <c r="A839" s="81"/>
      <c r="B839" s="205" t="str">
        <f>_xlfn.LET(_xlpm.var,◆관리정보!B839,IF(_xlpm.var&lt;&gt;0,_xlpm.var,""))</f>
        <v/>
      </c>
      <c r="C839" s="82" t="str">
        <f>_xlfn.LET(_xlpm.var,◆관리정보!C839,IF(_xlpm.var&lt;&gt;0,_xlpm.var,""))</f>
        <v/>
      </c>
      <c r="D839" s="83"/>
      <c r="E839" s="84" t="str">
        <f t="shared" si="26"/>
        <v/>
      </c>
      <c r="F839" s="87"/>
      <c r="G839" s="229"/>
      <c r="H839" s="229"/>
      <c r="I839" s="229"/>
      <c r="J839" s="229"/>
      <c r="K839" s="218"/>
      <c r="L839" s="87"/>
      <c r="M839" s="87"/>
      <c r="N839" s="82"/>
      <c r="O839" s="82"/>
      <c r="P839" s="241"/>
      <c r="Q839" s="241"/>
      <c r="R839" s="82"/>
      <c r="S839" s="241"/>
      <c r="T839" s="82"/>
      <c r="U839" s="241"/>
      <c r="V839" s="82"/>
      <c r="W839" s="88"/>
      <c r="X839" s="82"/>
      <c r="Y839" s="89"/>
      <c r="Z839" s="82"/>
      <c r="AA839" s="90"/>
      <c r="AB839" s="241"/>
      <c r="AC839" s="241"/>
      <c r="AD839" s="241"/>
      <c r="AE839" s="82"/>
      <c r="AF839" s="82"/>
      <c r="AG839" s="90"/>
      <c r="AH839" s="90"/>
      <c r="AI839" s="90"/>
      <c r="AJ839" s="90"/>
      <c r="AK839" s="82"/>
      <c r="AL839" s="82" t="str" cm="1">
        <f t="array" aca="1" ref="AL839" ca="1">_xlfn.IFS(
 AND($AK839&lt;&gt;"", M839&lt;&gt;0, M839&lt;=EDATE(TODAY(),2)),"도래",
 AND($AK839&lt;&gt;"", M839&lt;&gt;0, M839&lt;=EDATE(TODAY(),3)),"예정",
 AND($AK839&lt;&gt;"", M839&lt;&gt;0, M839&lt;=EDATE(TODAY(),6)),"관심",
 TRUE,""
)</f>
        <v/>
      </c>
      <c r="AM839" s="86"/>
    </row>
    <row r="840" spans="1:39" ht="18" customHeight="1">
      <c r="A840" s="81"/>
      <c r="B840" s="205" t="str">
        <f>_xlfn.LET(_xlpm.var,◆관리정보!B840,IF(_xlpm.var&lt;&gt;0,_xlpm.var,""))</f>
        <v/>
      </c>
      <c r="C840" s="82" t="str">
        <f>_xlfn.LET(_xlpm.var,◆관리정보!C840,IF(_xlpm.var&lt;&gt;0,_xlpm.var,""))</f>
        <v/>
      </c>
      <c r="D840" s="83"/>
      <c r="E840" s="84" t="str">
        <f t="shared" si="26"/>
        <v/>
      </c>
      <c r="F840" s="87"/>
      <c r="G840" s="229"/>
      <c r="H840" s="229"/>
      <c r="I840" s="229"/>
      <c r="J840" s="229"/>
      <c r="K840" s="218"/>
      <c r="L840" s="87"/>
      <c r="M840" s="87"/>
      <c r="N840" s="82"/>
      <c r="O840" s="82"/>
      <c r="P840" s="241"/>
      <c r="Q840" s="241"/>
      <c r="R840" s="82"/>
      <c r="S840" s="241"/>
      <c r="T840" s="82"/>
      <c r="U840" s="241"/>
      <c r="V840" s="82"/>
      <c r="W840" s="88"/>
      <c r="X840" s="82"/>
      <c r="Y840" s="89"/>
      <c r="Z840" s="82"/>
      <c r="AA840" s="90"/>
      <c r="AB840" s="241"/>
      <c r="AC840" s="241"/>
      <c r="AD840" s="241"/>
      <c r="AE840" s="82"/>
      <c r="AF840" s="82"/>
      <c r="AG840" s="90"/>
      <c r="AH840" s="90"/>
      <c r="AI840" s="90"/>
      <c r="AJ840" s="90"/>
      <c r="AK840" s="82"/>
      <c r="AL840" s="82" t="str" cm="1">
        <f t="array" aca="1" ref="AL840" ca="1">_xlfn.IFS(
 AND($AK840&lt;&gt;"", M840&lt;&gt;0, M840&lt;=EDATE(TODAY(),2)),"도래",
 AND($AK840&lt;&gt;"", M840&lt;&gt;0, M840&lt;=EDATE(TODAY(),3)),"예정",
 AND($AK840&lt;&gt;"", M840&lt;&gt;0, M840&lt;=EDATE(TODAY(),6)),"관심",
 TRUE,""
)</f>
        <v/>
      </c>
      <c r="AM840" s="86"/>
    </row>
    <row r="841" spans="1:39" ht="18" customHeight="1">
      <c r="A841" s="81"/>
      <c r="B841" s="205" t="str">
        <f>_xlfn.LET(_xlpm.var,◆관리정보!B841,IF(_xlpm.var&lt;&gt;0,_xlpm.var,""))</f>
        <v/>
      </c>
      <c r="C841" s="82" t="str">
        <f>_xlfn.LET(_xlpm.var,◆관리정보!C841,IF(_xlpm.var&lt;&gt;0,_xlpm.var,""))</f>
        <v/>
      </c>
      <c r="D841" s="83"/>
      <c r="E841" s="84" t="str">
        <f t="shared" si="26"/>
        <v/>
      </c>
      <c r="F841" s="87"/>
      <c r="G841" s="229"/>
      <c r="H841" s="229"/>
      <c r="I841" s="229"/>
      <c r="J841" s="229"/>
      <c r="K841" s="218"/>
      <c r="L841" s="87"/>
      <c r="M841" s="87"/>
      <c r="N841" s="82"/>
      <c r="O841" s="82"/>
      <c r="P841" s="241"/>
      <c r="Q841" s="241"/>
      <c r="R841" s="82"/>
      <c r="S841" s="241"/>
      <c r="T841" s="82"/>
      <c r="U841" s="241"/>
      <c r="V841" s="82"/>
      <c r="W841" s="88"/>
      <c r="X841" s="82"/>
      <c r="Y841" s="89"/>
      <c r="Z841" s="82"/>
      <c r="AA841" s="90"/>
      <c r="AB841" s="241"/>
      <c r="AC841" s="241"/>
      <c r="AD841" s="241"/>
      <c r="AE841" s="82"/>
      <c r="AF841" s="82"/>
      <c r="AG841" s="90"/>
      <c r="AH841" s="90"/>
      <c r="AI841" s="90"/>
      <c r="AJ841" s="90"/>
      <c r="AK841" s="82"/>
      <c r="AL841" s="82" t="str" cm="1">
        <f t="array" aca="1" ref="AL841" ca="1">_xlfn.IFS(
 AND($AK841&lt;&gt;"", M841&lt;&gt;0, M841&lt;=EDATE(TODAY(),2)),"도래",
 AND($AK841&lt;&gt;"", M841&lt;&gt;0, M841&lt;=EDATE(TODAY(),3)),"예정",
 AND($AK841&lt;&gt;"", M841&lt;&gt;0, M841&lt;=EDATE(TODAY(),6)),"관심",
 TRUE,""
)</f>
        <v/>
      </c>
      <c r="AM841" s="86"/>
    </row>
    <row r="842" spans="1:39" ht="18" customHeight="1">
      <c r="A842" s="81"/>
      <c r="B842" s="205" t="str">
        <f>_xlfn.LET(_xlpm.var,◆관리정보!B842,IF(_xlpm.var&lt;&gt;0,_xlpm.var,""))</f>
        <v/>
      </c>
      <c r="C842" s="82" t="str">
        <f>_xlfn.LET(_xlpm.var,◆관리정보!C842,IF(_xlpm.var&lt;&gt;0,_xlpm.var,""))</f>
        <v/>
      </c>
      <c r="D842" s="83"/>
      <c r="E842" s="84" t="str">
        <f t="shared" si="26"/>
        <v/>
      </c>
      <c r="F842" s="87"/>
      <c r="G842" s="229"/>
      <c r="H842" s="229"/>
      <c r="I842" s="229"/>
      <c r="J842" s="229"/>
      <c r="K842" s="218"/>
      <c r="L842" s="87"/>
      <c r="M842" s="87"/>
      <c r="N842" s="82"/>
      <c r="O842" s="82"/>
      <c r="P842" s="241"/>
      <c r="Q842" s="241"/>
      <c r="R842" s="82"/>
      <c r="S842" s="241"/>
      <c r="T842" s="82"/>
      <c r="U842" s="241"/>
      <c r="V842" s="82"/>
      <c r="W842" s="88"/>
      <c r="X842" s="82"/>
      <c r="Y842" s="89"/>
      <c r="Z842" s="82"/>
      <c r="AA842" s="90"/>
      <c r="AB842" s="241"/>
      <c r="AC842" s="241"/>
      <c r="AD842" s="241"/>
      <c r="AE842" s="82"/>
      <c r="AF842" s="82"/>
      <c r="AG842" s="90"/>
      <c r="AH842" s="90"/>
      <c r="AI842" s="90"/>
      <c r="AJ842" s="90"/>
      <c r="AK842" s="82"/>
      <c r="AL842" s="82" t="str" cm="1">
        <f t="array" aca="1" ref="AL842" ca="1">_xlfn.IFS(
 AND($AK842&lt;&gt;"", M842&lt;&gt;0, M842&lt;=EDATE(TODAY(),2)),"도래",
 AND($AK842&lt;&gt;"", M842&lt;&gt;0, M842&lt;=EDATE(TODAY(),3)),"예정",
 AND($AK842&lt;&gt;"", M842&lt;&gt;0, M842&lt;=EDATE(TODAY(),6)),"관심",
 TRUE,""
)</f>
        <v/>
      </c>
      <c r="AM842" s="86"/>
    </row>
    <row r="843" spans="1:39" ht="18" customHeight="1">
      <c r="A843" s="81"/>
      <c r="B843" s="205" t="str">
        <f>_xlfn.LET(_xlpm.var,◆관리정보!B843,IF(_xlpm.var&lt;&gt;0,_xlpm.var,""))</f>
        <v/>
      </c>
      <c r="C843" s="82" t="str">
        <f>_xlfn.LET(_xlpm.var,◆관리정보!C843,IF(_xlpm.var&lt;&gt;0,_xlpm.var,""))</f>
        <v/>
      </c>
      <c r="D843" s="83"/>
      <c r="E843" s="84" t="str">
        <f t="shared" si="26"/>
        <v/>
      </c>
      <c r="F843" s="87"/>
      <c r="G843" s="229"/>
      <c r="H843" s="229"/>
      <c r="I843" s="229"/>
      <c r="J843" s="229"/>
      <c r="K843" s="218"/>
      <c r="L843" s="87"/>
      <c r="M843" s="87"/>
      <c r="N843" s="82"/>
      <c r="O843" s="82"/>
      <c r="P843" s="241"/>
      <c r="Q843" s="241"/>
      <c r="R843" s="82"/>
      <c r="S843" s="241"/>
      <c r="T843" s="82"/>
      <c r="U843" s="241"/>
      <c r="V843" s="82"/>
      <c r="W843" s="88"/>
      <c r="X843" s="82"/>
      <c r="Y843" s="89"/>
      <c r="Z843" s="82"/>
      <c r="AA843" s="90"/>
      <c r="AB843" s="241"/>
      <c r="AC843" s="241"/>
      <c r="AD843" s="241"/>
      <c r="AE843" s="82"/>
      <c r="AF843" s="82"/>
      <c r="AG843" s="90"/>
      <c r="AH843" s="90"/>
      <c r="AI843" s="90"/>
      <c r="AJ843" s="90"/>
      <c r="AK843" s="82"/>
      <c r="AL843" s="82" t="str" cm="1">
        <f t="array" aca="1" ref="AL843" ca="1">_xlfn.IFS(
 AND($AK843&lt;&gt;"", M843&lt;&gt;0, M843&lt;=EDATE(TODAY(),2)),"도래",
 AND($AK843&lt;&gt;"", M843&lt;&gt;0, M843&lt;=EDATE(TODAY(),3)),"예정",
 AND($AK843&lt;&gt;"", M843&lt;&gt;0, M843&lt;=EDATE(TODAY(),6)),"관심",
 TRUE,""
)</f>
        <v/>
      </c>
      <c r="AM843" s="86"/>
    </row>
    <row r="844" spans="1:39" ht="18" customHeight="1">
      <c r="A844" s="81"/>
      <c r="B844" s="205" t="str">
        <f>_xlfn.LET(_xlpm.var,◆관리정보!B844,IF(_xlpm.var&lt;&gt;0,_xlpm.var,""))</f>
        <v/>
      </c>
      <c r="C844" s="82" t="str">
        <f>_xlfn.LET(_xlpm.var,◆관리정보!C844,IF(_xlpm.var&lt;&gt;0,_xlpm.var,""))</f>
        <v/>
      </c>
      <c r="D844" s="83"/>
      <c r="E844" s="84" t="str">
        <f t="shared" si="26"/>
        <v/>
      </c>
      <c r="F844" s="87"/>
      <c r="G844" s="229"/>
      <c r="H844" s="229"/>
      <c r="I844" s="229"/>
      <c r="J844" s="229"/>
      <c r="K844" s="218"/>
      <c r="L844" s="87"/>
      <c r="M844" s="87"/>
      <c r="N844" s="82"/>
      <c r="O844" s="82"/>
      <c r="P844" s="241"/>
      <c r="Q844" s="241"/>
      <c r="R844" s="82"/>
      <c r="S844" s="241"/>
      <c r="T844" s="82"/>
      <c r="U844" s="241"/>
      <c r="V844" s="82"/>
      <c r="W844" s="88"/>
      <c r="X844" s="82"/>
      <c r="Y844" s="89"/>
      <c r="Z844" s="82"/>
      <c r="AA844" s="90"/>
      <c r="AB844" s="241"/>
      <c r="AC844" s="241"/>
      <c r="AD844" s="241"/>
      <c r="AE844" s="82"/>
      <c r="AF844" s="82"/>
      <c r="AG844" s="90"/>
      <c r="AH844" s="90"/>
      <c r="AI844" s="90"/>
      <c r="AJ844" s="90"/>
      <c r="AK844" s="82"/>
      <c r="AL844" s="82" t="str" cm="1">
        <f t="array" aca="1" ref="AL844" ca="1">_xlfn.IFS(
 AND($AK844&lt;&gt;"", M844&lt;&gt;0, M844&lt;=EDATE(TODAY(),2)),"도래",
 AND($AK844&lt;&gt;"", M844&lt;&gt;0, M844&lt;=EDATE(TODAY(),3)),"예정",
 AND($AK844&lt;&gt;"", M844&lt;&gt;0, M844&lt;=EDATE(TODAY(),6)),"관심",
 TRUE,""
)</f>
        <v/>
      </c>
      <c r="AM844" s="86"/>
    </row>
    <row r="845" spans="1:39" ht="18" customHeight="1">
      <c r="A845" s="81"/>
      <c r="B845" s="205" t="str">
        <f>_xlfn.LET(_xlpm.var,◆관리정보!B845,IF(_xlpm.var&lt;&gt;0,_xlpm.var,""))</f>
        <v/>
      </c>
      <c r="C845" s="82" t="str">
        <f>_xlfn.LET(_xlpm.var,◆관리정보!C845,IF(_xlpm.var&lt;&gt;0,_xlpm.var,""))</f>
        <v/>
      </c>
      <c r="D845" s="83"/>
      <c r="E845" s="84" t="str">
        <f t="shared" si="26"/>
        <v/>
      </c>
      <c r="F845" s="87"/>
      <c r="G845" s="229"/>
      <c r="H845" s="229"/>
      <c r="I845" s="229"/>
      <c r="J845" s="229"/>
      <c r="K845" s="218"/>
      <c r="L845" s="87"/>
      <c r="M845" s="87"/>
      <c r="N845" s="82"/>
      <c r="O845" s="82"/>
      <c r="P845" s="241"/>
      <c r="Q845" s="241"/>
      <c r="R845" s="82"/>
      <c r="S845" s="241"/>
      <c r="T845" s="82"/>
      <c r="U845" s="241"/>
      <c r="V845" s="82"/>
      <c r="W845" s="88"/>
      <c r="X845" s="82"/>
      <c r="Y845" s="89"/>
      <c r="Z845" s="82"/>
      <c r="AA845" s="90"/>
      <c r="AB845" s="241"/>
      <c r="AC845" s="241"/>
      <c r="AD845" s="241"/>
      <c r="AE845" s="82"/>
      <c r="AF845" s="82"/>
      <c r="AG845" s="90"/>
      <c r="AH845" s="90"/>
      <c r="AI845" s="90"/>
      <c r="AJ845" s="90"/>
      <c r="AK845" s="82"/>
      <c r="AL845" s="82" t="str" cm="1">
        <f t="array" aca="1" ref="AL845" ca="1">_xlfn.IFS(
 AND($AK845&lt;&gt;"", M845&lt;&gt;0, M845&lt;=EDATE(TODAY(),2)),"도래",
 AND($AK845&lt;&gt;"", M845&lt;&gt;0, M845&lt;=EDATE(TODAY(),3)),"예정",
 AND($AK845&lt;&gt;"", M845&lt;&gt;0, M845&lt;=EDATE(TODAY(),6)),"관심",
 TRUE,""
)</f>
        <v/>
      </c>
      <c r="AM845" s="86"/>
    </row>
    <row r="846" spans="1:39" ht="18" customHeight="1">
      <c r="A846" s="81"/>
      <c r="B846" s="205" t="str">
        <f>_xlfn.LET(_xlpm.var,◆관리정보!B846,IF(_xlpm.var&lt;&gt;0,_xlpm.var,""))</f>
        <v/>
      </c>
      <c r="C846" s="82" t="str">
        <f>_xlfn.LET(_xlpm.var,◆관리정보!C846,IF(_xlpm.var&lt;&gt;0,_xlpm.var,""))</f>
        <v/>
      </c>
      <c r="D846" s="83"/>
      <c r="E846" s="84" t="str">
        <f t="shared" si="26"/>
        <v/>
      </c>
      <c r="F846" s="87"/>
      <c r="G846" s="229"/>
      <c r="H846" s="229"/>
      <c r="I846" s="229"/>
      <c r="J846" s="229"/>
      <c r="K846" s="218"/>
      <c r="L846" s="87"/>
      <c r="M846" s="87"/>
      <c r="N846" s="82"/>
      <c r="O846" s="82"/>
      <c r="P846" s="241"/>
      <c r="Q846" s="241"/>
      <c r="R846" s="82"/>
      <c r="S846" s="241"/>
      <c r="T846" s="82"/>
      <c r="U846" s="241"/>
      <c r="V846" s="82"/>
      <c r="W846" s="88"/>
      <c r="X846" s="82"/>
      <c r="Y846" s="89"/>
      <c r="Z846" s="82"/>
      <c r="AA846" s="90"/>
      <c r="AB846" s="241"/>
      <c r="AC846" s="241"/>
      <c r="AD846" s="241"/>
      <c r="AE846" s="82"/>
      <c r="AF846" s="82"/>
      <c r="AG846" s="90"/>
      <c r="AH846" s="90"/>
      <c r="AI846" s="90"/>
      <c r="AJ846" s="90"/>
      <c r="AK846" s="82"/>
      <c r="AL846" s="82" t="str" cm="1">
        <f t="array" aca="1" ref="AL846" ca="1">_xlfn.IFS(
 AND($AK846&lt;&gt;"", M846&lt;&gt;0, M846&lt;=EDATE(TODAY(),2)),"도래",
 AND($AK846&lt;&gt;"", M846&lt;&gt;0, M846&lt;=EDATE(TODAY(),3)),"예정",
 AND($AK846&lt;&gt;"", M846&lt;&gt;0, M846&lt;=EDATE(TODAY(),6)),"관심",
 TRUE,""
)</f>
        <v/>
      </c>
      <c r="AM846" s="86"/>
    </row>
    <row r="847" spans="1:39" ht="18" customHeight="1">
      <c r="A847" s="81"/>
      <c r="B847" s="205" t="str">
        <f>_xlfn.LET(_xlpm.var,◆관리정보!B847,IF(_xlpm.var&lt;&gt;0,_xlpm.var,""))</f>
        <v/>
      </c>
      <c r="C847" s="82" t="str">
        <f>_xlfn.LET(_xlpm.var,◆관리정보!C847,IF(_xlpm.var&lt;&gt;0,_xlpm.var,""))</f>
        <v/>
      </c>
      <c r="D847" s="83"/>
      <c r="E847" s="84" t="str">
        <f t="shared" si="26"/>
        <v/>
      </c>
      <c r="F847" s="87"/>
      <c r="G847" s="229"/>
      <c r="H847" s="229"/>
      <c r="I847" s="229"/>
      <c r="J847" s="229"/>
      <c r="K847" s="218"/>
      <c r="L847" s="87"/>
      <c r="M847" s="87"/>
      <c r="N847" s="82"/>
      <c r="O847" s="82"/>
      <c r="P847" s="241"/>
      <c r="Q847" s="241"/>
      <c r="R847" s="82"/>
      <c r="S847" s="241"/>
      <c r="T847" s="82"/>
      <c r="U847" s="241"/>
      <c r="V847" s="82"/>
      <c r="W847" s="88"/>
      <c r="X847" s="82"/>
      <c r="Y847" s="89"/>
      <c r="Z847" s="82"/>
      <c r="AA847" s="90"/>
      <c r="AB847" s="241"/>
      <c r="AC847" s="241"/>
      <c r="AD847" s="241"/>
      <c r="AE847" s="82"/>
      <c r="AF847" s="82"/>
      <c r="AG847" s="90"/>
      <c r="AH847" s="90"/>
      <c r="AI847" s="90"/>
      <c r="AJ847" s="90"/>
      <c r="AK847" s="82"/>
      <c r="AL847" s="82" t="str" cm="1">
        <f t="array" aca="1" ref="AL847" ca="1">_xlfn.IFS(
 AND($AK847&lt;&gt;"", M847&lt;&gt;0, M847&lt;=EDATE(TODAY(),2)),"도래",
 AND($AK847&lt;&gt;"", M847&lt;&gt;0, M847&lt;=EDATE(TODAY(),3)),"예정",
 AND($AK847&lt;&gt;"", M847&lt;&gt;0, M847&lt;=EDATE(TODAY(),6)),"관심",
 TRUE,""
)</f>
        <v/>
      </c>
      <c r="AM847" s="86"/>
    </row>
    <row r="848" spans="1:39" ht="18" customHeight="1">
      <c r="A848" s="81"/>
      <c r="B848" s="205" t="str">
        <f>_xlfn.LET(_xlpm.var,◆관리정보!B848,IF(_xlpm.var&lt;&gt;0,_xlpm.var,""))</f>
        <v/>
      </c>
      <c r="C848" s="82" t="str">
        <f>_xlfn.LET(_xlpm.var,◆관리정보!C848,IF(_xlpm.var&lt;&gt;0,_xlpm.var,""))</f>
        <v/>
      </c>
      <c r="D848" s="83"/>
      <c r="E848" s="84" t="str">
        <f t="shared" si="26"/>
        <v/>
      </c>
      <c r="F848" s="87"/>
      <c r="G848" s="229"/>
      <c r="H848" s="229"/>
      <c r="I848" s="229"/>
      <c r="J848" s="229"/>
      <c r="K848" s="218"/>
      <c r="L848" s="87"/>
      <c r="M848" s="87"/>
      <c r="N848" s="82"/>
      <c r="O848" s="82"/>
      <c r="P848" s="241"/>
      <c r="Q848" s="241"/>
      <c r="R848" s="82"/>
      <c r="S848" s="241"/>
      <c r="T848" s="82"/>
      <c r="U848" s="241"/>
      <c r="V848" s="82"/>
      <c r="W848" s="88"/>
      <c r="X848" s="82"/>
      <c r="Y848" s="89"/>
      <c r="Z848" s="82"/>
      <c r="AA848" s="90"/>
      <c r="AB848" s="241"/>
      <c r="AC848" s="241"/>
      <c r="AD848" s="241"/>
      <c r="AE848" s="82"/>
      <c r="AF848" s="82"/>
      <c r="AG848" s="90"/>
      <c r="AH848" s="90"/>
      <c r="AI848" s="90"/>
      <c r="AJ848" s="90"/>
      <c r="AK848" s="82"/>
      <c r="AL848" s="82" t="str" cm="1">
        <f t="array" aca="1" ref="AL848" ca="1">_xlfn.IFS(
 AND($AK848&lt;&gt;"", M848&lt;&gt;0, M848&lt;=EDATE(TODAY(),2)),"도래",
 AND($AK848&lt;&gt;"", M848&lt;&gt;0, M848&lt;=EDATE(TODAY(),3)),"예정",
 AND($AK848&lt;&gt;"", M848&lt;&gt;0, M848&lt;=EDATE(TODAY(),6)),"관심",
 TRUE,""
)</f>
        <v/>
      </c>
      <c r="AM848" s="86"/>
    </row>
    <row r="849" spans="1:39" ht="18" customHeight="1">
      <c r="A849" s="81"/>
      <c r="B849" s="205" t="str">
        <f>_xlfn.LET(_xlpm.var,◆관리정보!B849,IF(_xlpm.var&lt;&gt;0,_xlpm.var,""))</f>
        <v/>
      </c>
      <c r="C849" s="82" t="str">
        <f>_xlfn.LET(_xlpm.var,◆관리정보!C849,IF(_xlpm.var&lt;&gt;0,_xlpm.var,""))</f>
        <v/>
      </c>
      <c r="D849" s="83"/>
      <c r="E849" s="84" t="str">
        <f t="shared" si="26"/>
        <v/>
      </c>
      <c r="F849" s="87"/>
      <c r="G849" s="229"/>
      <c r="H849" s="229"/>
      <c r="I849" s="229"/>
      <c r="J849" s="229"/>
      <c r="K849" s="218"/>
      <c r="L849" s="87"/>
      <c r="M849" s="87"/>
      <c r="N849" s="82"/>
      <c r="O849" s="82"/>
      <c r="P849" s="241"/>
      <c r="Q849" s="241"/>
      <c r="R849" s="82"/>
      <c r="S849" s="241"/>
      <c r="T849" s="82"/>
      <c r="U849" s="241"/>
      <c r="V849" s="82"/>
      <c r="W849" s="88"/>
      <c r="X849" s="82"/>
      <c r="Y849" s="89"/>
      <c r="Z849" s="82"/>
      <c r="AA849" s="90"/>
      <c r="AB849" s="241"/>
      <c r="AC849" s="241"/>
      <c r="AD849" s="241"/>
      <c r="AE849" s="82"/>
      <c r="AF849" s="82"/>
      <c r="AG849" s="90"/>
      <c r="AH849" s="90"/>
      <c r="AI849" s="90"/>
      <c r="AJ849" s="90"/>
      <c r="AK849" s="82"/>
      <c r="AL849" s="82" t="str" cm="1">
        <f t="array" aca="1" ref="AL849" ca="1">_xlfn.IFS(
 AND($AK849&lt;&gt;"", M849&lt;&gt;0, M849&lt;=EDATE(TODAY(),2)),"도래",
 AND($AK849&lt;&gt;"", M849&lt;&gt;0, M849&lt;=EDATE(TODAY(),3)),"예정",
 AND($AK849&lt;&gt;"", M849&lt;&gt;0, M849&lt;=EDATE(TODAY(),6)),"관심",
 TRUE,""
)</f>
        <v/>
      </c>
      <c r="AM849" s="86"/>
    </row>
    <row r="850" spans="1:39" ht="18" customHeight="1">
      <c r="A850" s="81"/>
      <c r="B850" s="205" t="str">
        <f>_xlfn.LET(_xlpm.var,◆관리정보!B850,IF(_xlpm.var&lt;&gt;0,_xlpm.var,""))</f>
        <v/>
      </c>
      <c r="C850" s="82" t="str">
        <f>_xlfn.LET(_xlpm.var,◆관리정보!C850,IF(_xlpm.var&lt;&gt;0,_xlpm.var,""))</f>
        <v/>
      </c>
      <c r="D850" s="83"/>
      <c r="E850" s="84" t="str">
        <f t="shared" si="26"/>
        <v/>
      </c>
      <c r="F850" s="87"/>
      <c r="G850" s="229"/>
      <c r="H850" s="229"/>
      <c r="I850" s="229"/>
      <c r="J850" s="229"/>
      <c r="K850" s="218"/>
      <c r="L850" s="87"/>
      <c r="M850" s="87"/>
      <c r="N850" s="82"/>
      <c r="O850" s="82"/>
      <c r="P850" s="241"/>
      <c r="Q850" s="241"/>
      <c r="R850" s="82"/>
      <c r="S850" s="241"/>
      <c r="T850" s="82"/>
      <c r="U850" s="241"/>
      <c r="V850" s="82"/>
      <c r="W850" s="88"/>
      <c r="X850" s="82"/>
      <c r="Y850" s="89"/>
      <c r="Z850" s="82"/>
      <c r="AA850" s="90"/>
      <c r="AB850" s="241"/>
      <c r="AC850" s="241"/>
      <c r="AD850" s="241"/>
      <c r="AE850" s="82"/>
      <c r="AF850" s="82"/>
      <c r="AG850" s="90"/>
      <c r="AH850" s="90"/>
      <c r="AI850" s="90"/>
      <c r="AJ850" s="90"/>
      <c r="AK850" s="82"/>
      <c r="AL850" s="82" t="str" cm="1">
        <f t="array" aca="1" ref="AL850" ca="1">_xlfn.IFS(
 AND($AK850&lt;&gt;"", M850&lt;&gt;0, M850&lt;=EDATE(TODAY(),2)),"도래",
 AND($AK850&lt;&gt;"", M850&lt;&gt;0, M850&lt;=EDATE(TODAY(),3)),"예정",
 AND($AK850&lt;&gt;"", M850&lt;&gt;0, M850&lt;=EDATE(TODAY(),6)),"관심",
 TRUE,""
)</f>
        <v/>
      </c>
      <c r="AM850" s="86"/>
    </row>
    <row r="851" spans="1:39" ht="18" customHeight="1">
      <c r="A851" s="81"/>
      <c r="B851" s="205" t="str">
        <f>_xlfn.LET(_xlpm.var,◆관리정보!B851,IF(_xlpm.var&lt;&gt;0,_xlpm.var,""))</f>
        <v/>
      </c>
      <c r="C851" s="82" t="str">
        <f>_xlfn.LET(_xlpm.var,◆관리정보!C851,IF(_xlpm.var&lt;&gt;0,_xlpm.var,""))</f>
        <v/>
      </c>
      <c r="D851" s="83"/>
      <c r="E851" s="84" t="str">
        <f t="shared" si="26"/>
        <v/>
      </c>
      <c r="F851" s="87"/>
      <c r="G851" s="229"/>
      <c r="H851" s="229"/>
      <c r="I851" s="229"/>
      <c r="J851" s="229"/>
      <c r="K851" s="218"/>
      <c r="L851" s="87"/>
      <c r="M851" s="87"/>
      <c r="N851" s="82"/>
      <c r="O851" s="82"/>
      <c r="P851" s="241"/>
      <c r="Q851" s="241"/>
      <c r="R851" s="82"/>
      <c r="S851" s="241"/>
      <c r="T851" s="82"/>
      <c r="U851" s="241"/>
      <c r="V851" s="82"/>
      <c r="W851" s="88"/>
      <c r="X851" s="82"/>
      <c r="Y851" s="89"/>
      <c r="Z851" s="82"/>
      <c r="AA851" s="90"/>
      <c r="AB851" s="241"/>
      <c r="AC851" s="241"/>
      <c r="AD851" s="241"/>
      <c r="AE851" s="82"/>
      <c r="AF851" s="82"/>
      <c r="AG851" s="90"/>
      <c r="AH851" s="90"/>
      <c r="AI851" s="90"/>
      <c r="AJ851" s="90"/>
      <c r="AK851" s="82"/>
      <c r="AL851" s="82" t="str" cm="1">
        <f t="array" aca="1" ref="AL851" ca="1">_xlfn.IFS(
 AND($AK851&lt;&gt;"", M851&lt;&gt;0, M851&lt;=EDATE(TODAY(),2)),"도래",
 AND($AK851&lt;&gt;"", M851&lt;&gt;0, M851&lt;=EDATE(TODAY(),3)),"예정",
 AND($AK851&lt;&gt;"", M851&lt;&gt;0, M851&lt;=EDATE(TODAY(),6)),"관심",
 TRUE,""
)</f>
        <v/>
      </c>
      <c r="AM851" s="86"/>
    </row>
    <row r="852" spans="1:39" ht="18" customHeight="1">
      <c r="A852" s="81"/>
      <c r="B852" s="205" t="str">
        <f>_xlfn.LET(_xlpm.var,◆관리정보!B852,IF(_xlpm.var&lt;&gt;0,_xlpm.var,""))</f>
        <v/>
      </c>
      <c r="C852" s="82" t="str">
        <f>_xlfn.LET(_xlpm.var,◆관리정보!C852,IF(_xlpm.var&lt;&gt;0,_xlpm.var,""))</f>
        <v/>
      </c>
      <c r="D852" s="83"/>
      <c r="E852" s="84" t="str">
        <f t="shared" si="26"/>
        <v/>
      </c>
      <c r="F852" s="87"/>
      <c r="G852" s="229"/>
      <c r="H852" s="229"/>
      <c r="I852" s="229"/>
      <c r="J852" s="229"/>
      <c r="K852" s="218"/>
      <c r="L852" s="87"/>
      <c r="M852" s="87"/>
      <c r="N852" s="82"/>
      <c r="O852" s="82"/>
      <c r="P852" s="241"/>
      <c r="Q852" s="241"/>
      <c r="R852" s="82"/>
      <c r="S852" s="241"/>
      <c r="T852" s="82"/>
      <c r="U852" s="241"/>
      <c r="V852" s="82"/>
      <c r="W852" s="88"/>
      <c r="X852" s="82"/>
      <c r="Y852" s="89"/>
      <c r="Z852" s="82"/>
      <c r="AA852" s="90"/>
      <c r="AB852" s="241"/>
      <c r="AC852" s="241"/>
      <c r="AD852" s="241"/>
      <c r="AE852" s="82"/>
      <c r="AF852" s="82"/>
      <c r="AG852" s="90"/>
      <c r="AH852" s="90"/>
      <c r="AI852" s="90"/>
      <c r="AJ852" s="90"/>
      <c r="AK852" s="82"/>
      <c r="AL852" s="82" t="str" cm="1">
        <f t="array" aca="1" ref="AL852" ca="1">_xlfn.IFS(
 AND($AK852&lt;&gt;"", M852&lt;&gt;0, M852&lt;=EDATE(TODAY(),2)),"도래",
 AND($AK852&lt;&gt;"", M852&lt;&gt;0, M852&lt;=EDATE(TODAY(),3)),"예정",
 AND($AK852&lt;&gt;"", M852&lt;&gt;0, M852&lt;=EDATE(TODAY(),6)),"관심",
 TRUE,""
)</f>
        <v/>
      </c>
      <c r="AM852" s="86"/>
    </row>
    <row r="853" spans="1:39" ht="18" customHeight="1">
      <c r="A853" s="81"/>
      <c r="B853" s="205" t="str">
        <f>_xlfn.LET(_xlpm.var,◆관리정보!B853,IF(_xlpm.var&lt;&gt;0,_xlpm.var,""))</f>
        <v/>
      </c>
      <c r="C853" s="82" t="str">
        <f>_xlfn.LET(_xlpm.var,◆관리정보!C853,IF(_xlpm.var&lt;&gt;0,_xlpm.var,""))</f>
        <v/>
      </c>
      <c r="D853" s="83"/>
      <c r="E853" s="84" t="str">
        <f t="shared" si="26"/>
        <v/>
      </c>
      <c r="F853" s="87"/>
      <c r="G853" s="229"/>
      <c r="H853" s="229"/>
      <c r="I853" s="229"/>
      <c r="J853" s="229"/>
      <c r="K853" s="218"/>
      <c r="L853" s="87"/>
      <c r="M853" s="87"/>
      <c r="N853" s="82"/>
      <c r="O853" s="82"/>
      <c r="P853" s="241"/>
      <c r="Q853" s="241"/>
      <c r="R853" s="82"/>
      <c r="S853" s="241"/>
      <c r="T853" s="82"/>
      <c r="U853" s="241"/>
      <c r="V853" s="82"/>
      <c r="W853" s="88"/>
      <c r="X853" s="82"/>
      <c r="Y853" s="89"/>
      <c r="Z853" s="82"/>
      <c r="AA853" s="90"/>
      <c r="AB853" s="241"/>
      <c r="AC853" s="241"/>
      <c r="AD853" s="241"/>
      <c r="AE853" s="82"/>
      <c r="AF853" s="82"/>
      <c r="AG853" s="90"/>
      <c r="AH853" s="90"/>
      <c r="AI853" s="90"/>
      <c r="AJ853" s="90"/>
      <c r="AK853" s="82"/>
      <c r="AL853" s="82" t="str" cm="1">
        <f t="array" aca="1" ref="AL853" ca="1">_xlfn.IFS(
 AND($AK853&lt;&gt;"", M853&lt;&gt;0, M853&lt;=EDATE(TODAY(),2)),"도래",
 AND($AK853&lt;&gt;"", M853&lt;&gt;0, M853&lt;=EDATE(TODAY(),3)),"예정",
 AND($AK853&lt;&gt;"", M853&lt;&gt;0, M853&lt;=EDATE(TODAY(),6)),"관심",
 TRUE,""
)</f>
        <v/>
      </c>
      <c r="AM853" s="86"/>
    </row>
    <row r="854" spans="1:39" ht="18" customHeight="1">
      <c r="A854" s="81"/>
      <c r="B854" s="205" t="str">
        <f>_xlfn.LET(_xlpm.var,◆관리정보!B854,IF(_xlpm.var&lt;&gt;0,_xlpm.var,""))</f>
        <v/>
      </c>
      <c r="C854" s="82" t="str">
        <f>_xlfn.LET(_xlpm.var,◆관리정보!C854,IF(_xlpm.var&lt;&gt;0,_xlpm.var,""))</f>
        <v/>
      </c>
      <c r="D854" s="83"/>
      <c r="E854" s="84" t="str">
        <f t="shared" si="26"/>
        <v/>
      </c>
      <c r="F854" s="87"/>
      <c r="G854" s="229"/>
      <c r="H854" s="229"/>
      <c r="I854" s="229"/>
      <c r="J854" s="229"/>
      <c r="K854" s="218"/>
      <c r="L854" s="87"/>
      <c r="M854" s="87"/>
      <c r="N854" s="82"/>
      <c r="O854" s="82"/>
      <c r="P854" s="241"/>
      <c r="Q854" s="241"/>
      <c r="R854" s="82"/>
      <c r="S854" s="241"/>
      <c r="T854" s="82"/>
      <c r="U854" s="241"/>
      <c r="V854" s="82"/>
      <c r="W854" s="88"/>
      <c r="X854" s="82"/>
      <c r="Y854" s="89"/>
      <c r="Z854" s="82"/>
      <c r="AA854" s="90"/>
      <c r="AB854" s="241"/>
      <c r="AC854" s="241"/>
      <c r="AD854" s="241"/>
      <c r="AE854" s="82"/>
      <c r="AF854" s="82"/>
      <c r="AG854" s="90"/>
      <c r="AH854" s="90"/>
      <c r="AI854" s="90"/>
      <c r="AJ854" s="90"/>
      <c r="AK854" s="82"/>
      <c r="AL854" s="82" t="str" cm="1">
        <f t="array" aca="1" ref="AL854" ca="1">_xlfn.IFS(
 AND($AK854&lt;&gt;"", M854&lt;&gt;0, M854&lt;=EDATE(TODAY(),2)),"도래",
 AND($AK854&lt;&gt;"", M854&lt;&gt;0, M854&lt;=EDATE(TODAY(),3)),"예정",
 AND($AK854&lt;&gt;"", M854&lt;&gt;0, M854&lt;=EDATE(TODAY(),6)),"관심",
 TRUE,""
)</f>
        <v/>
      </c>
      <c r="AM854" s="86"/>
    </row>
    <row r="855" spans="1:39" ht="18" customHeight="1">
      <c r="A855" s="81"/>
      <c r="B855" s="205" t="str">
        <f>_xlfn.LET(_xlpm.var,◆관리정보!B855,IF(_xlpm.var&lt;&gt;0,_xlpm.var,""))</f>
        <v/>
      </c>
      <c r="C855" s="82" t="str">
        <f>_xlfn.LET(_xlpm.var,◆관리정보!C855,IF(_xlpm.var&lt;&gt;0,_xlpm.var,""))</f>
        <v/>
      </c>
      <c r="D855" s="83"/>
      <c r="E855" s="84" t="str">
        <f t="shared" si="26"/>
        <v/>
      </c>
      <c r="F855" s="87"/>
      <c r="G855" s="229"/>
      <c r="H855" s="229"/>
      <c r="I855" s="229"/>
      <c r="J855" s="229"/>
      <c r="K855" s="218"/>
      <c r="L855" s="87"/>
      <c r="M855" s="87"/>
      <c r="N855" s="82"/>
      <c r="O855" s="82"/>
      <c r="P855" s="241"/>
      <c r="Q855" s="241"/>
      <c r="R855" s="82"/>
      <c r="S855" s="241"/>
      <c r="T855" s="82"/>
      <c r="U855" s="241"/>
      <c r="V855" s="82"/>
      <c r="W855" s="88"/>
      <c r="X855" s="82"/>
      <c r="Y855" s="89"/>
      <c r="Z855" s="82"/>
      <c r="AA855" s="90"/>
      <c r="AB855" s="241"/>
      <c r="AC855" s="241"/>
      <c r="AD855" s="241"/>
      <c r="AE855" s="82"/>
      <c r="AF855" s="82"/>
      <c r="AG855" s="90"/>
      <c r="AH855" s="90"/>
      <c r="AI855" s="90"/>
      <c r="AJ855" s="90"/>
      <c r="AK855" s="82"/>
      <c r="AL855" s="82" t="str" cm="1">
        <f t="array" aca="1" ref="AL855" ca="1">_xlfn.IFS(
 AND($AK855&lt;&gt;"", M855&lt;&gt;0, M855&lt;=EDATE(TODAY(),2)),"도래",
 AND($AK855&lt;&gt;"", M855&lt;&gt;0, M855&lt;=EDATE(TODAY(),3)),"예정",
 AND($AK855&lt;&gt;"", M855&lt;&gt;0, M855&lt;=EDATE(TODAY(),6)),"관심",
 TRUE,""
)</f>
        <v/>
      </c>
      <c r="AM855" s="86"/>
    </row>
    <row r="856" spans="1:39" ht="18" customHeight="1">
      <c r="A856" s="81"/>
      <c r="B856" s="205" t="str">
        <f>_xlfn.LET(_xlpm.var,◆관리정보!B856,IF(_xlpm.var&lt;&gt;0,_xlpm.var,""))</f>
        <v/>
      </c>
      <c r="C856" s="82" t="str">
        <f>_xlfn.LET(_xlpm.var,◆관리정보!C856,IF(_xlpm.var&lt;&gt;0,_xlpm.var,""))</f>
        <v/>
      </c>
      <c r="D856" s="83"/>
      <c r="E856" s="84" t="str">
        <f t="shared" si="26"/>
        <v/>
      </c>
      <c r="F856" s="87"/>
      <c r="G856" s="229"/>
      <c r="H856" s="229"/>
      <c r="I856" s="229"/>
      <c r="J856" s="229"/>
      <c r="K856" s="218"/>
      <c r="L856" s="87"/>
      <c r="M856" s="87"/>
      <c r="N856" s="82"/>
      <c r="O856" s="82"/>
      <c r="P856" s="241"/>
      <c r="Q856" s="241"/>
      <c r="R856" s="82"/>
      <c r="S856" s="241"/>
      <c r="T856" s="82"/>
      <c r="U856" s="241"/>
      <c r="V856" s="82"/>
      <c r="W856" s="88"/>
      <c r="X856" s="82"/>
      <c r="Y856" s="89"/>
      <c r="Z856" s="82"/>
      <c r="AA856" s="90"/>
      <c r="AB856" s="241"/>
      <c r="AC856" s="241"/>
      <c r="AD856" s="241"/>
      <c r="AE856" s="82"/>
      <c r="AF856" s="82"/>
      <c r="AG856" s="90"/>
      <c r="AH856" s="90"/>
      <c r="AI856" s="90"/>
      <c r="AJ856" s="90"/>
      <c r="AK856" s="82"/>
      <c r="AL856" s="82" t="str" cm="1">
        <f t="array" aca="1" ref="AL856" ca="1">_xlfn.IFS(
 AND($AK856&lt;&gt;"", M856&lt;&gt;0, M856&lt;=EDATE(TODAY(),2)),"도래",
 AND($AK856&lt;&gt;"", M856&lt;&gt;0, M856&lt;=EDATE(TODAY(),3)),"예정",
 AND($AK856&lt;&gt;"", M856&lt;&gt;0, M856&lt;=EDATE(TODAY(),6)),"관심",
 TRUE,""
)</f>
        <v/>
      </c>
      <c r="AM856" s="86"/>
    </row>
    <row r="857" spans="1:39" ht="18" customHeight="1">
      <c r="A857" s="81"/>
      <c r="B857" s="205" t="str">
        <f>_xlfn.LET(_xlpm.var,◆관리정보!B857,IF(_xlpm.var&lt;&gt;0,_xlpm.var,""))</f>
        <v/>
      </c>
      <c r="C857" s="82" t="str">
        <f>_xlfn.LET(_xlpm.var,◆관리정보!C857,IF(_xlpm.var&lt;&gt;0,_xlpm.var,""))</f>
        <v/>
      </c>
      <c r="D857" s="83"/>
      <c r="E857" s="84" t="str">
        <f t="shared" si="26"/>
        <v/>
      </c>
      <c r="F857" s="87"/>
      <c r="G857" s="229"/>
      <c r="H857" s="229"/>
      <c r="I857" s="229"/>
      <c r="J857" s="229"/>
      <c r="K857" s="218"/>
      <c r="L857" s="87"/>
      <c r="M857" s="87"/>
      <c r="N857" s="82"/>
      <c r="O857" s="82"/>
      <c r="P857" s="241"/>
      <c r="Q857" s="241"/>
      <c r="R857" s="82"/>
      <c r="S857" s="241"/>
      <c r="T857" s="82"/>
      <c r="U857" s="241"/>
      <c r="V857" s="82"/>
      <c r="W857" s="88"/>
      <c r="X857" s="82"/>
      <c r="Y857" s="89"/>
      <c r="Z857" s="82"/>
      <c r="AA857" s="90"/>
      <c r="AB857" s="241"/>
      <c r="AC857" s="241"/>
      <c r="AD857" s="241"/>
      <c r="AE857" s="82"/>
      <c r="AF857" s="82"/>
      <c r="AG857" s="90"/>
      <c r="AH857" s="90"/>
      <c r="AI857" s="90"/>
      <c r="AJ857" s="90"/>
      <c r="AK857" s="82"/>
      <c r="AL857" s="82" t="str" cm="1">
        <f t="array" aca="1" ref="AL857" ca="1">_xlfn.IFS(
 AND($AK857&lt;&gt;"", M857&lt;&gt;0, M857&lt;=EDATE(TODAY(),2)),"도래",
 AND($AK857&lt;&gt;"", M857&lt;&gt;0, M857&lt;=EDATE(TODAY(),3)),"예정",
 AND($AK857&lt;&gt;"", M857&lt;&gt;0, M857&lt;=EDATE(TODAY(),6)),"관심",
 TRUE,""
)</f>
        <v/>
      </c>
      <c r="AM857" s="86"/>
    </row>
    <row r="858" spans="1:39" ht="18" customHeight="1">
      <c r="A858" s="81"/>
      <c r="B858" s="205" t="str">
        <f>_xlfn.LET(_xlpm.var,◆관리정보!B858,IF(_xlpm.var&lt;&gt;0,_xlpm.var,""))</f>
        <v/>
      </c>
      <c r="C858" s="82" t="str">
        <f>_xlfn.LET(_xlpm.var,◆관리정보!C858,IF(_xlpm.var&lt;&gt;0,_xlpm.var,""))</f>
        <v/>
      </c>
      <c r="D858" s="83"/>
      <c r="E858" s="84" t="str">
        <f t="shared" si="26"/>
        <v/>
      </c>
      <c r="F858" s="87"/>
      <c r="G858" s="229"/>
      <c r="H858" s="229"/>
      <c r="I858" s="229"/>
      <c r="J858" s="229"/>
      <c r="K858" s="218"/>
      <c r="L858" s="87"/>
      <c r="M858" s="87"/>
      <c r="N858" s="82"/>
      <c r="O858" s="82"/>
      <c r="P858" s="241"/>
      <c r="Q858" s="241"/>
      <c r="R858" s="82"/>
      <c r="S858" s="241"/>
      <c r="T858" s="82"/>
      <c r="U858" s="241"/>
      <c r="V858" s="82"/>
      <c r="W858" s="88"/>
      <c r="X858" s="82"/>
      <c r="Y858" s="89"/>
      <c r="Z858" s="82"/>
      <c r="AA858" s="90"/>
      <c r="AB858" s="241"/>
      <c r="AC858" s="241"/>
      <c r="AD858" s="241"/>
      <c r="AE858" s="82"/>
      <c r="AF858" s="82"/>
      <c r="AG858" s="90"/>
      <c r="AH858" s="90"/>
      <c r="AI858" s="90"/>
      <c r="AJ858" s="90"/>
      <c r="AK858" s="82"/>
      <c r="AL858" s="82" t="str" cm="1">
        <f t="array" aca="1" ref="AL858" ca="1">_xlfn.IFS(
 AND($AK858&lt;&gt;"", M858&lt;&gt;0, M858&lt;=EDATE(TODAY(),2)),"도래",
 AND($AK858&lt;&gt;"", M858&lt;&gt;0, M858&lt;=EDATE(TODAY(),3)),"예정",
 AND($AK858&lt;&gt;"", M858&lt;&gt;0, M858&lt;=EDATE(TODAY(),6)),"관심",
 TRUE,""
)</f>
        <v/>
      </c>
      <c r="AM858" s="86"/>
    </row>
    <row r="859" spans="1:39" ht="18" customHeight="1">
      <c r="A859" s="81"/>
      <c r="B859" s="205" t="str">
        <f>_xlfn.LET(_xlpm.var,◆관리정보!B859,IF(_xlpm.var&lt;&gt;0,_xlpm.var,""))</f>
        <v/>
      </c>
      <c r="C859" s="82" t="str">
        <f>_xlfn.LET(_xlpm.var,◆관리정보!C859,IF(_xlpm.var&lt;&gt;0,_xlpm.var,""))</f>
        <v/>
      </c>
      <c r="D859" s="83"/>
      <c r="E859" s="84" t="str">
        <f t="shared" si="26"/>
        <v/>
      </c>
      <c r="F859" s="87"/>
      <c r="G859" s="229"/>
      <c r="H859" s="229"/>
      <c r="I859" s="229"/>
      <c r="J859" s="229"/>
      <c r="K859" s="218"/>
      <c r="L859" s="87"/>
      <c r="M859" s="87"/>
      <c r="N859" s="82"/>
      <c r="O859" s="82"/>
      <c r="P859" s="241"/>
      <c r="Q859" s="241"/>
      <c r="R859" s="82"/>
      <c r="S859" s="241"/>
      <c r="T859" s="82"/>
      <c r="U859" s="241"/>
      <c r="V859" s="82"/>
      <c r="W859" s="88"/>
      <c r="X859" s="82"/>
      <c r="Y859" s="89"/>
      <c r="Z859" s="82"/>
      <c r="AA859" s="90"/>
      <c r="AB859" s="241"/>
      <c r="AC859" s="241"/>
      <c r="AD859" s="241"/>
      <c r="AE859" s="82"/>
      <c r="AF859" s="82"/>
      <c r="AG859" s="90"/>
      <c r="AH859" s="90"/>
      <c r="AI859" s="90"/>
      <c r="AJ859" s="90"/>
      <c r="AK859" s="82"/>
      <c r="AL859" s="82" t="str" cm="1">
        <f t="array" aca="1" ref="AL859" ca="1">_xlfn.IFS(
 AND($AK859&lt;&gt;"", M859&lt;&gt;0, M859&lt;=EDATE(TODAY(),2)),"도래",
 AND($AK859&lt;&gt;"", M859&lt;&gt;0, M859&lt;=EDATE(TODAY(),3)),"예정",
 AND($AK859&lt;&gt;"", M859&lt;&gt;0, M859&lt;=EDATE(TODAY(),6)),"관심",
 TRUE,""
)</f>
        <v/>
      </c>
      <c r="AM859" s="86"/>
    </row>
    <row r="860" spans="1:39" ht="18" customHeight="1">
      <c r="A860" s="81"/>
      <c r="B860" s="205" t="str">
        <f>_xlfn.LET(_xlpm.var,◆관리정보!B860,IF(_xlpm.var&lt;&gt;0,_xlpm.var,""))</f>
        <v/>
      </c>
      <c r="C860" s="82" t="str">
        <f>_xlfn.LET(_xlpm.var,◆관리정보!C860,IF(_xlpm.var&lt;&gt;0,_xlpm.var,""))</f>
        <v/>
      </c>
      <c r="D860" s="83"/>
      <c r="E860" s="84" t="str">
        <f t="shared" si="26"/>
        <v/>
      </c>
      <c r="F860" s="87"/>
      <c r="G860" s="229"/>
      <c r="H860" s="229"/>
      <c r="I860" s="229"/>
      <c r="J860" s="229"/>
      <c r="K860" s="218"/>
      <c r="L860" s="87"/>
      <c r="M860" s="87"/>
      <c r="N860" s="82"/>
      <c r="O860" s="82"/>
      <c r="P860" s="241"/>
      <c r="Q860" s="241"/>
      <c r="R860" s="82"/>
      <c r="S860" s="241"/>
      <c r="T860" s="82"/>
      <c r="U860" s="241"/>
      <c r="V860" s="82"/>
      <c r="W860" s="88"/>
      <c r="X860" s="82"/>
      <c r="Y860" s="89"/>
      <c r="Z860" s="82"/>
      <c r="AA860" s="90"/>
      <c r="AB860" s="241"/>
      <c r="AC860" s="241"/>
      <c r="AD860" s="241"/>
      <c r="AE860" s="82"/>
      <c r="AF860" s="82"/>
      <c r="AG860" s="90"/>
      <c r="AH860" s="90"/>
      <c r="AI860" s="90"/>
      <c r="AJ860" s="90"/>
      <c r="AK860" s="82"/>
      <c r="AL860" s="82" t="str" cm="1">
        <f t="array" aca="1" ref="AL860" ca="1">_xlfn.IFS(
 AND($AK860&lt;&gt;"", M860&lt;&gt;0, M860&lt;=EDATE(TODAY(),2)),"도래",
 AND($AK860&lt;&gt;"", M860&lt;&gt;0, M860&lt;=EDATE(TODAY(),3)),"예정",
 AND($AK860&lt;&gt;"", M860&lt;&gt;0, M860&lt;=EDATE(TODAY(),6)),"관심",
 TRUE,""
)</f>
        <v/>
      </c>
      <c r="AM860" s="86"/>
    </row>
    <row r="861" spans="1:39" ht="18" customHeight="1">
      <c r="A861" s="81"/>
      <c r="B861" s="205" t="str">
        <f>_xlfn.LET(_xlpm.var,◆관리정보!B861,IF(_xlpm.var&lt;&gt;0,_xlpm.var,""))</f>
        <v/>
      </c>
      <c r="C861" s="82" t="str">
        <f>_xlfn.LET(_xlpm.var,◆관리정보!C861,IF(_xlpm.var&lt;&gt;0,_xlpm.var,""))</f>
        <v/>
      </c>
      <c r="D861" s="83"/>
      <c r="E861" s="84" t="str">
        <f t="shared" si="26"/>
        <v/>
      </c>
      <c r="F861" s="87"/>
      <c r="G861" s="229"/>
      <c r="H861" s="229"/>
      <c r="I861" s="229"/>
      <c r="J861" s="229"/>
      <c r="K861" s="218"/>
      <c r="L861" s="87"/>
      <c r="M861" s="87"/>
      <c r="N861" s="82"/>
      <c r="O861" s="82"/>
      <c r="P861" s="241"/>
      <c r="Q861" s="241"/>
      <c r="R861" s="82"/>
      <c r="S861" s="241"/>
      <c r="T861" s="82"/>
      <c r="U861" s="241"/>
      <c r="V861" s="82"/>
      <c r="W861" s="88"/>
      <c r="X861" s="82"/>
      <c r="Y861" s="89"/>
      <c r="Z861" s="82"/>
      <c r="AA861" s="90"/>
      <c r="AB861" s="241"/>
      <c r="AC861" s="241"/>
      <c r="AD861" s="241"/>
      <c r="AE861" s="82"/>
      <c r="AF861" s="82"/>
      <c r="AG861" s="90"/>
      <c r="AH861" s="90"/>
      <c r="AI861" s="90"/>
      <c r="AJ861" s="90"/>
      <c r="AK861" s="82"/>
      <c r="AL861" s="82" t="str" cm="1">
        <f t="array" aca="1" ref="AL861" ca="1">_xlfn.IFS(
 AND($AK861&lt;&gt;"", M861&lt;&gt;0, M861&lt;=EDATE(TODAY(),2)),"도래",
 AND($AK861&lt;&gt;"", M861&lt;&gt;0, M861&lt;=EDATE(TODAY(),3)),"예정",
 AND($AK861&lt;&gt;"", M861&lt;&gt;0, M861&lt;=EDATE(TODAY(),6)),"관심",
 TRUE,""
)</f>
        <v/>
      </c>
      <c r="AM861" s="86"/>
    </row>
    <row r="862" spans="1:39" ht="18" customHeight="1">
      <c r="A862" s="81"/>
      <c r="B862" s="205" t="str">
        <f>_xlfn.LET(_xlpm.var,◆관리정보!B862,IF(_xlpm.var&lt;&gt;0,_xlpm.var,""))</f>
        <v/>
      </c>
      <c r="C862" s="82" t="str">
        <f>_xlfn.LET(_xlpm.var,◆관리정보!C862,IF(_xlpm.var&lt;&gt;0,_xlpm.var,""))</f>
        <v/>
      </c>
      <c r="D862" s="83"/>
      <c r="E862" s="84" t="str">
        <f t="shared" si="26"/>
        <v/>
      </c>
      <c r="F862" s="87"/>
      <c r="G862" s="229"/>
      <c r="H862" s="229"/>
      <c r="I862" s="229"/>
      <c r="J862" s="229"/>
      <c r="K862" s="218"/>
      <c r="L862" s="87"/>
      <c r="M862" s="87"/>
      <c r="N862" s="82"/>
      <c r="O862" s="82"/>
      <c r="P862" s="241"/>
      <c r="Q862" s="241"/>
      <c r="R862" s="82"/>
      <c r="S862" s="241"/>
      <c r="T862" s="82"/>
      <c r="U862" s="241"/>
      <c r="V862" s="82"/>
      <c r="W862" s="88"/>
      <c r="X862" s="82"/>
      <c r="Y862" s="89"/>
      <c r="Z862" s="82"/>
      <c r="AA862" s="90"/>
      <c r="AB862" s="241"/>
      <c r="AC862" s="241"/>
      <c r="AD862" s="241"/>
      <c r="AE862" s="82"/>
      <c r="AF862" s="82"/>
      <c r="AG862" s="90"/>
      <c r="AH862" s="90"/>
      <c r="AI862" s="90"/>
      <c r="AJ862" s="90"/>
      <c r="AK862" s="82"/>
      <c r="AL862" s="82" t="str" cm="1">
        <f t="array" aca="1" ref="AL862" ca="1">_xlfn.IFS(
 AND($AK862&lt;&gt;"", M862&lt;&gt;0, M862&lt;=EDATE(TODAY(),2)),"도래",
 AND($AK862&lt;&gt;"", M862&lt;&gt;0, M862&lt;=EDATE(TODAY(),3)),"예정",
 AND($AK862&lt;&gt;"", M862&lt;&gt;0, M862&lt;=EDATE(TODAY(),6)),"관심",
 TRUE,""
)</f>
        <v/>
      </c>
      <c r="AM862" s="86"/>
    </row>
    <row r="863" spans="1:39" ht="18" customHeight="1">
      <c r="A863" s="81"/>
      <c r="B863" s="205" t="str">
        <f>_xlfn.LET(_xlpm.var,◆관리정보!B863,IF(_xlpm.var&lt;&gt;0,_xlpm.var,""))</f>
        <v/>
      </c>
      <c r="C863" s="82" t="str">
        <f>_xlfn.LET(_xlpm.var,◆관리정보!C863,IF(_xlpm.var&lt;&gt;0,_xlpm.var,""))</f>
        <v/>
      </c>
      <c r="D863" s="83"/>
      <c r="E863" s="84" t="str">
        <f t="shared" si="26"/>
        <v/>
      </c>
      <c r="F863" s="87"/>
      <c r="G863" s="229"/>
      <c r="H863" s="229"/>
      <c r="I863" s="229"/>
      <c r="J863" s="229"/>
      <c r="K863" s="218"/>
      <c r="L863" s="87"/>
      <c r="M863" s="87"/>
      <c r="N863" s="82"/>
      <c r="O863" s="82"/>
      <c r="P863" s="241"/>
      <c r="Q863" s="241"/>
      <c r="R863" s="82"/>
      <c r="S863" s="241"/>
      <c r="T863" s="82"/>
      <c r="U863" s="241"/>
      <c r="V863" s="82"/>
      <c r="W863" s="88"/>
      <c r="X863" s="82"/>
      <c r="Y863" s="89"/>
      <c r="Z863" s="82"/>
      <c r="AA863" s="90"/>
      <c r="AB863" s="241"/>
      <c r="AC863" s="241"/>
      <c r="AD863" s="241"/>
      <c r="AE863" s="82"/>
      <c r="AF863" s="82"/>
      <c r="AG863" s="90"/>
      <c r="AH863" s="90"/>
      <c r="AI863" s="90"/>
      <c r="AJ863" s="90"/>
      <c r="AK863" s="82"/>
      <c r="AL863" s="82" t="str" cm="1">
        <f t="array" aca="1" ref="AL863" ca="1">_xlfn.IFS(
 AND($AK863&lt;&gt;"", M863&lt;&gt;0, M863&lt;=EDATE(TODAY(),2)),"도래",
 AND($AK863&lt;&gt;"", M863&lt;&gt;0, M863&lt;=EDATE(TODAY(),3)),"예정",
 AND($AK863&lt;&gt;"", M863&lt;&gt;0, M863&lt;=EDATE(TODAY(),6)),"관심",
 TRUE,""
)</f>
        <v/>
      </c>
      <c r="AM863" s="86"/>
    </row>
    <row r="864" spans="1:39" ht="18" customHeight="1">
      <c r="A864" s="81"/>
      <c r="B864" s="205" t="str">
        <f>_xlfn.LET(_xlpm.var,◆관리정보!B864,IF(_xlpm.var&lt;&gt;0,_xlpm.var,""))</f>
        <v/>
      </c>
      <c r="C864" s="82" t="str">
        <f>_xlfn.LET(_xlpm.var,◆관리정보!C864,IF(_xlpm.var&lt;&gt;0,_xlpm.var,""))</f>
        <v/>
      </c>
      <c r="D864" s="83"/>
      <c r="E864" s="84" t="str">
        <f t="shared" si="26"/>
        <v/>
      </c>
      <c r="F864" s="87"/>
      <c r="G864" s="229"/>
      <c r="H864" s="229"/>
      <c r="I864" s="229"/>
      <c r="J864" s="229"/>
      <c r="K864" s="218"/>
      <c r="L864" s="87"/>
      <c r="M864" s="87"/>
      <c r="N864" s="82"/>
      <c r="O864" s="82"/>
      <c r="P864" s="241"/>
      <c r="Q864" s="241"/>
      <c r="R864" s="82"/>
      <c r="S864" s="241"/>
      <c r="T864" s="82"/>
      <c r="U864" s="241"/>
      <c r="V864" s="82"/>
      <c r="W864" s="88"/>
      <c r="X864" s="82"/>
      <c r="Y864" s="89"/>
      <c r="Z864" s="82"/>
      <c r="AA864" s="90"/>
      <c r="AB864" s="241"/>
      <c r="AC864" s="241"/>
      <c r="AD864" s="241"/>
      <c r="AE864" s="82"/>
      <c r="AF864" s="82"/>
      <c r="AG864" s="90"/>
      <c r="AH864" s="90"/>
      <c r="AI864" s="90"/>
      <c r="AJ864" s="90"/>
      <c r="AK864" s="82"/>
      <c r="AL864" s="82" t="str" cm="1">
        <f t="array" aca="1" ref="AL864" ca="1">_xlfn.IFS(
 AND($AK864&lt;&gt;"", M864&lt;&gt;0, M864&lt;=EDATE(TODAY(),2)),"도래",
 AND($AK864&lt;&gt;"", M864&lt;&gt;0, M864&lt;=EDATE(TODAY(),3)),"예정",
 AND($AK864&lt;&gt;"", M864&lt;&gt;0, M864&lt;=EDATE(TODAY(),6)),"관심",
 TRUE,""
)</f>
        <v/>
      </c>
      <c r="AM864" s="86"/>
    </row>
    <row r="865" spans="1:39" ht="18" customHeight="1">
      <c r="A865" s="81"/>
      <c r="B865" s="205" t="str">
        <f>_xlfn.LET(_xlpm.var,◆관리정보!B865,IF(_xlpm.var&lt;&gt;0,_xlpm.var,""))</f>
        <v/>
      </c>
      <c r="C865" s="82" t="str">
        <f>_xlfn.LET(_xlpm.var,◆관리정보!C865,IF(_xlpm.var&lt;&gt;0,_xlpm.var,""))</f>
        <v/>
      </c>
      <c r="D865" s="83"/>
      <c r="E865" s="84" t="str">
        <f t="shared" si="26"/>
        <v/>
      </c>
      <c r="F865" s="87"/>
      <c r="G865" s="229"/>
      <c r="H865" s="229"/>
      <c r="I865" s="229"/>
      <c r="J865" s="229"/>
      <c r="K865" s="218"/>
      <c r="L865" s="87"/>
      <c r="M865" s="87"/>
      <c r="N865" s="82"/>
      <c r="O865" s="82"/>
      <c r="P865" s="241"/>
      <c r="Q865" s="241"/>
      <c r="R865" s="82"/>
      <c r="S865" s="241"/>
      <c r="T865" s="82"/>
      <c r="U865" s="241"/>
      <c r="V865" s="82"/>
      <c r="W865" s="88"/>
      <c r="X865" s="82"/>
      <c r="Y865" s="89"/>
      <c r="Z865" s="82"/>
      <c r="AA865" s="90"/>
      <c r="AB865" s="241"/>
      <c r="AC865" s="241"/>
      <c r="AD865" s="241"/>
      <c r="AE865" s="82"/>
      <c r="AF865" s="82"/>
      <c r="AG865" s="90"/>
      <c r="AH865" s="90"/>
      <c r="AI865" s="90"/>
      <c r="AJ865" s="90"/>
      <c r="AK865" s="82"/>
      <c r="AL865" s="82" t="str" cm="1">
        <f t="array" aca="1" ref="AL865" ca="1">_xlfn.IFS(
 AND($AK865&lt;&gt;"", M865&lt;&gt;0, M865&lt;=EDATE(TODAY(),2)),"도래",
 AND($AK865&lt;&gt;"", M865&lt;&gt;0, M865&lt;=EDATE(TODAY(),3)),"예정",
 AND($AK865&lt;&gt;"", M865&lt;&gt;0, M865&lt;=EDATE(TODAY(),6)),"관심",
 TRUE,""
)</f>
        <v/>
      </c>
      <c r="AM865" s="86"/>
    </row>
    <row r="866" spans="1:39" ht="18" customHeight="1">
      <c r="A866" s="81"/>
      <c r="B866" s="205" t="str">
        <f>_xlfn.LET(_xlpm.var,◆관리정보!B866,IF(_xlpm.var&lt;&gt;0,_xlpm.var,""))</f>
        <v/>
      </c>
      <c r="C866" s="82" t="str">
        <f>_xlfn.LET(_xlpm.var,◆관리정보!C866,IF(_xlpm.var&lt;&gt;0,_xlpm.var,""))</f>
        <v/>
      </c>
      <c r="D866" s="83"/>
      <c r="E866" s="84" t="str">
        <f t="shared" si="26"/>
        <v/>
      </c>
      <c r="F866" s="87"/>
      <c r="G866" s="229"/>
      <c r="H866" s="229"/>
      <c r="I866" s="229"/>
      <c r="J866" s="229"/>
      <c r="K866" s="218"/>
      <c r="L866" s="87"/>
      <c r="M866" s="87"/>
      <c r="N866" s="82"/>
      <c r="O866" s="82"/>
      <c r="P866" s="241"/>
      <c r="Q866" s="241"/>
      <c r="R866" s="82"/>
      <c r="S866" s="241"/>
      <c r="T866" s="82"/>
      <c r="U866" s="241"/>
      <c r="V866" s="82"/>
      <c r="W866" s="88"/>
      <c r="X866" s="82"/>
      <c r="Y866" s="89"/>
      <c r="Z866" s="82"/>
      <c r="AA866" s="90"/>
      <c r="AB866" s="241"/>
      <c r="AC866" s="241"/>
      <c r="AD866" s="241"/>
      <c r="AE866" s="82"/>
      <c r="AF866" s="82"/>
      <c r="AG866" s="90"/>
      <c r="AH866" s="90"/>
      <c r="AI866" s="90"/>
      <c r="AJ866" s="90"/>
      <c r="AK866" s="82"/>
      <c r="AL866" s="82" t="str" cm="1">
        <f t="array" aca="1" ref="AL866" ca="1">_xlfn.IFS(
 AND($AK866&lt;&gt;"", M866&lt;&gt;0, M866&lt;=EDATE(TODAY(),2)),"도래",
 AND($AK866&lt;&gt;"", M866&lt;&gt;0, M866&lt;=EDATE(TODAY(),3)),"예정",
 AND($AK866&lt;&gt;"", M866&lt;&gt;0, M866&lt;=EDATE(TODAY(),6)),"관심",
 TRUE,""
)</f>
        <v/>
      </c>
      <c r="AM866" s="86"/>
    </row>
    <row r="867" spans="1:39" ht="18" customHeight="1">
      <c r="A867" s="81"/>
      <c r="B867" s="205" t="str">
        <f>_xlfn.LET(_xlpm.var,◆관리정보!B867,IF(_xlpm.var&lt;&gt;0,_xlpm.var,""))</f>
        <v/>
      </c>
      <c r="C867" s="82" t="str">
        <f>_xlfn.LET(_xlpm.var,◆관리정보!C867,IF(_xlpm.var&lt;&gt;0,_xlpm.var,""))</f>
        <v/>
      </c>
      <c r="D867" s="83"/>
      <c r="E867" s="84" t="str">
        <f t="shared" si="26"/>
        <v/>
      </c>
      <c r="F867" s="87"/>
      <c r="G867" s="229"/>
      <c r="H867" s="229"/>
      <c r="I867" s="229"/>
      <c r="J867" s="229"/>
      <c r="K867" s="218"/>
      <c r="L867" s="87"/>
      <c r="M867" s="87"/>
      <c r="N867" s="82"/>
      <c r="O867" s="82"/>
      <c r="P867" s="241"/>
      <c r="Q867" s="241"/>
      <c r="R867" s="82"/>
      <c r="S867" s="241"/>
      <c r="T867" s="82"/>
      <c r="U867" s="241"/>
      <c r="V867" s="82"/>
      <c r="W867" s="88"/>
      <c r="X867" s="82"/>
      <c r="Y867" s="89"/>
      <c r="Z867" s="82"/>
      <c r="AA867" s="90"/>
      <c r="AB867" s="241"/>
      <c r="AC867" s="241"/>
      <c r="AD867" s="241"/>
      <c r="AE867" s="82"/>
      <c r="AF867" s="82"/>
      <c r="AG867" s="90"/>
      <c r="AH867" s="90"/>
      <c r="AI867" s="90"/>
      <c r="AJ867" s="90"/>
      <c r="AK867" s="82"/>
      <c r="AL867" s="82" t="str" cm="1">
        <f t="array" aca="1" ref="AL867" ca="1">_xlfn.IFS(
 AND($AK867&lt;&gt;"", M867&lt;&gt;0, M867&lt;=EDATE(TODAY(),2)),"도래",
 AND($AK867&lt;&gt;"", M867&lt;&gt;0, M867&lt;=EDATE(TODAY(),3)),"예정",
 AND($AK867&lt;&gt;"", M867&lt;&gt;0, M867&lt;=EDATE(TODAY(),6)),"관심",
 TRUE,""
)</f>
        <v/>
      </c>
      <c r="AM867" s="86"/>
    </row>
    <row r="868" spans="1:39" ht="18" customHeight="1">
      <c r="A868" s="81"/>
      <c r="B868" s="205" t="str">
        <f>_xlfn.LET(_xlpm.var,◆관리정보!B868,IF(_xlpm.var&lt;&gt;0,_xlpm.var,""))</f>
        <v/>
      </c>
      <c r="C868" s="82" t="str">
        <f>_xlfn.LET(_xlpm.var,◆관리정보!C868,IF(_xlpm.var&lt;&gt;0,_xlpm.var,""))</f>
        <v/>
      </c>
      <c r="D868" s="83"/>
      <c r="E868" s="84" t="str">
        <f t="shared" si="26"/>
        <v/>
      </c>
      <c r="F868" s="87"/>
      <c r="G868" s="229"/>
      <c r="H868" s="229"/>
      <c r="I868" s="229"/>
      <c r="J868" s="229"/>
      <c r="K868" s="218"/>
      <c r="L868" s="87"/>
      <c r="M868" s="87"/>
      <c r="N868" s="82"/>
      <c r="O868" s="82"/>
      <c r="P868" s="241"/>
      <c r="Q868" s="241"/>
      <c r="R868" s="82"/>
      <c r="S868" s="241"/>
      <c r="T868" s="82"/>
      <c r="U868" s="241"/>
      <c r="V868" s="82"/>
      <c r="W868" s="88"/>
      <c r="X868" s="82"/>
      <c r="Y868" s="89"/>
      <c r="Z868" s="82"/>
      <c r="AA868" s="90"/>
      <c r="AB868" s="241"/>
      <c r="AC868" s="241"/>
      <c r="AD868" s="241"/>
      <c r="AE868" s="82"/>
      <c r="AF868" s="82"/>
      <c r="AG868" s="90"/>
      <c r="AH868" s="90"/>
      <c r="AI868" s="90"/>
      <c r="AJ868" s="90"/>
      <c r="AK868" s="82"/>
      <c r="AL868" s="82" t="str" cm="1">
        <f t="array" aca="1" ref="AL868" ca="1">_xlfn.IFS(
 AND($AK868&lt;&gt;"", M868&lt;&gt;0, M868&lt;=EDATE(TODAY(),2)),"도래",
 AND($AK868&lt;&gt;"", M868&lt;&gt;0, M868&lt;=EDATE(TODAY(),3)),"예정",
 AND($AK868&lt;&gt;"", M868&lt;&gt;0, M868&lt;=EDATE(TODAY(),6)),"관심",
 TRUE,""
)</f>
        <v/>
      </c>
      <c r="AM868" s="86"/>
    </row>
    <row r="869" spans="1:39" ht="18" customHeight="1">
      <c r="A869" s="81"/>
      <c r="B869" s="205" t="str">
        <f>_xlfn.LET(_xlpm.var,◆관리정보!B869,IF(_xlpm.var&lt;&gt;0,_xlpm.var,""))</f>
        <v/>
      </c>
      <c r="C869" s="82" t="str">
        <f>_xlfn.LET(_xlpm.var,◆관리정보!C869,IF(_xlpm.var&lt;&gt;0,_xlpm.var,""))</f>
        <v/>
      </c>
      <c r="D869" s="83"/>
      <c r="E869" s="84" t="str">
        <f t="shared" si="26"/>
        <v/>
      </c>
      <c r="F869" s="87"/>
      <c r="G869" s="229"/>
      <c r="H869" s="229"/>
      <c r="I869" s="229"/>
      <c r="J869" s="229"/>
      <c r="K869" s="218"/>
      <c r="L869" s="87"/>
      <c r="M869" s="87"/>
      <c r="N869" s="82"/>
      <c r="O869" s="82"/>
      <c r="P869" s="241"/>
      <c r="Q869" s="241"/>
      <c r="R869" s="82"/>
      <c r="S869" s="241"/>
      <c r="T869" s="82"/>
      <c r="U869" s="241"/>
      <c r="V869" s="82"/>
      <c r="W869" s="88"/>
      <c r="X869" s="82"/>
      <c r="Y869" s="89"/>
      <c r="Z869" s="82"/>
      <c r="AA869" s="90"/>
      <c r="AB869" s="241"/>
      <c r="AC869" s="241"/>
      <c r="AD869" s="241"/>
      <c r="AE869" s="82"/>
      <c r="AF869" s="82"/>
      <c r="AG869" s="90"/>
      <c r="AH869" s="90"/>
      <c r="AI869" s="90"/>
      <c r="AJ869" s="90"/>
      <c r="AK869" s="82"/>
      <c r="AL869" s="82" t="str" cm="1">
        <f t="array" aca="1" ref="AL869" ca="1">_xlfn.IFS(
 AND($AK869&lt;&gt;"", M869&lt;&gt;0, M869&lt;=EDATE(TODAY(),2)),"도래",
 AND($AK869&lt;&gt;"", M869&lt;&gt;0, M869&lt;=EDATE(TODAY(),3)),"예정",
 AND($AK869&lt;&gt;"", M869&lt;&gt;0, M869&lt;=EDATE(TODAY(),6)),"관심",
 TRUE,""
)</f>
        <v/>
      </c>
      <c r="AM869" s="86"/>
    </row>
    <row r="870" spans="1:39" ht="18" customHeight="1">
      <c r="A870" s="81"/>
      <c r="B870" s="205" t="str">
        <f>_xlfn.LET(_xlpm.var,◆관리정보!B870,IF(_xlpm.var&lt;&gt;0,_xlpm.var,""))</f>
        <v/>
      </c>
      <c r="C870" s="82" t="str">
        <f>_xlfn.LET(_xlpm.var,◆관리정보!C870,IF(_xlpm.var&lt;&gt;0,_xlpm.var,""))</f>
        <v/>
      </c>
      <c r="D870" s="83"/>
      <c r="E870" s="84" t="str">
        <f t="shared" si="26"/>
        <v/>
      </c>
      <c r="F870" s="87"/>
      <c r="G870" s="229"/>
      <c r="H870" s="229"/>
      <c r="I870" s="229"/>
      <c r="J870" s="229"/>
      <c r="K870" s="218"/>
      <c r="L870" s="87"/>
      <c r="M870" s="87"/>
      <c r="N870" s="82"/>
      <c r="O870" s="82"/>
      <c r="P870" s="241"/>
      <c r="Q870" s="241"/>
      <c r="R870" s="82"/>
      <c r="S870" s="241"/>
      <c r="T870" s="82"/>
      <c r="U870" s="241"/>
      <c r="V870" s="82"/>
      <c r="W870" s="88"/>
      <c r="X870" s="82"/>
      <c r="Y870" s="89"/>
      <c r="Z870" s="82"/>
      <c r="AA870" s="90"/>
      <c r="AB870" s="241"/>
      <c r="AC870" s="241"/>
      <c r="AD870" s="241"/>
      <c r="AE870" s="82"/>
      <c r="AF870" s="82"/>
      <c r="AG870" s="90"/>
      <c r="AH870" s="90"/>
      <c r="AI870" s="90"/>
      <c r="AJ870" s="90"/>
      <c r="AK870" s="82"/>
      <c r="AL870" s="82" t="str" cm="1">
        <f t="array" aca="1" ref="AL870" ca="1">_xlfn.IFS(
 AND($AK870&lt;&gt;"", M870&lt;&gt;0, M870&lt;=EDATE(TODAY(),2)),"도래",
 AND($AK870&lt;&gt;"", M870&lt;&gt;0, M870&lt;=EDATE(TODAY(),3)),"예정",
 AND($AK870&lt;&gt;"", M870&lt;&gt;0, M870&lt;=EDATE(TODAY(),6)),"관심",
 TRUE,""
)</f>
        <v/>
      </c>
      <c r="AM870" s="86"/>
    </row>
    <row r="871" spans="1:39" ht="18" customHeight="1">
      <c r="A871" s="81"/>
      <c r="B871" s="205" t="str">
        <f>_xlfn.LET(_xlpm.var,◆관리정보!B871,IF(_xlpm.var&lt;&gt;0,_xlpm.var,""))</f>
        <v/>
      </c>
      <c r="C871" s="82" t="str">
        <f>_xlfn.LET(_xlpm.var,◆관리정보!C871,IF(_xlpm.var&lt;&gt;0,_xlpm.var,""))</f>
        <v/>
      </c>
      <c r="D871" s="83"/>
      <c r="E871" s="84" t="str">
        <f t="shared" si="26"/>
        <v/>
      </c>
      <c r="F871" s="87"/>
      <c r="G871" s="229"/>
      <c r="H871" s="229"/>
      <c r="I871" s="229"/>
      <c r="J871" s="229"/>
      <c r="K871" s="218"/>
      <c r="L871" s="87"/>
      <c r="M871" s="87"/>
      <c r="N871" s="82"/>
      <c r="O871" s="82"/>
      <c r="P871" s="241"/>
      <c r="Q871" s="241"/>
      <c r="R871" s="82"/>
      <c r="S871" s="241"/>
      <c r="T871" s="82"/>
      <c r="U871" s="241"/>
      <c r="V871" s="82"/>
      <c r="W871" s="88"/>
      <c r="X871" s="82"/>
      <c r="Y871" s="89"/>
      <c r="Z871" s="82"/>
      <c r="AA871" s="90"/>
      <c r="AB871" s="241"/>
      <c r="AC871" s="241"/>
      <c r="AD871" s="241"/>
      <c r="AE871" s="82"/>
      <c r="AF871" s="82"/>
      <c r="AG871" s="90"/>
      <c r="AH871" s="90"/>
      <c r="AI871" s="90"/>
      <c r="AJ871" s="90"/>
      <c r="AK871" s="82"/>
      <c r="AL871" s="82" t="str" cm="1">
        <f t="array" aca="1" ref="AL871" ca="1">_xlfn.IFS(
 AND($AK871&lt;&gt;"", M871&lt;&gt;0, M871&lt;=EDATE(TODAY(),2)),"도래",
 AND($AK871&lt;&gt;"", M871&lt;&gt;0, M871&lt;=EDATE(TODAY(),3)),"예정",
 AND($AK871&lt;&gt;"", M871&lt;&gt;0, M871&lt;=EDATE(TODAY(),6)),"관심",
 TRUE,""
)</f>
        <v/>
      </c>
      <c r="AM871" s="86"/>
    </row>
    <row r="872" spans="1:39" ht="18" customHeight="1">
      <c r="A872" s="81"/>
      <c r="B872" s="205" t="str">
        <f>_xlfn.LET(_xlpm.var,◆관리정보!B872,IF(_xlpm.var&lt;&gt;0,_xlpm.var,""))</f>
        <v/>
      </c>
      <c r="C872" s="82" t="str">
        <f>_xlfn.LET(_xlpm.var,◆관리정보!C872,IF(_xlpm.var&lt;&gt;0,_xlpm.var,""))</f>
        <v/>
      </c>
      <c r="D872" s="83"/>
      <c r="E872" s="84" t="str">
        <f t="shared" si="26"/>
        <v/>
      </c>
      <c r="F872" s="87"/>
      <c r="G872" s="229"/>
      <c r="H872" s="229"/>
      <c r="I872" s="229"/>
      <c r="J872" s="229"/>
      <c r="K872" s="218"/>
      <c r="L872" s="87"/>
      <c r="M872" s="87"/>
      <c r="N872" s="82"/>
      <c r="O872" s="82"/>
      <c r="P872" s="241"/>
      <c r="Q872" s="241"/>
      <c r="R872" s="82"/>
      <c r="S872" s="241"/>
      <c r="T872" s="82"/>
      <c r="U872" s="241"/>
      <c r="V872" s="82"/>
      <c r="W872" s="88"/>
      <c r="X872" s="82"/>
      <c r="Y872" s="89"/>
      <c r="Z872" s="82"/>
      <c r="AA872" s="90"/>
      <c r="AB872" s="241"/>
      <c r="AC872" s="241"/>
      <c r="AD872" s="241"/>
      <c r="AE872" s="82"/>
      <c r="AF872" s="82"/>
      <c r="AG872" s="90"/>
      <c r="AH872" s="90"/>
      <c r="AI872" s="90"/>
      <c r="AJ872" s="90"/>
      <c r="AK872" s="82"/>
      <c r="AL872" s="82" t="str" cm="1">
        <f t="array" aca="1" ref="AL872" ca="1">_xlfn.IFS(
 AND($AK872&lt;&gt;"", M872&lt;&gt;0, M872&lt;=EDATE(TODAY(),2)),"도래",
 AND($AK872&lt;&gt;"", M872&lt;&gt;0, M872&lt;=EDATE(TODAY(),3)),"예정",
 AND($AK872&lt;&gt;"", M872&lt;&gt;0, M872&lt;=EDATE(TODAY(),6)),"관심",
 TRUE,""
)</f>
        <v/>
      </c>
      <c r="AM872" s="86"/>
    </row>
    <row r="873" spans="1:39" ht="18" customHeight="1">
      <c r="A873" s="81"/>
      <c r="B873" s="205" t="str">
        <f>_xlfn.LET(_xlpm.var,◆관리정보!B873,IF(_xlpm.var&lt;&gt;0,_xlpm.var,""))</f>
        <v/>
      </c>
      <c r="C873" s="82" t="str">
        <f>_xlfn.LET(_xlpm.var,◆관리정보!C873,IF(_xlpm.var&lt;&gt;0,_xlpm.var,""))</f>
        <v/>
      </c>
      <c r="D873" s="83"/>
      <c r="E873" s="84" t="str">
        <f t="shared" si="26"/>
        <v/>
      </c>
      <c r="F873" s="87"/>
      <c r="G873" s="229"/>
      <c r="H873" s="229"/>
      <c r="I873" s="229"/>
      <c r="J873" s="229"/>
      <c r="K873" s="218"/>
      <c r="L873" s="87"/>
      <c r="M873" s="87"/>
      <c r="N873" s="82"/>
      <c r="O873" s="82"/>
      <c r="P873" s="241"/>
      <c r="Q873" s="241"/>
      <c r="R873" s="82"/>
      <c r="S873" s="241"/>
      <c r="T873" s="82"/>
      <c r="U873" s="241"/>
      <c r="V873" s="82"/>
      <c r="W873" s="88"/>
      <c r="X873" s="82"/>
      <c r="Y873" s="89"/>
      <c r="Z873" s="82"/>
      <c r="AA873" s="90"/>
      <c r="AB873" s="241"/>
      <c r="AC873" s="241"/>
      <c r="AD873" s="241"/>
      <c r="AE873" s="82"/>
      <c r="AF873" s="82"/>
      <c r="AG873" s="90"/>
      <c r="AH873" s="90"/>
      <c r="AI873" s="90"/>
      <c r="AJ873" s="90"/>
      <c r="AK873" s="82"/>
      <c r="AL873" s="82" t="str" cm="1">
        <f t="array" aca="1" ref="AL873" ca="1">_xlfn.IFS(
 AND($AK873&lt;&gt;"", M873&lt;&gt;0, M873&lt;=EDATE(TODAY(),2)),"도래",
 AND($AK873&lt;&gt;"", M873&lt;&gt;0, M873&lt;=EDATE(TODAY(),3)),"예정",
 AND($AK873&lt;&gt;"", M873&lt;&gt;0, M873&lt;=EDATE(TODAY(),6)),"관심",
 TRUE,""
)</f>
        <v/>
      </c>
      <c r="AM873" s="86"/>
    </row>
    <row r="874" spans="1:39" ht="18" customHeight="1">
      <c r="A874" s="81"/>
      <c r="B874" s="205" t="str">
        <f>_xlfn.LET(_xlpm.var,◆관리정보!B874,IF(_xlpm.var&lt;&gt;0,_xlpm.var,""))</f>
        <v/>
      </c>
      <c r="C874" s="82" t="str">
        <f>_xlfn.LET(_xlpm.var,◆관리정보!C874,IF(_xlpm.var&lt;&gt;0,_xlpm.var,""))</f>
        <v/>
      </c>
      <c r="D874" s="83"/>
      <c r="E874" s="84" t="str">
        <f t="shared" si="26"/>
        <v/>
      </c>
      <c r="F874" s="87"/>
      <c r="G874" s="229"/>
      <c r="H874" s="229"/>
      <c r="I874" s="229"/>
      <c r="J874" s="229"/>
      <c r="K874" s="218"/>
      <c r="L874" s="87"/>
      <c r="M874" s="87"/>
      <c r="N874" s="82"/>
      <c r="O874" s="82"/>
      <c r="P874" s="241"/>
      <c r="Q874" s="241"/>
      <c r="R874" s="82"/>
      <c r="S874" s="241"/>
      <c r="T874" s="82"/>
      <c r="U874" s="241"/>
      <c r="V874" s="82"/>
      <c r="W874" s="88"/>
      <c r="X874" s="82"/>
      <c r="Y874" s="89"/>
      <c r="Z874" s="82"/>
      <c r="AA874" s="90"/>
      <c r="AB874" s="241"/>
      <c r="AC874" s="241"/>
      <c r="AD874" s="241"/>
      <c r="AE874" s="82"/>
      <c r="AF874" s="82"/>
      <c r="AG874" s="90"/>
      <c r="AH874" s="90"/>
      <c r="AI874" s="90"/>
      <c r="AJ874" s="90"/>
      <c r="AK874" s="82"/>
      <c r="AL874" s="82" t="str" cm="1">
        <f t="array" aca="1" ref="AL874" ca="1">_xlfn.IFS(
 AND($AK874&lt;&gt;"", M874&lt;&gt;0, M874&lt;=EDATE(TODAY(),2)),"도래",
 AND($AK874&lt;&gt;"", M874&lt;&gt;0, M874&lt;=EDATE(TODAY(),3)),"예정",
 AND($AK874&lt;&gt;"", M874&lt;&gt;0, M874&lt;=EDATE(TODAY(),6)),"관심",
 TRUE,""
)</f>
        <v/>
      </c>
      <c r="AM874" s="86"/>
    </row>
    <row r="875" spans="1:39" ht="18" customHeight="1">
      <c r="A875" s="81"/>
      <c r="B875" s="205" t="str">
        <f>_xlfn.LET(_xlpm.var,◆관리정보!B875,IF(_xlpm.var&lt;&gt;0,_xlpm.var,""))</f>
        <v/>
      </c>
      <c r="C875" s="82" t="str">
        <f>_xlfn.LET(_xlpm.var,◆관리정보!C875,IF(_xlpm.var&lt;&gt;0,_xlpm.var,""))</f>
        <v/>
      </c>
      <c r="D875" s="83"/>
      <c r="E875" s="84" t="str">
        <f t="shared" si="26"/>
        <v/>
      </c>
      <c r="F875" s="87"/>
      <c r="G875" s="229"/>
      <c r="H875" s="229"/>
      <c r="I875" s="229"/>
      <c r="J875" s="229"/>
      <c r="K875" s="218"/>
      <c r="L875" s="87"/>
      <c r="M875" s="87"/>
      <c r="N875" s="82"/>
      <c r="O875" s="82"/>
      <c r="P875" s="241"/>
      <c r="Q875" s="241"/>
      <c r="R875" s="82"/>
      <c r="S875" s="241"/>
      <c r="T875" s="82"/>
      <c r="U875" s="241"/>
      <c r="V875" s="82"/>
      <c r="W875" s="88"/>
      <c r="X875" s="82"/>
      <c r="Y875" s="89"/>
      <c r="Z875" s="82"/>
      <c r="AA875" s="90"/>
      <c r="AB875" s="241"/>
      <c r="AC875" s="241"/>
      <c r="AD875" s="241"/>
      <c r="AE875" s="82"/>
      <c r="AF875" s="82"/>
      <c r="AG875" s="90"/>
      <c r="AH875" s="90"/>
      <c r="AI875" s="90"/>
      <c r="AJ875" s="90"/>
      <c r="AK875" s="82"/>
      <c r="AL875" s="82" t="str" cm="1">
        <f t="array" aca="1" ref="AL875" ca="1">_xlfn.IFS(
 AND($AK875&lt;&gt;"", M875&lt;&gt;0, M875&lt;=EDATE(TODAY(),2)),"도래",
 AND($AK875&lt;&gt;"", M875&lt;&gt;0, M875&lt;=EDATE(TODAY(),3)),"예정",
 AND($AK875&lt;&gt;"", M875&lt;&gt;0, M875&lt;=EDATE(TODAY(),6)),"관심",
 TRUE,""
)</f>
        <v/>
      </c>
      <c r="AM875" s="86"/>
    </row>
    <row r="876" spans="1:39" ht="18" customHeight="1">
      <c r="A876" s="81"/>
      <c r="B876" s="205" t="str">
        <f>_xlfn.LET(_xlpm.var,◆관리정보!B876,IF(_xlpm.var&lt;&gt;0,_xlpm.var,""))</f>
        <v/>
      </c>
      <c r="C876" s="82" t="str">
        <f>_xlfn.LET(_xlpm.var,◆관리정보!C876,IF(_xlpm.var&lt;&gt;0,_xlpm.var,""))</f>
        <v/>
      </c>
      <c r="D876" s="83"/>
      <c r="E876" s="84" t="str">
        <f t="shared" si="26"/>
        <v/>
      </c>
      <c r="F876" s="87"/>
      <c r="G876" s="229"/>
      <c r="H876" s="229"/>
      <c r="I876" s="229"/>
      <c r="J876" s="229"/>
      <c r="K876" s="218"/>
      <c r="L876" s="87"/>
      <c r="M876" s="87"/>
      <c r="N876" s="82"/>
      <c r="O876" s="82"/>
      <c r="P876" s="241"/>
      <c r="Q876" s="241"/>
      <c r="R876" s="82"/>
      <c r="S876" s="241"/>
      <c r="T876" s="82"/>
      <c r="U876" s="241"/>
      <c r="V876" s="82"/>
      <c r="W876" s="88"/>
      <c r="X876" s="82"/>
      <c r="Y876" s="89"/>
      <c r="Z876" s="82"/>
      <c r="AA876" s="90"/>
      <c r="AB876" s="241"/>
      <c r="AC876" s="241"/>
      <c r="AD876" s="241"/>
      <c r="AE876" s="82"/>
      <c r="AF876" s="82"/>
      <c r="AG876" s="90"/>
      <c r="AH876" s="90"/>
      <c r="AI876" s="90"/>
      <c r="AJ876" s="90"/>
      <c r="AK876" s="82"/>
      <c r="AL876" s="82" t="str" cm="1">
        <f t="array" aca="1" ref="AL876" ca="1">_xlfn.IFS(
 AND($AK876&lt;&gt;"", M876&lt;&gt;0, M876&lt;=EDATE(TODAY(),2)),"도래",
 AND($AK876&lt;&gt;"", M876&lt;&gt;0, M876&lt;=EDATE(TODAY(),3)),"예정",
 AND($AK876&lt;&gt;"", M876&lt;&gt;0, M876&lt;=EDATE(TODAY(),6)),"관심",
 TRUE,""
)</f>
        <v/>
      </c>
      <c r="AM876" s="86"/>
    </row>
    <row r="877" spans="1:39" ht="18" customHeight="1">
      <c r="A877" s="81"/>
      <c r="B877" s="205" t="str">
        <f>_xlfn.LET(_xlpm.var,◆관리정보!B877,IF(_xlpm.var&lt;&gt;0,_xlpm.var,""))</f>
        <v/>
      </c>
      <c r="C877" s="82" t="str">
        <f>_xlfn.LET(_xlpm.var,◆관리정보!C877,IF(_xlpm.var&lt;&gt;0,_xlpm.var,""))</f>
        <v/>
      </c>
      <c r="D877" s="83"/>
      <c r="E877" s="84" t="str">
        <f t="shared" si="26"/>
        <v/>
      </c>
      <c r="F877" s="87"/>
      <c r="G877" s="229"/>
      <c r="H877" s="229"/>
      <c r="I877" s="229"/>
      <c r="J877" s="229"/>
      <c r="K877" s="218"/>
      <c r="L877" s="87"/>
      <c r="M877" s="87"/>
      <c r="N877" s="82"/>
      <c r="O877" s="82"/>
      <c r="P877" s="241"/>
      <c r="Q877" s="241"/>
      <c r="R877" s="82"/>
      <c r="S877" s="241"/>
      <c r="T877" s="82"/>
      <c r="U877" s="241"/>
      <c r="V877" s="82"/>
      <c r="W877" s="88"/>
      <c r="X877" s="82"/>
      <c r="Y877" s="89"/>
      <c r="Z877" s="82"/>
      <c r="AA877" s="90"/>
      <c r="AB877" s="241"/>
      <c r="AC877" s="241"/>
      <c r="AD877" s="241"/>
      <c r="AE877" s="82"/>
      <c r="AF877" s="82"/>
      <c r="AG877" s="90"/>
      <c r="AH877" s="90"/>
      <c r="AI877" s="90"/>
      <c r="AJ877" s="90"/>
      <c r="AK877" s="82"/>
      <c r="AL877" s="82" t="str" cm="1">
        <f t="array" aca="1" ref="AL877" ca="1">_xlfn.IFS(
 AND($AK877&lt;&gt;"", M877&lt;&gt;0, M877&lt;=EDATE(TODAY(),2)),"도래",
 AND($AK877&lt;&gt;"", M877&lt;&gt;0, M877&lt;=EDATE(TODAY(),3)),"예정",
 AND($AK877&lt;&gt;"", M877&lt;&gt;0, M877&lt;=EDATE(TODAY(),6)),"관심",
 TRUE,""
)</f>
        <v/>
      </c>
      <c r="AM877" s="86"/>
    </row>
    <row r="878" spans="1:39" ht="18" customHeight="1">
      <c r="A878" s="81"/>
      <c r="B878" s="205" t="str">
        <f>_xlfn.LET(_xlpm.var,◆관리정보!B878,IF(_xlpm.var&lt;&gt;0,_xlpm.var,""))</f>
        <v/>
      </c>
      <c r="C878" s="82" t="str">
        <f>_xlfn.LET(_xlpm.var,◆관리정보!C878,IF(_xlpm.var&lt;&gt;0,_xlpm.var,""))</f>
        <v/>
      </c>
      <c r="D878" s="83"/>
      <c r="E878" s="84" t="str">
        <f t="shared" si="26"/>
        <v/>
      </c>
      <c r="F878" s="87"/>
      <c r="G878" s="229"/>
      <c r="H878" s="229"/>
      <c r="I878" s="229"/>
      <c r="J878" s="229"/>
      <c r="K878" s="218"/>
      <c r="L878" s="87"/>
      <c r="M878" s="87"/>
      <c r="N878" s="82"/>
      <c r="O878" s="82"/>
      <c r="P878" s="241"/>
      <c r="Q878" s="241"/>
      <c r="R878" s="82"/>
      <c r="S878" s="241"/>
      <c r="T878" s="82"/>
      <c r="U878" s="241"/>
      <c r="V878" s="82"/>
      <c r="W878" s="88"/>
      <c r="X878" s="82"/>
      <c r="Y878" s="89"/>
      <c r="Z878" s="82"/>
      <c r="AA878" s="90"/>
      <c r="AB878" s="241"/>
      <c r="AC878" s="241"/>
      <c r="AD878" s="241"/>
      <c r="AE878" s="82"/>
      <c r="AF878" s="82"/>
      <c r="AG878" s="90"/>
      <c r="AH878" s="90"/>
      <c r="AI878" s="90"/>
      <c r="AJ878" s="90"/>
      <c r="AK878" s="82"/>
      <c r="AL878" s="82" t="str" cm="1">
        <f t="array" aca="1" ref="AL878" ca="1">_xlfn.IFS(
 AND($AK878&lt;&gt;"", M878&lt;&gt;0, M878&lt;=EDATE(TODAY(),2)),"도래",
 AND($AK878&lt;&gt;"", M878&lt;&gt;0, M878&lt;=EDATE(TODAY(),3)),"예정",
 AND($AK878&lt;&gt;"", M878&lt;&gt;0, M878&lt;=EDATE(TODAY(),6)),"관심",
 TRUE,""
)</f>
        <v/>
      </c>
      <c r="AM878" s="86"/>
    </row>
    <row r="879" spans="1:39" ht="18" customHeight="1">
      <c r="A879" s="81"/>
      <c r="B879" s="205" t="str">
        <f>_xlfn.LET(_xlpm.var,◆관리정보!B879,IF(_xlpm.var&lt;&gt;0,_xlpm.var,""))</f>
        <v/>
      </c>
      <c r="C879" s="82" t="str">
        <f>_xlfn.LET(_xlpm.var,◆관리정보!C879,IF(_xlpm.var&lt;&gt;0,_xlpm.var,""))</f>
        <v/>
      </c>
      <c r="D879" s="83"/>
      <c r="E879" s="84" t="str">
        <f t="shared" si="26"/>
        <v/>
      </c>
      <c r="F879" s="87"/>
      <c r="G879" s="229"/>
      <c r="H879" s="229"/>
      <c r="I879" s="229"/>
      <c r="J879" s="229"/>
      <c r="K879" s="218"/>
      <c r="L879" s="87"/>
      <c r="M879" s="87"/>
      <c r="N879" s="82"/>
      <c r="O879" s="82"/>
      <c r="P879" s="241"/>
      <c r="Q879" s="241"/>
      <c r="R879" s="82"/>
      <c r="S879" s="241"/>
      <c r="T879" s="82"/>
      <c r="U879" s="241"/>
      <c r="V879" s="82"/>
      <c r="W879" s="88"/>
      <c r="X879" s="82"/>
      <c r="Y879" s="89"/>
      <c r="Z879" s="82"/>
      <c r="AA879" s="90"/>
      <c r="AB879" s="241"/>
      <c r="AC879" s="241"/>
      <c r="AD879" s="241"/>
      <c r="AE879" s="82"/>
      <c r="AF879" s="82"/>
      <c r="AG879" s="90"/>
      <c r="AH879" s="90"/>
      <c r="AI879" s="90"/>
      <c r="AJ879" s="90"/>
      <c r="AK879" s="82"/>
      <c r="AL879" s="82" t="str" cm="1">
        <f t="array" aca="1" ref="AL879" ca="1">_xlfn.IFS(
 AND($AK879&lt;&gt;"", M879&lt;&gt;0, M879&lt;=EDATE(TODAY(),2)),"도래",
 AND($AK879&lt;&gt;"", M879&lt;&gt;0, M879&lt;=EDATE(TODAY(),3)),"예정",
 AND($AK879&lt;&gt;"", M879&lt;&gt;0, M879&lt;=EDATE(TODAY(),6)),"관심",
 TRUE,""
)</f>
        <v/>
      </c>
      <c r="AM879" s="86"/>
    </row>
    <row r="880" spans="1:39" ht="18" customHeight="1">
      <c r="A880" s="81"/>
      <c r="B880" s="205" t="str">
        <f>_xlfn.LET(_xlpm.var,◆관리정보!B880,IF(_xlpm.var&lt;&gt;0,_xlpm.var,""))</f>
        <v/>
      </c>
      <c r="C880" s="82" t="str">
        <f>_xlfn.LET(_xlpm.var,◆관리정보!C880,IF(_xlpm.var&lt;&gt;0,_xlpm.var,""))</f>
        <v/>
      </c>
      <c r="D880" s="83"/>
      <c r="E880" s="84" t="str">
        <f t="shared" si="26"/>
        <v/>
      </c>
      <c r="F880" s="87"/>
      <c r="G880" s="229"/>
      <c r="H880" s="229"/>
      <c r="I880" s="229"/>
      <c r="J880" s="229"/>
      <c r="K880" s="218"/>
      <c r="L880" s="87"/>
      <c r="M880" s="87"/>
      <c r="N880" s="82"/>
      <c r="O880" s="82"/>
      <c r="P880" s="241"/>
      <c r="Q880" s="241"/>
      <c r="R880" s="82"/>
      <c r="S880" s="241"/>
      <c r="T880" s="82"/>
      <c r="U880" s="241"/>
      <c r="V880" s="82"/>
      <c r="W880" s="88"/>
      <c r="X880" s="82"/>
      <c r="Y880" s="89"/>
      <c r="Z880" s="82"/>
      <c r="AA880" s="90"/>
      <c r="AB880" s="241"/>
      <c r="AC880" s="241"/>
      <c r="AD880" s="241"/>
      <c r="AE880" s="82"/>
      <c r="AF880" s="82"/>
      <c r="AG880" s="90"/>
      <c r="AH880" s="90"/>
      <c r="AI880" s="90"/>
      <c r="AJ880" s="90"/>
      <c r="AK880" s="82"/>
      <c r="AL880" s="82" t="str" cm="1">
        <f t="array" aca="1" ref="AL880" ca="1">_xlfn.IFS(
 AND($AK880&lt;&gt;"", M880&lt;&gt;0, M880&lt;=EDATE(TODAY(),2)),"도래",
 AND($AK880&lt;&gt;"", M880&lt;&gt;0, M880&lt;=EDATE(TODAY(),3)),"예정",
 AND($AK880&lt;&gt;"", M880&lt;&gt;0, M880&lt;=EDATE(TODAY(),6)),"관심",
 TRUE,""
)</f>
        <v/>
      </c>
      <c r="AM880" s="86"/>
    </row>
    <row r="881" spans="1:39" ht="18" customHeight="1">
      <c r="A881" s="81"/>
      <c r="B881" s="205" t="str">
        <f>_xlfn.LET(_xlpm.var,◆관리정보!B881,IF(_xlpm.var&lt;&gt;0,_xlpm.var,""))</f>
        <v/>
      </c>
      <c r="C881" s="82" t="str">
        <f>_xlfn.LET(_xlpm.var,◆관리정보!C881,IF(_xlpm.var&lt;&gt;0,_xlpm.var,""))</f>
        <v/>
      </c>
      <c r="D881" s="83"/>
      <c r="E881" s="84" t="str">
        <f t="shared" si="26"/>
        <v/>
      </c>
      <c r="F881" s="87"/>
      <c r="G881" s="229"/>
      <c r="H881" s="229"/>
      <c r="I881" s="229"/>
      <c r="J881" s="229"/>
      <c r="K881" s="218"/>
      <c r="L881" s="87"/>
      <c r="M881" s="87"/>
      <c r="N881" s="82"/>
      <c r="O881" s="82"/>
      <c r="P881" s="241"/>
      <c r="Q881" s="241"/>
      <c r="R881" s="82"/>
      <c r="S881" s="241"/>
      <c r="T881" s="82"/>
      <c r="U881" s="241"/>
      <c r="V881" s="82"/>
      <c r="W881" s="88"/>
      <c r="X881" s="82"/>
      <c r="Y881" s="89"/>
      <c r="Z881" s="82"/>
      <c r="AA881" s="90"/>
      <c r="AB881" s="241"/>
      <c r="AC881" s="241"/>
      <c r="AD881" s="241"/>
      <c r="AE881" s="82"/>
      <c r="AF881" s="82"/>
      <c r="AG881" s="90"/>
      <c r="AH881" s="90"/>
      <c r="AI881" s="90"/>
      <c r="AJ881" s="90"/>
      <c r="AK881" s="82"/>
      <c r="AL881" s="82" t="str" cm="1">
        <f t="array" aca="1" ref="AL881" ca="1">_xlfn.IFS(
 AND($AK881&lt;&gt;"", M881&lt;&gt;0, M881&lt;=EDATE(TODAY(),2)),"도래",
 AND($AK881&lt;&gt;"", M881&lt;&gt;0, M881&lt;=EDATE(TODAY(),3)),"예정",
 AND($AK881&lt;&gt;"", M881&lt;&gt;0, M881&lt;=EDATE(TODAY(),6)),"관심",
 TRUE,""
)</f>
        <v/>
      </c>
      <c r="AM881" s="86"/>
    </row>
    <row r="882" spans="1:39" ht="18" customHeight="1">
      <c r="A882" s="81"/>
      <c r="B882" s="205" t="str">
        <f>_xlfn.LET(_xlpm.var,◆관리정보!B882,IF(_xlpm.var&lt;&gt;0,_xlpm.var,""))</f>
        <v/>
      </c>
      <c r="C882" s="82" t="str">
        <f>_xlfn.LET(_xlpm.var,◆관리정보!C882,IF(_xlpm.var&lt;&gt;0,_xlpm.var,""))</f>
        <v/>
      </c>
      <c r="D882" s="83"/>
      <c r="E882" s="84" t="str">
        <f t="shared" si="26"/>
        <v/>
      </c>
      <c r="F882" s="87"/>
      <c r="G882" s="229"/>
      <c r="H882" s="229"/>
      <c r="I882" s="229"/>
      <c r="J882" s="229"/>
      <c r="K882" s="218"/>
      <c r="L882" s="87"/>
      <c r="M882" s="87"/>
      <c r="N882" s="82"/>
      <c r="O882" s="82"/>
      <c r="P882" s="241"/>
      <c r="Q882" s="241"/>
      <c r="R882" s="82"/>
      <c r="S882" s="241"/>
      <c r="T882" s="82"/>
      <c r="U882" s="241"/>
      <c r="V882" s="82"/>
      <c r="W882" s="88"/>
      <c r="X882" s="82"/>
      <c r="Y882" s="89"/>
      <c r="Z882" s="82"/>
      <c r="AA882" s="90"/>
      <c r="AB882" s="241"/>
      <c r="AC882" s="241"/>
      <c r="AD882" s="241"/>
      <c r="AE882" s="82"/>
      <c r="AF882" s="82"/>
      <c r="AG882" s="90"/>
      <c r="AH882" s="90"/>
      <c r="AI882" s="90"/>
      <c r="AJ882" s="90"/>
      <c r="AK882" s="82"/>
      <c r="AL882" s="82" t="str" cm="1">
        <f t="array" aca="1" ref="AL882" ca="1">_xlfn.IFS(
 AND($AK882&lt;&gt;"", M882&lt;&gt;0, M882&lt;=EDATE(TODAY(),2)),"도래",
 AND($AK882&lt;&gt;"", M882&lt;&gt;0, M882&lt;=EDATE(TODAY(),3)),"예정",
 AND($AK882&lt;&gt;"", M882&lt;&gt;0, M882&lt;=EDATE(TODAY(),6)),"관심",
 TRUE,""
)</f>
        <v/>
      </c>
      <c r="AM882" s="86"/>
    </row>
    <row r="883" spans="1:39" ht="18" customHeight="1">
      <c r="A883" s="81"/>
      <c r="B883" s="205" t="str">
        <f>_xlfn.LET(_xlpm.var,◆관리정보!B883,IF(_xlpm.var&lt;&gt;0,_xlpm.var,""))</f>
        <v/>
      </c>
      <c r="C883" s="82" t="str">
        <f>_xlfn.LET(_xlpm.var,◆관리정보!C883,IF(_xlpm.var&lt;&gt;0,_xlpm.var,""))</f>
        <v/>
      </c>
      <c r="D883" s="83"/>
      <c r="E883" s="84" t="str">
        <f t="shared" si="26"/>
        <v/>
      </c>
      <c r="F883" s="87"/>
      <c r="G883" s="229"/>
      <c r="H883" s="229"/>
      <c r="I883" s="229"/>
      <c r="J883" s="229"/>
      <c r="K883" s="218"/>
      <c r="L883" s="87"/>
      <c r="M883" s="87"/>
      <c r="N883" s="82"/>
      <c r="O883" s="82"/>
      <c r="P883" s="241"/>
      <c r="Q883" s="241"/>
      <c r="R883" s="82"/>
      <c r="S883" s="241"/>
      <c r="T883" s="82"/>
      <c r="U883" s="241"/>
      <c r="V883" s="82"/>
      <c r="W883" s="88"/>
      <c r="X883" s="82"/>
      <c r="Y883" s="89"/>
      <c r="Z883" s="82"/>
      <c r="AA883" s="90"/>
      <c r="AB883" s="241"/>
      <c r="AC883" s="241"/>
      <c r="AD883" s="241"/>
      <c r="AE883" s="82"/>
      <c r="AF883" s="82"/>
      <c r="AG883" s="90"/>
      <c r="AH883" s="90"/>
      <c r="AI883" s="90"/>
      <c r="AJ883" s="90"/>
      <c r="AK883" s="82"/>
      <c r="AL883" s="82" t="str" cm="1">
        <f t="array" aca="1" ref="AL883" ca="1">_xlfn.IFS(
 AND($AK883&lt;&gt;"", M883&lt;&gt;0, M883&lt;=EDATE(TODAY(),2)),"도래",
 AND($AK883&lt;&gt;"", M883&lt;&gt;0, M883&lt;=EDATE(TODAY(),3)),"예정",
 AND($AK883&lt;&gt;"", M883&lt;&gt;0, M883&lt;=EDATE(TODAY(),6)),"관심",
 TRUE,""
)</f>
        <v/>
      </c>
      <c r="AM883" s="86"/>
    </row>
    <row r="884" spans="1:39" ht="18" customHeight="1">
      <c r="A884" s="81"/>
      <c r="B884" s="205" t="str">
        <f>_xlfn.LET(_xlpm.var,◆관리정보!B884,IF(_xlpm.var&lt;&gt;0,_xlpm.var,""))</f>
        <v/>
      </c>
      <c r="C884" s="82" t="str">
        <f>_xlfn.LET(_xlpm.var,◆관리정보!C884,IF(_xlpm.var&lt;&gt;0,_xlpm.var,""))</f>
        <v/>
      </c>
      <c r="D884" s="83"/>
      <c r="E884" s="84" t="str">
        <f t="shared" si="26"/>
        <v/>
      </c>
      <c r="F884" s="87"/>
      <c r="G884" s="229"/>
      <c r="H884" s="229"/>
      <c r="I884" s="229"/>
      <c r="J884" s="229"/>
      <c r="K884" s="218"/>
      <c r="L884" s="87"/>
      <c r="M884" s="87"/>
      <c r="N884" s="82"/>
      <c r="O884" s="82"/>
      <c r="P884" s="241"/>
      <c r="Q884" s="241"/>
      <c r="R884" s="82"/>
      <c r="S884" s="241"/>
      <c r="T884" s="82"/>
      <c r="U884" s="241"/>
      <c r="V884" s="82"/>
      <c r="W884" s="88"/>
      <c r="X884" s="82"/>
      <c r="Y884" s="89"/>
      <c r="Z884" s="82"/>
      <c r="AA884" s="90"/>
      <c r="AB884" s="241"/>
      <c r="AC884" s="241"/>
      <c r="AD884" s="241"/>
      <c r="AE884" s="82"/>
      <c r="AF884" s="82"/>
      <c r="AG884" s="90"/>
      <c r="AH884" s="90"/>
      <c r="AI884" s="90"/>
      <c r="AJ884" s="90"/>
      <c r="AK884" s="82"/>
      <c r="AL884" s="82" t="str" cm="1">
        <f t="array" aca="1" ref="AL884" ca="1">_xlfn.IFS(
 AND($AK884&lt;&gt;"", M884&lt;&gt;0, M884&lt;=EDATE(TODAY(),2)),"도래",
 AND($AK884&lt;&gt;"", M884&lt;&gt;0, M884&lt;=EDATE(TODAY(),3)),"예정",
 AND($AK884&lt;&gt;"", M884&lt;&gt;0, M884&lt;=EDATE(TODAY(),6)),"관심",
 TRUE,""
)</f>
        <v/>
      </c>
      <c r="AM884" s="86"/>
    </row>
    <row r="885" spans="1:39" ht="18" customHeight="1">
      <c r="A885" s="81"/>
      <c r="B885" s="205" t="str">
        <f>_xlfn.LET(_xlpm.var,◆관리정보!B885,IF(_xlpm.var&lt;&gt;0,_xlpm.var,""))</f>
        <v/>
      </c>
      <c r="C885" s="82" t="str">
        <f>_xlfn.LET(_xlpm.var,◆관리정보!C885,IF(_xlpm.var&lt;&gt;0,_xlpm.var,""))</f>
        <v/>
      </c>
      <c r="D885" s="83"/>
      <c r="E885" s="84" t="str">
        <f t="shared" si="26"/>
        <v/>
      </c>
      <c r="F885" s="87"/>
      <c r="G885" s="229"/>
      <c r="H885" s="229"/>
      <c r="I885" s="229"/>
      <c r="J885" s="229"/>
      <c r="K885" s="218"/>
      <c r="L885" s="87"/>
      <c r="M885" s="87"/>
      <c r="N885" s="82"/>
      <c r="O885" s="82"/>
      <c r="P885" s="241"/>
      <c r="Q885" s="241"/>
      <c r="R885" s="82"/>
      <c r="S885" s="241"/>
      <c r="T885" s="82"/>
      <c r="U885" s="241"/>
      <c r="V885" s="82"/>
      <c r="W885" s="88"/>
      <c r="X885" s="82"/>
      <c r="Y885" s="89"/>
      <c r="Z885" s="82"/>
      <c r="AA885" s="90"/>
      <c r="AB885" s="241"/>
      <c r="AC885" s="241"/>
      <c r="AD885" s="241"/>
      <c r="AE885" s="82"/>
      <c r="AF885" s="82"/>
      <c r="AG885" s="90"/>
      <c r="AH885" s="90"/>
      <c r="AI885" s="90"/>
      <c r="AJ885" s="90"/>
      <c r="AK885" s="82"/>
      <c r="AL885" s="82" t="str" cm="1">
        <f t="array" aca="1" ref="AL885" ca="1">_xlfn.IFS(
 AND($AK885&lt;&gt;"", M885&lt;&gt;0, M885&lt;=EDATE(TODAY(),2)),"도래",
 AND($AK885&lt;&gt;"", M885&lt;&gt;0, M885&lt;=EDATE(TODAY(),3)),"예정",
 AND($AK885&lt;&gt;"", M885&lt;&gt;0, M885&lt;=EDATE(TODAY(),6)),"관심",
 TRUE,""
)</f>
        <v/>
      </c>
      <c r="AM885" s="86"/>
    </row>
    <row r="886" spans="1:39" ht="18" customHeight="1">
      <c r="A886" s="81"/>
      <c r="B886" s="205" t="str">
        <f>_xlfn.LET(_xlpm.var,◆관리정보!B886,IF(_xlpm.var&lt;&gt;0,_xlpm.var,""))</f>
        <v/>
      </c>
      <c r="C886" s="82" t="str">
        <f>_xlfn.LET(_xlpm.var,◆관리정보!C886,IF(_xlpm.var&lt;&gt;0,_xlpm.var,""))</f>
        <v/>
      </c>
      <c r="D886" s="83"/>
      <c r="E886" s="84" t="str">
        <f t="shared" si="26"/>
        <v/>
      </c>
      <c r="F886" s="87"/>
      <c r="G886" s="229"/>
      <c r="H886" s="229"/>
      <c r="I886" s="229"/>
      <c r="J886" s="229"/>
      <c r="K886" s="218"/>
      <c r="L886" s="87"/>
      <c r="M886" s="87"/>
      <c r="N886" s="82"/>
      <c r="O886" s="82"/>
      <c r="P886" s="241"/>
      <c r="Q886" s="241"/>
      <c r="R886" s="82"/>
      <c r="S886" s="241"/>
      <c r="T886" s="82"/>
      <c r="U886" s="241"/>
      <c r="V886" s="82"/>
      <c r="W886" s="88"/>
      <c r="X886" s="82"/>
      <c r="Y886" s="89"/>
      <c r="Z886" s="82"/>
      <c r="AA886" s="90"/>
      <c r="AB886" s="241"/>
      <c r="AC886" s="241"/>
      <c r="AD886" s="241"/>
      <c r="AE886" s="82"/>
      <c r="AF886" s="82"/>
      <c r="AG886" s="90"/>
      <c r="AH886" s="90"/>
      <c r="AI886" s="90"/>
      <c r="AJ886" s="90"/>
      <c r="AK886" s="82"/>
      <c r="AL886" s="82" t="str" cm="1">
        <f t="array" aca="1" ref="AL886" ca="1">_xlfn.IFS(
 AND($AK886&lt;&gt;"", M886&lt;&gt;0, M886&lt;=EDATE(TODAY(),2)),"도래",
 AND($AK886&lt;&gt;"", M886&lt;&gt;0, M886&lt;=EDATE(TODAY(),3)),"예정",
 AND($AK886&lt;&gt;"", M886&lt;&gt;0, M886&lt;=EDATE(TODAY(),6)),"관심",
 TRUE,""
)</f>
        <v/>
      </c>
      <c r="AM886" s="86"/>
    </row>
    <row r="887" spans="1:39" ht="18" customHeight="1">
      <c r="A887" s="81"/>
      <c r="B887" s="205" t="str">
        <f>_xlfn.LET(_xlpm.var,◆관리정보!B887,IF(_xlpm.var&lt;&gt;0,_xlpm.var,""))</f>
        <v/>
      </c>
      <c r="C887" s="82" t="str">
        <f>_xlfn.LET(_xlpm.var,◆관리정보!C887,IF(_xlpm.var&lt;&gt;0,_xlpm.var,""))</f>
        <v/>
      </c>
      <c r="D887" s="83"/>
      <c r="E887" s="84" t="str">
        <f t="shared" si="26"/>
        <v/>
      </c>
      <c r="F887" s="87"/>
      <c r="G887" s="229"/>
      <c r="H887" s="229"/>
      <c r="I887" s="229"/>
      <c r="J887" s="229"/>
      <c r="K887" s="218"/>
      <c r="L887" s="87"/>
      <c r="M887" s="87"/>
      <c r="N887" s="82"/>
      <c r="O887" s="82"/>
      <c r="P887" s="241"/>
      <c r="Q887" s="241"/>
      <c r="R887" s="82"/>
      <c r="S887" s="241"/>
      <c r="T887" s="82"/>
      <c r="U887" s="241"/>
      <c r="V887" s="82"/>
      <c r="W887" s="88"/>
      <c r="X887" s="82"/>
      <c r="Y887" s="89"/>
      <c r="Z887" s="82"/>
      <c r="AA887" s="90"/>
      <c r="AB887" s="241"/>
      <c r="AC887" s="241"/>
      <c r="AD887" s="241"/>
      <c r="AE887" s="82"/>
      <c r="AF887" s="82"/>
      <c r="AG887" s="90"/>
      <c r="AH887" s="90"/>
      <c r="AI887" s="90"/>
      <c r="AJ887" s="90"/>
      <c r="AK887" s="82"/>
      <c r="AL887" s="82" t="str" cm="1">
        <f t="array" aca="1" ref="AL887" ca="1">_xlfn.IFS(
 AND($AK887&lt;&gt;"", M887&lt;&gt;0, M887&lt;=EDATE(TODAY(),2)),"도래",
 AND($AK887&lt;&gt;"", M887&lt;&gt;0, M887&lt;=EDATE(TODAY(),3)),"예정",
 AND($AK887&lt;&gt;"", M887&lt;&gt;0, M887&lt;=EDATE(TODAY(),6)),"관심",
 TRUE,""
)</f>
        <v/>
      </c>
      <c r="AM887" s="86"/>
    </row>
    <row r="888" spans="1:39" ht="18" customHeight="1">
      <c r="A888" s="81"/>
      <c r="B888" s="205" t="str">
        <f>_xlfn.LET(_xlpm.var,◆관리정보!B888,IF(_xlpm.var&lt;&gt;0,_xlpm.var,""))</f>
        <v/>
      </c>
      <c r="C888" s="82" t="str">
        <f>_xlfn.LET(_xlpm.var,◆관리정보!C888,IF(_xlpm.var&lt;&gt;0,_xlpm.var,""))</f>
        <v/>
      </c>
      <c r="D888" s="83"/>
      <c r="E888" s="84" t="str">
        <f t="shared" si="26"/>
        <v/>
      </c>
      <c r="F888" s="87"/>
      <c r="G888" s="229"/>
      <c r="H888" s="229"/>
      <c r="I888" s="229"/>
      <c r="J888" s="229"/>
      <c r="K888" s="218"/>
      <c r="L888" s="87"/>
      <c r="M888" s="87"/>
      <c r="N888" s="82"/>
      <c r="O888" s="82"/>
      <c r="P888" s="241"/>
      <c r="Q888" s="241"/>
      <c r="R888" s="82"/>
      <c r="S888" s="241"/>
      <c r="T888" s="82"/>
      <c r="U888" s="241"/>
      <c r="V888" s="82"/>
      <c r="W888" s="88"/>
      <c r="X888" s="82"/>
      <c r="Y888" s="89"/>
      <c r="Z888" s="82"/>
      <c r="AA888" s="90"/>
      <c r="AB888" s="241"/>
      <c r="AC888" s="241"/>
      <c r="AD888" s="241"/>
      <c r="AE888" s="82"/>
      <c r="AF888" s="82"/>
      <c r="AG888" s="90"/>
      <c r="AH888" s="90"/>
      <c r="AI888" s="90"/>
      <c r="AJ888" s="90"/>
      <c r="AK888" s="82"/>
      <c r="AL888" s="82" t="str" cm="1">
        <f t="array" aca="1" ref="AL888" ca="1">_xlfn.IFS(
 AND($AK888&lt;&gt;"", M888&lt;&gt;0, M888&lt;=EDATE(TODAY(),2)),"도래",
 AND($AK888&lt;&gt;"", M888&lt;&gt;0, M888&lt;=EDATE(TODAY(),3)),"예정",
 AND($AK888&lt;&gt;"", M888&lt;&gt;0, M888&lt;=EDATE(TODAY(),6)),"관심",
 TRUE,""
)</f>
        <v/>
      </c>
      <c r="AM888" s="86"/>
    </row>
    <row r="889" spans="1:39" ht="18" customHeight="1">
      <c r="A889" s="81"/>
      <c r="B889" s="205" t="str">
        <f>_xlfn.LET(_xlpm.var,◆관리정보!B889,IF(_xlpm.var&lt;&gt;0,_xlpm.var,""))</f>
        <v/>
      </c>
      <c r="C889" s="82" t="str">
        <f>_xlfn.LET(_xlpm.var,◆관리정보!C889,IF(_xlpm.var&lt;&gt;0,_xlpm.var,""))</f>
        <v/>
      </c>
      <c r="D889" s="83"/>
      <c r="E889" s="84" t="str">
        <f t="shared" si="26"/>
        <v/>
      </c>
      <c r="F889" s="87"/>
      <c r="G889" s="229"/>
      <c r="H889" s="229"/>
      <c r="I889" s="229"/>
      <c r="J889" s="229"/>
      <c r="K889" s="218"/>
      <c r="L889" s="87"/>
      <c r="M889" s="87"/>
      <c r="N889" s="82"/>
      <c r="O889" s="82"/>
      <c r="P889" s="241"/>
      <c r="Q889" s="241"/>
      <c r="R889" s="82"/>
      <c r="S889" s="241"/>
      <c r="T889" s="82"/>
      <c r="U889" s="241"/>
      <c r="V889" s="82"/>
      <c r="W889" s="88"/>
      <c r="X889" s="82"/>
      <c r="Y889" s="89"/>
      <c r="Z889" s="82"/>
      <c r="AA889" s="90"/>
      <c r="AB889" s="241"/>
      <c r="AC889" s="241"/>
      <c r="AD889" s="241"/>
      <c r="AE889" s="82"/>
      <c r="AF889" s="82"/>
      <c r="AG889" s="90"/>
      <c r="AH889" s="90"/>
      <c r="AI889" s="90"/>
      <c r="AJ889" s="90"/>
      <c r="AK889" s="82"/>
      <c r="AL889" s="82" t="str" cm="1">
        <f t="array" aca="1" ref="AL889" ca="1">_xlfn.IFS(
 AND($AK889&lt;&gt;"", M889&lt;&gt;0, M889&lt;=EDATE(TODAY(),2)),"도래",
 AND($AK889&lt;&gt;"", M889&lt;&gt;0, M889&lt;=EDATE(TODAY(),3)),"예정",
 AND($AK889&lt;&gt;"", M889&lt;&gt;0, M889&lt;=EDATE(TODAY(),6)),"관심",
 TRUE,""
)</f>
        <v/>
      </c>
      <c r="AM889" s="86"/>
    </row>
    <row r="890" spans="1:39" ht="18" customHeight="1">
      <c r="A890" s="81"/>
      <c r="B890" s="205" t="str">
        <f>_xlfn.LET(_xlpm.var,◆관리정보!B890,IF(_xlpm.var&lt;&gt;0,_xlpm.var,""))</f>
        <v/>
      </c>
      <c r="C890" s="82" t="str">
        <f>_xlfn.LET(_xlpm.var,◆관리정보!C890,IF(_xlpm.var&lt;&gt;0,_xlpm.var,""))</f>
        <v/>
      </c>
      <c r="D890" s="83"/>
      <c r="E890" s="84" t="str">
        <f t="shared" si="26"/>
        <v/>
      </c>
      <c r="F890" s="87"/>
      <c r="G890" s="229"/>
      <c r="H890" s="229"/>
      <c r="I890" s="229"/>
      <c r="J890" s="229"/>
      <c r="K890" s="218"/>
      <c r="L890" s="87"/>
      <c r="M890" s="87"/>
      <c r="N890" s="82"/>
      <c r="O890" s="82"/>
      <c r="P890" s="241"/>
      <c r="Q890" s="241"/>
      <c r="R890" s="82"/>
      <c r="S890" s="241"/>
      <c r="T890" s="82"/>
      <c r="U890" s="241"/>
      <c r="V890" s="82"/>
      <c r="W890" s="88"/>
      <c r="X890" s="82"/>
      <c r="Y890" s="89"/>
      <c r="Z890" s="82"/>
      <c r="AA890" s="90"/>
      <c r="AB890" s="241"/>
      <c r="AC890" s="241"/>
      <c r="AD890" s="241"/>
      <c r="AE890" s="82"/>
      <c r="AF890" s="82"/>
      <c r="AG890" s="90"/>
      <c r="AH890" s="90"/>
      <c r="AI890" s="90"/>
      <c r="AJ890" s="90"/>
      <c r="AK890" s="82"/>
      <c r="AL890" s="82" t="str" cm="1">
        <f t="array" aca="1" ref="AL890" ca="1">_xlfn.IFS(
 AND($AK890&lt;&gt;"", M890&lt;&gt;0, M890&lt;=EDATE(TODAY(),2)),"도래",
 AND($AK890&lt;&gt;"", M890&lt;&gt;0, M890&lt;=EDATE(TODAY(),3)),"예정",
 AND($AK890&lt;&gt;"", M890&lt;&gt;0, M890&lt;=EDATE(TODAY(),6)),"관심",
 TRUE,""
)</f>
        <v/>
      </c>
      <c r="AM890" s="86"/>
    </row>
    <row r="891" spans="1:39" ht="18" customHeight="1">
      <c r="A891" s="81"/>
      <c r="B891" s="205" t="str">
        <f>_xlfn.LET(_xlpm.var,◆관리정보!B891,IF(_xlpm.var&lt;&gt;0,_xlpm.var,""))</f>
        <v/>
      </c>
      <c r="C891" s="82" t="str">
        <f>_xlfn.LET(_xlpm.var,◆관리정보!C891,IF(_xlpm.var&lt;&gt;0,_xlpm.var,""))</f>
        <v/>
      </c>
      <c r="D891" s="83"/>
      <c r="E891" s="84" t="str">
        <f t="shared" si="26"/>
        <v/>
      </c>
      <c r="F891" s="87"/>
      <c r="G891" s="229"/>
      <c r="H891" s="229"/>
      <c r="I891" s="229"/>
      <c r="J891" s="229"/>
      <c r="K891" s="218"/>
      <c r="L891" s="87"/>
      <c r="M891" s="87"/>
      <c r="N891" s="82"/>
      <c r="O891" s="82"/>
      <c r="P891" s="241"/>
      <c r="Q891" s="241"/>
      <c r="R891" s="82"/>
      <c r="S891" s="241"/>
      <c r="T891" s="82"/>
      <c r="U891" s="241"/>
      <c r="V891" s="82"/>
      <c r="W891" s="88"/>
      <c r="X891" s="82"/>
      <c r="Y891" s="89"/>
      <c r="Z891" s="82"/>
      <c r="AA891" s="90"/>
      <c r="AB891" s="241"/>
      <c r="AC891" s="241"/>
      <c r="AD891" s="241"/>
      <c r="AE891" s="82"/>
      <c r="AF891" s="82"/>
      <c r="AG891" s="90"/>
      <c r="AH891" s="90"/>
      <c r="AI891" s="90"/>
      <c r="AJ891" s="90"/>
      <c r="AK891" s="82"/>
      <c r="AL891" s="82" t="str" cm="1">
        <f t="array" aca="1" ref="AL891" ca="1">_xlfn.IFS(
 AND($AK891&lt;&gt;"", M891&lt;&gt;0, M891&lt;=EDATE(TODAY(),2)),"도래",
 AND($AK891&lt;&gt;"", M891&lt;&gt;0, M891&lt;=EDATE(TODAY(),3)),"예정",
 AND($AK891&lt;&gt;"", M891&lt;&gt;0, M891&lt;=EDATE(TODAY(),6)),"관심",
 TRUE,""
)</f>
        <v/>
      </c>
      <c r="AM891" s="86"/>
    </row>
    <row r="892" spans="1:39" ht="18" customHeight="1">
      <c r="A892" s="81"/>
      <c r="B892" s="205" t="str">
        <f>_xlfn.LET(_xlpm.var,◆관리정보!B892,IF(_xlpm.var&lt;&gt;0,_xlpm.var,""))</f>
        <v/>
      </c>
      <c r="C892" s="82" t="str">
        <f>_xlfn.LET(_xlpm.var,◆관리정보!C892,IF(_xlpm.var&lt;&gt;0,_xlpm.var,""))</f>
        <v/>
      </c>
      <c r="D892" s="83"/>
      <c r="E892" s="84" t="str">
        <f t="shared" si="26"/>
        <v/>
      </c>
      <c r="F892" s="87"/>
      <c r="G892" s="229"/>
      <c r="H892" s="229"/>
      <c r="I892" s="229"/>
      <c r="J892" s="229"/>
      <c r="K892" s="218"/>
      <c r="L892" s="87"/>
      <c r="M892" s="87"/>
      <c r="N892" s="82"/>
      <c r="O892" s="82"/>
      <c r="P892" s="241"/>
      <c r="Q892" s="241"/>
      <c r="R892" s="82"/>
      <c r="S892" s="241"/>
      <c r="T892" s="82"/>
      <c r="U892" s="241"/>
      <c r="V892" s="82"/>
      <c r="W892" s="88"/>
      <c r="X892" s="82"/>
      <c r="Y892" s="89"/>
      <c r="Z892" s="82"/>
      <c r="AA892" s="90"/>
      <c r="AB892" s="241"/>
      <c r="AC892" s="241"/>
      <c r="AD892" s="241"/>
      <c r="AE892" s="82"/>
      <c r="AF892" s="82"/>
      <c r="AG892" s="90"/>
      <c r="AH892" s="90"/>
      <c r="AI892" s="90"/>
      <c r="AJ892" s="90"/>
      <c r="AK892" s="82"/>
      <c r="AL892" s="82" t="str" cm="1">
        <f t="array" aca="1" ref="AL892" ca="1">_xlfn.IFS(
 AND($AK892&lt;&gt;"", M892&lt;&gt;0, M892&lt;=EDATE(TODAY(),2)),"도래",
 AND($AK892&lt;&gt;"", M892&lt;&gt;0, M892&lt;=EDATE(TODAY(),3)),"예정",
 AND($AK892&lt;&gt;"", M892&lt;&gt;0, M892&lt;=EDATE(TODAY(),6)),"관심",
 TRUE,""
)</f>
        <v/>
      </c>
      <c r="AM892" s="86"/>
    </row>
    <row r="893" spans="1:39" ht="18" customHeight="1">
      <c r="A893" s="81"/>
      <c r="B893" s="205" t="str">
        <f>_xlfn.LET(_xlpm.var,◆관리정보!B893,IF(_xlpm.var&lt;&gt;0,_xlpm.var,""))</f>
        <v/>
      </c>
      <c r="C893" s="82" t="str">
        <f>_xlfn.LET(_xlpm.var,◆관리정보!C893,IF(_xlpm.var&lt;&gt;0,_xlpm.var,""))</f>
        <v/>
      </c>
      <c r="D893" s="83"/>
      <c r="E893" s="84" t="str">
        <f t="shared" si="26"/>
        <v/>
      </c>
      <c r="F893" s="87"/>
      <c r="G893" s="229"/>
      <c r="H893" s="229"/>
      <c r="I893" s="229"/>
      <c r="J893" s="229"/>
      <c r="K893" s="218"/>
      <c r="L893" s="87"/>
      <c r="M893" s="87"/>
      <c r="N893" s="82"/>
      <c r="O893" s="82"/>
      <c r="P893" s="241"/>
      <c r="Q893" s="241"/>
      <c r="R893" s="82"/>
      <c r="S893" s="241"/>
      <c r="T893" s="82"/>
      <c r="U893" s="241"/>
      <c r="V893" s="82"/>
      <c r="W893" s="88"/>
      <c r="X893" s="82"/>
      <c r="Y893" s="89"/>
      <c r="Z893" s="82"/>
      <c r="AA893" s="90"/>
      <c r="AB893" s="241"/>
      <c r="AC893" s="241"/>
      <c r="AD893" s="241"/>
      <c r="AE893" s="82"/>
      <c r="AF893" s="82"/>
      <c r="AG893" s="90"/>
      <c r="AH893" s="90"/>
      <c r="AI893" s="90"/>
      <c r="AJ893" s="90"/>
      <c r="AK893" s="82"/>
      <c r="AL893" s="82" t="str" cm="1">
        <f t="array" aca="1" ref="AL893" ca="1">_xlfn.IFS(
 AND($AK893&lt;&gt;"", M893&lt;&gt;0, M893&lt;=EDATE(TODAY(),2)),"도래",
 AND($AK893&lt;&gt;"", M893&lt;&gt;0, M893&lt;=EDATE(TODAY(),3)),"예정",
 AND($AK893&lt;&gt;"", M893&lt;&gt;0, M893&lt;=EDATE(TODAY(),6)),"관심",
 TRUE,""
)</f>
        <v/>
      </c>
      <c r="AM893" s="86"/>
    </row>
    <row r="894" spans="1:39" ht="18" customHeight="1">
      <c r="A894" s="81"/>
      <c r="B894" s="205" t="str">
        <f>_xlfn.LET(_xlpm.var,◆관리정보!B894,IF(_xlpm.var&lt;&gt;0,_xlpm.var,""))</f>
        <v/>
      </c>
      <c r="C894" s="82" t="str">
        <f>_xlfn.LET(_xlpm.var,◆관리정보!C894,IF(_xlpm.var&lt;&gt;0,_xlpm.var,""))</f>
        <v/>
      </c>
      <c r="D894" s="83"/>
      <c r="E894" s="84" t="str">
        <f t="shared" si="26"/>
        <v/>
      </c>
      <c r="F894" s="87"/>
      <c r="G894" s="229"/>
      <c r="H894" s="229"/>
      <c r="I894" s="229"/>
      <c r="J894" s="229"/>
      <c r="K894" s="218"/>
      <c r="L894" s="87"/>
      <c r="M894" s="87"/>
      <c r="N894" s="82"/>
      <c r="O894" s="82"/>
      <c r="P894" s="241"/>
      <c r="Q894" s="241"/>
      <c r="R894" s="82"/>
      <c r="S894" s="241"/>
      <c r="T894" s="82"/>
      <c r="U894" s="241"/>
      <c r="V894" s="82"/>
      <c r="W894" s="88"/>
      <c r="X894" s="82"/>
      <c r="Y894" s="89"/>
      <c r="Z894" s="82"/>
      <c r="AA894" s="90"/>
      <c r="AB894" s="241"/>
      <c r="AC894" s="241"/>
      <c r="AD894" s="241"/>
      <c r="AE894" s="82"/>
      <c r="AF894" s="82"/>
      <c r="AG894" s="90"/>
      <c r="AH894" s="90"/>
      <c r="AI894" s="90"/>
      <c r="AJ894" s="90"/>
      <c r="AK894" s="82"/>
      <c r="AL894" s="82" t="str" cm="1">
        <f t="array" aca="1" ref="AL894" ca="1">_xlfn.IFS(
 AND($AK894&lt;&gt;"", M894&lt;&gt;0, M894&lt;=EDATE(TODAY(),2)),"도래",
 AND($AK894&lt;&gt;"", M894&lt;&gt;0, M894&lt;=EDATE(TODAY(),3)),"예정",
 AND($AK894&lt;&gt;"", M894&lt;&gt;0, M894&lt;=EDATE(TODAY(),6)),"관심",
 TRUE,""
)</f>
        <v/>
      </c>
      <c r="AM894" s="86"/>
    </row>
    <row r="895" spans="1:39" ht="18" customHeight="1">
      <c r="A895" s="81"/>
      <c r="B895" s="205" t="str">
        <f>_xlfn.LET(_xlpm.var,◆관리정보!B895,IF(_xlpm.var&lt;&gt;0,_xlpm.var,""))</f>
        <v/>
      </c>
      <c r="C895" s="82" t="str">
        <f>_xlfn.LET(_xlpm.var,◆관리정보!C895,IF(_xlpm.var&lt;&gt;0,_xlpm.var,""))</f>
        <v/>
      </c>
      <c r="D895" s="83"/>
      <c r="E895" s="84" t="str">
        <f t="shared" si="26"/>
        <v/>
      </c>
      <c r="F895" s="87"/>
      <c r="G895" s="229"/>
      <c r="H895" s="229"/>
      <c r="I895" s="229"/>
      <c r="J895" s="229"/>
      <c r="K895" s="218"/>
      <c r="L895" s="87"/>
      <c r="M895" s="87"/>
      <c r="N895" s="82"/>
      <c r="O895" s="82"/>
      <c r="P895" s="241"/>
      <c r="Q895" s="241"/>
      <c r="R895" s="82"/>
      <c r="S895" s="241"/>
      <c r="T895" s="82"/>
      <c r="U895" s="241"/>
      <c r="V895" s="82"/>
      <c r="W895" s="88"/>
      <c r="X895" s="82"/>
      <c r="Y895" s="89"/>
      <c r="Z895" s="82"/>
      <c r="AA895" s="90"/>
      <c r="AB895" s="241"/>
      <c r="AC895" s="241"/>
      <c r="AD895" s="241"/>
      <c r="AE895" s="82"/>
      <c r="AF895" s="82"/>
      <c r="AG895" s="90"/>
      <c r="AH895" s="90"/>
      <c r="AI895" s="90"/>
      <c r="AJ895" s="90"/>
      <c r="AK895" s="82"/>
      <c r="AL895" s="82" t="str" cm="1">
        <f t="array" aca="1" ref="AL895" ca="1">_xlfn.IFS(
 AND($AK895&lt;&gt;"", M895&lt;&gt;0, M895&lt;=EDATE(TODAY(),2)),"도래",
 AND($AK895&lt;&gt;"", M895&lt;&gt;0, M895&lt;=EDATE(TODAY(),3)),"예정",
 AND($AK895&lt;&gt;"", M895&lt;&gt;0, M895&lt;=EDATE(TODAY(),6)),"관심",
 TRUE,""
)</f>
        <v/>
      </c>
      <c r="AM895" s="86"/>
    </row>
    <row r="896" spans="1:39" ht="18" customHeight="1">
      <c r="A896" s="81"/>
      <c r="B896" s="205" t="str">
        <f>_xlfn.LET(_xlpm.var,◆관리정보!B896,IF(_xlpm.var&lt;&gt;0,_xlpm.var,""))</f>
        <v/>
      </c>
      <c r="C896" s="82" t="str">
        <f>_xlfn.LET(_xlpm.var,◆관리정보!C896,IF(_xlpm.var&lt;&gt;0,_xlpm.var,""))</f>
        <v/>
      </c>
      <c r="D896" s="83"/>
      <c r="E896" s="84" t="str">
        <f t="shared" si="26"/>
        <v/>
      </c>
      <c r="F896" s="87"/>
      <c r="G896" s="229"/>
      <c r="H896" s="229"/>
      <c r="I896" s="229"/>
      <c r="J896" s="229"/>
      <c r="K896" s="218"/>
      <c r="L896" s="87"/>
      <c r="M896" s="87"/>
      <c r="N896" s="82"/>
      <c r="O896" s="82"/>
      <c r="P896" s="241"/>
      <c r="Q896" s="241"/>
      <c r="R896" s="82"/>
      <c r="S896" s="241"/>
      <c r="T896" s="82"/>
      <c r="U896" s="241"/>
      <c r="V896" s="82"/>
      <c r="W896" s="88"/>
      <c r="X896" s="82"/>
      <c r="Y896" s="89"/>
      <c r="Z896" s="82"/>
      <c r="AA896" s="90"/>
      <c r="AB896" s="241"/>
      <c r="AC896" s="241"/>
      <c r="AD896" s="241"/>
      <c r="AE896" s="82"/>
      <c r="AF896" s="82"/>
      <c r="AG896" s="90"/>
      <c r="AH896" s="90"/>
      <c r="AI896" s="90"/>
      <c r="AJ896" s="90"/>
      <c r="AK896" s="82"/>
      <c r="AL896" s="82" t="str" cm="1">
        <f t="array" aca="1" ref="AL896" ca="1">_xlfn.IFS(
 AND($AK896&lt;&gt;"", M896&lt;&gt;0, M896&lt;=EDATE(TODAY(),2)),"도래",
 AND($AK896&lt;&gt;"", M896&lt;&gt;0, M896&lt;=EDATE(TODAY(),3)),"예정",
 AND($AK896&lt;&gt;"", M896&lt;&gt;0, M896&lt;=EDATE(TODAY(),6)),"관심",
 TRUE,""
)</f>
        <v/>
      </c>
      <c r="AM896" s="86"/>
    </row>
    <row r="897" spans="1:39" ht="18" customHeight="1">
      <c r="A897" s="81"/>
      <c r="B897" s="205" t="str">
        <f>_xlfn.LET(_xlpm.var,◆관리정보!B897,IF(_xlpm.var&lt;&gt;0,_xlpm.var,""))</f>
        <v/>
      </c>
      <c r="C897" s="82" t="str">
        <f>_xlfn.LET(_xlpm.var,◆관리정보!C897,IF(_xlpm.var&lt;&gt;0,_xlpm.var,""))</f>
        <v/>
      </c>
      <c r="D897" s="83"/>
      <c r="E897" s="84" t="str">
        <f t="shared" si="26"/>
        <v/>
      </c>
      <c r="F897" s="87"/>
      <c r="G897" s="229"/>
      <c r="H897" s="229"/>
      <c r="I897" s="229"/>
      <c r="J897" s="229"/>
      <c r="K897" s="218"/>
      <c r="L897" s="87"/>
      <c r="M897" s="87"/>
      <c r="N897" s="82"/>
      <c r="O897" s="82"/>
      <c r="P897" s="241"/>
      <c r="Q897" s="241"/>
      <c r="R897" s="82"/>
      <c r="S897" s="241"/>
      <c r="T897" s="82"/>
      <c r="U897" s="241"/>
      <c r="V897" s="82"/>
      <c r="W897" s="88"/>
      <c r="X897" s="82"/>
      <c r="Y897" s="89"/>
      <c r="Z897" s="82"/>
      <c r="AA897" s="90"/>
      <c r="AB897" s="241"/>
      <c r="AC897" s="241"/>
      <c r="AD897" s="241"/>
      <c r="AE897" s="82"/>
      <c r="AF897" s="82"/>
      <c r="AG897" s="90"/>
      <c r="AH897" s="90"/>
      <c r="AI897" s="90"/>
      <c r="AJ897" s="90"/>
      <c r="AK897" s="82"/>
      <c r="AL897" s="82" t="str" cm="1">
        <f t="array" aca="1" ref="AL897" ca="1">_xlfn.IFS(
 AND($AK897&lt;&gt;"", M897&lt;&gt;0, M897&lt;=EDATE(TODAY(),2)),"도래",
 AND($AK897&lt;&gt;"", M897&lt;&gt;0, M897&lt;=EDATE(TODAY(),3)),"예정",
 AND($AK897&lt;&gt;"", M897&lt;&gt;0, M897&lt;=EDATE(TODAY(),6)),"관심",
 TRUE,""
)</f>
        <v/>
      </c>
      <c r="AM897" s="86"/>
    </row>
    <row r="898" spans="1:39" ht="18" customHeight="1">
      <c r="A898" s="81"/>
      <c r="B898" s="205" t="str">
        <f>_xlfn.LET(_xlpm.var,◆관리정보!B898,IF(_xlpm.var&lt;&gt;0,_xlpm.var,""))</f>
        <v/>
      </c>
      <c r="C898" s="82" t="str">
        <f>_xlfn.LET(_xlpm.var,◆관리정보!C898,IF(_xlpm.var&lt;&gt;0,_xlpm.var,""))</f>
        <v/>
      </c>
      <c r="D898" s="83"/>
      <c r="E898" s="84" t="str">
        <f t="shared" si="26"/>
        <v/>
      </c>
      <c r="F898" s="87"/>
      <c r="G898" s="229"/>
      <c r="H898" s="229"/>
      <c r="I898" s="229"/>
      <c r="J898" s="229"/>
      <c r="K898" s="218"/>
      <c r="L898" s="87"/>
      <c r="M898" s="87"/>
      <c r="N898" s="82"/>
      <c r="O898" s="82"/>
      <c r="P898" s="241"/>
      <c r="Q898" s="241"/>
      <c r="R898" s="82"/>
      <c r="S898" s="241"/>
      <c r="T898" s="82"/>
      <c r="U898" s="241"/>
      <c r="V898" s="82"/>
      <c r="W898" s="88"/>
      <c r="X898" s="82"/>
      <c r="Y898" s="89"/>
      <c r="Z898" s="82"/>
      <c r="AA898" s="90"/>
      <c r="AB898" s="241"/>
      <c r="AC898" s="241"/>
      <c r="AD898" s="241"/>
      <c r="AE898" s="82"/>
      <c r="AF898" s="82"/>
      <c r="AG898" s="90"/>
      <c r="AH898" s="90"/>
      <c r="AI898" s="90"/>
      <c r="AJ898" s="90"/>
      <c r="AK898" s="82"/>
      <c r="AL898" s="82" t="str" cm="1">
        <f t="array" aca="1" ref="AL898" ca="1">_xlfn.IFS(
 AND($AK898&lt;&gt;"", M898&lt;&gt;0, M898&lt;=EDATE(TODAY(),2)),"도래",
 AND($AK898&lt;&gt;"", M898&lt;&gt;0, M898&lt;=EDATE(TODAY(),3)),"예정",
 AND($AK898&lt;&gt;"", M898&lt;&gt;0, M898&lt;=EDATE(TODAY(),6)),"관심",
 TRUE,""
)</f>
        <v/>
      </c>
      <c r="AM898" s="86"/>
    </row>
    <row r="899" spans="1:39" ht="18" customHeight="1">
      <c r="A899" s="81"/>
      <c r="B899" s="205" t="str">
        <f>_xlfn.LET(_xlpm.var,◆관리정보!B899,IF(_xlpm.var&lt;&gt;0,_xlpm.var,""))</f>
        <v/>
      </c>
      <c r="C899" s="82" t="str">
        <f>_xlfn.LET(_xlpm.var,◆관리정보!C899,IF(_xlpm.var&lt;&gt;0,_xlpm.var,""))</f>
        <v/>
      </c>
      <c r="D899" s="83"/>
      <c r="E899" s="84" t="str">
        <f t="shared" si="26"/>
        <v/>
      </c>
      <c r="F899" s="87"/>
      <c r="G899" s="229"/>
      <c r="H899" s="229"/>
      <c r="I899" s="229"/>
      <c r="J899" s="229"/>
      <c r="K899" s="218"/>
      <c r="L899" s="87"/>
      <c r="M899" s="87"/>
      <c r="N899" s="82"/>
      <c r="O899" s="82"/>
      <c r="P899" s="241"/>
      <c r="Q899" s="241"/>
      <c r="R899" s="82"/>
      <c r="S899" s="241"/>
      <c r="T899" s="82"/>
      <c r="U899" s="241"/>
      <c r="V899" s="82"/>
      <c r="W899" s="88"/>
      <c r="X899" s="82"/>
      <c r="Y899" s="89"/>
      <c r="Z899" s="82"/>
      <c r="AA899" s="90"/>
      <c r="AB899" s="241"/>
      <c r="AC899" s="241"/>
      <c r="AD899" s="241"/>
      <c r="AE899" s="82"/>
      <c r="AF899" s="82"/>
      <c r="AG899" s="90"/>
      <c r="AH899" s="90"/>
      <c r="AI899" s="90"/>
      <c r="AJ899" s="90"/>
      <c r="AK899" s="82"/>
      <c r="AL899" s="82" t="str" cm="1">
        <f t="array" aca="1" ref="AL899" ca="1">_xlfn.IFS(
 AND($AK899&lt;&gt;"", M899&lt;&gt;0, M899&lt;=EDATE(TODAY(),2)),"도래",
 AND($AK899&lt;&gt;"", M899&lt;&gt;0, M899&lt;=EDATE(TODAY(),3)),"예정",
 AND($AK899&lt;&gt;"", M899&lt;&gt;0, M899&lt;=EDATE(TODAY(),6)),"관심",
 TRUE,""
)</f>
        <v/>
      </c>
      <c r="AM899" s="86"/>
    </row>
    <row r="900" spans="1:39" ht="18" customHeight="1">
      <c r="A900" s="81"/>
      <c r="B900" s="205" t="str">
        <f>_xlfn.LET(_xlpm.var,◆관리정보!B900,IF(_xlpm.var&lt;&gt;0,_xlpm.var,""))</f>
        <v/>
      </c>
      <c r="C900" s="82" t="str">
        <f>_xlfn.LET(_xlpm.var,◆관리정보!C900,IF(_xlpm.var&lt;&gt;0,_xlpm.var,""))</f>
        <v/>
      </c>
      <c r="D900" s="83"/>
      <c r="E900" s="84" t="str">
        <f t="shared" ref="E900:E963" si="27">_xlfn.CONCAT(B900,C900)</f>
        <v/>
      </c>
      <c r="F900" s="87"/>
      <c r="G900" s="229"/>
      <c r="H900" s="229"/>
      <c r="I900" s="229"/>
      <c r="J900" s="229"/>
      <c r="K900" s="218"/>
      <c r="L900" s="87"/>
      <c r="M900" s="87"/>
      <c r="N900" s="82"/>
      <c r="O900" s="82"/>
      <c r="P900" s="241"/>
      <c r="Q900" s="241"/>
      <c r="R900" s="82"/>
      <c r="S900" s="241"/>
      <c r="T900" s="82"/>
      <c r="U900" s="241"/>
      <c r="V900" s="82"/>
      <c r="W900" s="88"/>
      <c r="X900" s="82"/>
      <c r="Y900" s="89"/>
      <c r="Z900" s="82"/>
      <c r="AA900" s="90"/>
      <c r="AB900" s="241"/>
      <c r="AC900" s="241"/>
      <c r="AD900" s="241"/>
      <c r="AE900" s="82"/>
      <c r="AF900" s="82"/>
      <c r="AG900" s="90"/>
      <c r="AH900" s="90"/>
      <c r="AI900" s="90"/>
      <c r="AJ900" s="90"/>
      <c r="AK900" s="82"/>
      <c r="AL900" s="82" t="str" cm="1">
        <f t="array" aca="1" ref="AL900" ca="1">_xlfn.IFS(
 AND($AK900&lt;&gt;"", M900&lt;&gt;0, M900&lt;=EDATE(TODAY(),2)),"도래",
 AND($AK900&lt;&gt;"", M900&lt;&gt;0, M900&lt;=EDATE(TODAY(),3)),"예정",
 AND($AK900&lt;&gt;"", M900&lt;&gt;0, M900&lt;=EDATE(TODAY(),6)),"관심",
 TRUE,""
)</f>
        <v/>
      </c>
      <c r="AM900" s="86"/>
    </row>
    <row r="901" spans="1:39" ht="18" customHeight="1">
      <c r="A901" s="81"/>
      <c r="B901" s="205" t="str">
        <f>_xlfn.LET(_xlpm.var,◆관리정보!B901,IF(_xlpm.var&lt;&gt;0,_xlpm.var,""))</f>
        <v/>
      </c>
      <c r="C901" s="82" t="str">
        <f>_xlfn.LET(_xlpm.var,◆관리정보!C901,IF(_xlpm.var&lt;&gt;0,_xlpm.var,""))</f>
        <v/>
      </c>
      <c r="D901" s="83"/>
      <c r="E901" s="84" t="str">
        <f t="shared" si="27"/>
        <v/>
      </c>
      <c r="F901" s="87"/>
      <c r="G901" s="229"/>
      <c r="H901" s="229"/>
      <c r="I901" s="229"/>
      <c r="J901" s="229"/>
      <c r="K901" s="218"/>
      <c r="L901" s="87"/>
      <c r="M901" s="87"/>
      <c r="N901" s="82"/>
      <c r="O901" s="82"/>
      <c r="P901" s="241"/>
      <c r="Q901" s="241"/>
      <c r="R901" s="82"/>
      <c r="S901" s="241"/>
      <c r="T901" s="82"/>
      <c r="U901" s="241"/>
      <c r="V901" s="82"/>
      <c r="W901" s="88"/>
      <c r="X901" s="82"/>
      <c r="Y901" s="89"/>
      <c r="Z901" s="82"/>
      <c r="AA901" s="90"/>
      <c r="AB901" s="241"/>
      <c r="AC901" s="241"/>
      <c r="AD901" s="241"/>
      <c r="AE901" s="82"/>
      <c r="AF901" s="82"/>
      <c r="AG901" s="90"/>
      <c r="AH901" s="90"/>
      <c r="AI901" s="90"/>
      <c r="AJ901" s="90"/>
      <c r="AK901" s="82"/>
      <c r="AL901" s="82" t="str" cm="1">
        <f t="array" aca="1" ref="AL901" ca="1">_xlfn.IFS(
 AND($AK901&lt;&gt;"", M901&lt;&gt;0, M901&lt;=EDATE(TODAY(),2)),"도래",
 AND($AK901&lt;&gt;"", M901&lt;&gt;0, M901&lt;=EDATE(TODAY(),3)),"예정",
 AND($AK901&lt;&gt;"", M901&lt;&gt;0, M901&lt;=EDATE(TODAY(),6)),"관심",
 TRUE,""
)</f>
        <v/>
      </c>
      <c r="AM901" s="86"/>
    </row>
    <row r="902" spans="1:39" ht="18" customHeight="1">
      <c r="A902" s="81"/>
      <c r="B902" s="205" t="str">
        <f>_xlfn.LET(_xlpm.var,◆관리정보!B902,IF(_xlpm.var&lt;&gt;0,_xlpm.var,""))</f>
        <v/>
      </c>
      <c r="C902" s="82" t="str">
        <f>_xlfn.LET(_xlpm.var,◆관리정보!C902,IF(_xlpm.var&lt;&gt;0,_xlpm.var,""))</f>
        <v/>
      </c>
      <c r="D902" s="83"/>
      <c r="E902" s="84" t="str">
        <f t="shared" si="27"/>
        <v/>
      </c>
      <c r="F902" s="87"/>
      <c r="G902" s="229"/>
      <c r="H902" s="229"/>
      <c r="I902" s="229"/>
      <c r="J902" s="229"/>
      <c r="K902" s="218"/>
      <c r="L902" s="87"/>
      <c r="M902" s="87"/>
      <c r="N902" s="82"/>
      <c r="O902" s="82"/>
      <c r="P902" s="241"/>
      <c r="Q902" s="241"/>
      <c r="R902" s="82"/>
      <c r="S902" s="241"/>
      <c r="T902" s="82"/>
      <c r="U902" s="241"/>
      <c r="V902" s="82"/>
      <c r="W902" s="88"/>
      <c r="X902" s="82"/>
      <c r="Y902" s="89"/>
      <c r="Z902" s="82"/>
      <c r="AA902" s="90"/>
      <c r="AB902" s="241"/>
      <c r="AC902" s="241"/>
      <c r="AD902" s="241"/>
      <c r="AE902" s="82"/>
      <c r="AF902" s="82"/>
      <c r="AG902" s="90"/>
      <c r="AH902" s="90"/>
      <c r="AI902" s="90"/>
      <c r="AJ902" s="90"/>
      <c r="AK902" s="82"/>
      <c r="AL902" s="82" t="str" cm="1">
        <f t="array" aca="1" ref="AL902" ca="1">_xlfn.IFS(
 AND($AK902&lt;&gt;"", M902&lt;&gt;0, M902&lt;=EDATE(TODAY(),2)),"도래",
 AND($AK902&lt;&gt;"", M902&lt;&gt;0, M902&lt;=EDATE(TODAY(),3)),"예정",
 AND($AK902&lt;&gt;"", M902&lt;&gt;0, M902&lt;=EDATE(TODAY(),6)),"관심",
 TRUE,""
)</f>
        <v/>
      </c>
      <c r="AM902" s="86"/>
    </row>
    <row r="903" spans="1:39" ht="18" customHeight="1">
      <c r="A903" s="81"/>
      <c r="B903" s="205" t="str">
        <f>_xlfn.LET(_xlpm.var,◆관리정보!B903,IF(_xlpm.var&lt;&gt;0,_xlpm.var,""))</f>
        <v/>
      </c>
      <c r="C903" s="82" t="str">
        <f>_xlfn.LET(_xlpm.var,◆관리정보!C903,IF(_xlpm.var&lt;&gt;0,_xlpm.var,""))</f>
        <v/>
      </c>
      <c r="D903" s="83"/>
      <c r="E903" s="84" t="str">
        <f t="shared" si="27"/>
        <v/>
      </c>
      <c r="F903" s="87"/>
      <c r="G903" s="229"/>
      <c r="H903" s="229"/>
      <c r="I903" s="229"/>
      <c r="J903" s="229"/>
      <c r="K903" s="218"/>
      <c r="L903" s="87"/>
      <c r="M903" s="87"/>
      <c r="N903" s="82"/>
      <c r="O903" s="82"/>
      <c r="P903" s="241"/>
      <c r="Q903" s="241"/>
      <c r="R903" s="82"/>
      <c r="S903" s="241"/>
      <c r="T903" s="82"/>
      <c r="U903" s="241"/>
      <c r="V903" s="82"/>
      <c r="W903" s="88"/>
      <c r="X903" s="82"/>
      <c r="Y903" s="89"/>
      <c r="Z903" s="82"/>
      <c r="AA903" s="90"/>
      <c r="AB903" s="241"/>
      <c r="AC903" s="241"/>
      <c r="AD903" s="241"/>
      <c r="AE903" s="82"/>
      <c r="AF903" s="82"/>
      <c r="AG903" s="90"/>
      <c r="AH903" s="90"/>
      <c r="AI903" s="90"/>
      <c r="AJ903" s="90"/>
      <c r="AK903" s="82"/>
      <c r="AL903" s="82" t="str" cm="1">
        <f t="array" aca="1" ref="AL903" ca="1">_xlfn.IFS(
 AND($AK903&lt;&gt;"", M903&lt;&gt;0, M903&lt;=EDATE(TODAY(),2)),"도래",
 AND($AK903&lt;&gt;"", M903&lt;&gt;0, M903&lt;=EDATE(TODAY(),3)),"예정",
 AND($AK903&lt;&gt;"", M903&lt;&gt;0, M903&lt;=EDATE(TODAY(),6)),"관심",
 TRUE,""
)</f>
        <v/>
      </c>
      <c r="AM903" s="86"/>
    </row>
    <row r="904" spans="1:39" ht="18" customHeight="1">
      <c r="A904" s="81"/>
      <c r="B904" s="205" t="str">
        <f>_xlfn.LET(_xlpm.var,◆관리정보!B904,IF(_xlpm.var&lt;&gt;0,_xlpm.var,""))</f>
        <v/>
      </c>
      <c r="C904" s="82" t="str">
        <f>_xlfn.LET(_xlpm.var,◆관리정보!C904,IF(_xlpm.var&lt;&gt;0,_xlpm.var,""))</f>
        <v/>
      </c>
      <c r="D904" s="83"/>
      <c r="E904" s="84" t="str">
        <f t="shared" si="27"/>
        <v/>
      </c>
      <c r="F904" s="87"/>
      <c r="G904" s="229"/>
      <c r="H904" s="229"/>
      <c r="I904" s="229"/>
      <c r="J904" s="229"/>
      <c r="K904" s="218"/>
      <c r="L904" s="87"/>
      <c r="M904" s="87"/>
      <c r="N904" s="82"/>
      <c r="O904" s="82"/>
      <c r="P904" s="241"/>
      <c r="Q904" s="241"/>
      <c r="R904" s="82"/>
      <c r="S904" s="241"/>
      <c r="T904" s="82"/>
      <c r="U904" s="241"/>
      <c r="V904" s="82"/>
      <c r="W904" s="88"/>
      <c r="X904" s="82"/>
      <c r="Y904" s="89"/>
      <c r="Z904" s="82"/>
      <c r="AA904" s="90"/>
      <c r="AB904" s="241"/>
      <c r="AC904" s="241"/>
      <c r="AD904" s="241"/>
      <c r="AE904" s="82"/>
      <c r="AF904" s="82"/>
      <c r="AG904" s="90"/>
      <c r="AH904" s="90"/>
      <c r="AI904" s="90"/>
      <c r="AJ904" s="90"/>
      <c r="AK904" s="82"/>
      <c r="AL904" s="82" t="str" cm="1">
        <f t="array" aca="1" ref="AL904" ca="1">_xlfn.IFS(
 AND($AK904&lt;&gt;"", M904&lt;&gt;0, M904&lt;=EDATE(TODAY(),2)),"도래",
 AND($AK904&lt;&gt;"", M904&lt;&gt;0, M904&lt;=EDATE(TODAY(),3)),"예정",
 AND($AK904&lt;&gt;"", M904&lt;&gt;0, M904&lt;=EDATE(TODAY(),6)),"관심",
 TRUE,""
)</f>
        <v/>
      </c>
      <c r="AM904" s="86"/>
    </row>
    <row r="905" spans="1:39" ht="18" customHeight="1">
      <c r="A905" s="81"/>
      <c r="B905" s="205" t="str">
        <f>_xlfn.LET(_xlpm.var,◆관리정보!B905,IF(_xlpm.var&lt;&gt;0,_xlpm.var,""))</f>
        <v/>
      </c>
      <c r="C905" s="82" t="str">
        <f>_xlfn.LET(_xlpm.var,◆관리정보!C905,IF(_xlpm.var&lt;&gt;0,_xlpm.var,""))</f>
        <v/>
      </c>
      <c r="D905" s="83"/>
      <c r="E905" s="84" t="str">
        <f t="shared" si="27"/>
        <v/>
      </c>
      <c r="F905" s="87"/>
      <c r="G905" s="229"/>
      <c r="H905" s="229"/>
      <c r="I905" s="229"/>
      <c r="J905" s="229"/>
      <c r="K905" s="218"/>
      <c r="L905" s="87"/>
      <c r="M905" s="87"/>
      <c r="N905" s="82"/>
      <c r="O905" s="82"/>
      <c r="P905" s="241"/>
      <c r="Q905" s="241"/>
      <c r="R905" s="82"/>
      <c r="S905" s="241"/>
      <c r="T905" s="82"/>
      <c r="U905" s="241"/>
      <c r="V905" s="82"/>
      <c r="W905" s="88"/>
      <c r="X905" s="82"/>
      <c r="Y905" s="89"/>
      <c r="Z905" s="82"/>
      <c r="AA905" s="90"/>
      <c r="AB905" s="241"/>
      <c r="AC905" s="241"/>
      <c r="AD905" s="241"/>
      <c r="AE905" s="82"/>
      <c r="AF905" s="82"/>
      <c r="AG905" s="90"/>
      <c r="AH905" s="90"/>
      <c r="AI905" s="90"/>
      <c r="AJ905" s="90"/>
      <c r="AK905" s="82"/>
      <c r="AL905" s="82" t="str" cm="1">
        <f t="array" aca="1" ref="AL905" ca="1">_xlfn.IFS(
 AND($AK905&lt;&gt;"", M905&lt;&gt;0, M905&lt;=EDATE(TODAY(),2)),"도래",
 AND($AK905&lt;&gt;"", M905&lt;&gt;0, M905&lt;=EDATE(TODAY(),3)),"예정",
 AND($AK905&lt;&gt;"", M905&lt;&gt;0, M905&lt;=EDATE(TODAY(),6)),"관심",
 TRUE,""
)</f>
        <v/>
      </c>
      <c r="AM905" s="86"/>
    </row>
    <row r="906" spans="1:39" ht="18" customHeight="1">
      <c r="A906" s="81"/>
      <c r="B906" s="205" t="str">
        <f>_xlfn.LET(_xlpm.var,◆관리정보!B906,IF(_xlpm.var&lt;&gt;0,_xlpm.var,""))</f>
        <v/>
      </c>
      <c r="C906" s="82" t="str">
        <f>_xlfn.LET(_xlpm.var,◆관리정보!C906,IF(_xlpm.var&lt;&gt;0,_xlpm.var,""))</f>
        <v/>
      </c>
      <c r="D906" s="83"/>
      <c r="E906" s="84" t="str">
        <f t="shared" si="27"/>
        <v/>
      </c>
      <c r="F906" s="87"/>
      <c r="G906" s="229"/>
      <c r="H906" s="229"/>
      <c r="I906" s="229"/>
      <c r="J906" s="229"/>
      <c r="K906" s="218"/>
      <c r="L906" s="87"/>
      <c r="M906" s="87"/>
      <c r="N906" s="82"/>
      <c r="O906" s="82"/>
      <c r="P906" s="241"/>
      <c r="Q906" s="241"/>
      <c r="R906" s="82"/>
      <c r="S906" s="241"/>
      <c r="T906" s="82"/>
      <c r="U906" s="241"/>
      <c r="V906" s="82"/>
      <c r="W906" s="88"/>
      <c r="X906" s="82"/>
      <c r="Y906" s="89"/>
      <c r="Z906" s="82"/>
      <c r="AA906" s="90"/>
      <c r="AB906" s="241"/>
      <c r="AC906" s="241"/>
      <c r="AD906" s="241"/>
      <c r="AE906" s="82"/>
      <c r="AF906" s="82"/>
      <c r="AG906" s="90"/>
      <c r="AH906" s="90"/>
      <c r="AI906" s="90"/>
      <c r="AJ906" s="90"/>
      <c r="AK906" s="82"/>
      <c r="AL906" s="82" t="str" cm="1">
        <f t="array" aca="1" ref="AL906" ca="1">_xlfn.IFS(
 AND($AK906&lt;&gt;"", M906&lt;&gt;0, M906&lt;=EDATE(TODAY(),2)),"도래",
 AND($AK906&lt;&gt;"", M906&lt;&gt;0, M906&lt;=EDATE(TODAY(),3)),"예정",
 AND($AK906&lt;&gt;"", M906&lt;&gt;0, M906&lt;=EDATE(TODAY(),6)),"관심",
 TRUE,""
)</f>
        <v/>
      </c>
      <c r="AM906" s="86"/>
    </row>
    <row r="907" spans="1:39" ht="18" customHeight="1">
      <c r="A907" s="81"/>
      <c r="B907" s="205" t="str">
        <f>_xlfn.LET(_xlpm.var,◆관리정보!B907,IF(_xlpm.var&lt;&gt;0,_xlpm.var,""))</f>
        <v/>
      </c>
      <c r="C907" s="82" t="str">
        <f>_xlfn.LET(_xlpm.var,◆관리정보!C907,IF(_xlpm.var&lt;&gt;0,_xlpm.var,""))</f>
        <v/>
      </c>
      <c r="D907" s="83"/>
      <c r="E907" s="84" t="str">
        <f t="shared" si="27"/>
        <v/>
      </c>
      <c r="F907" s="87"/>
      <c r="G907" s="229"/>
      <c r="H907" s="229"/>
      <c r="I907" s="229"/>
      <c r="J907" s="229"/>
      <c r="K907" s="218"/>
      <c r="L907" s="87"/>
      <c r="M907" s="87"/>
      <c r="N907" s="82"/>
      <c r="O907" s="82"/>
      <c r="P907" s="241"/>
      <c r="Q907" s="241"/>
      <c r="R907" s="82"/>
      <c r="S907" s="241"/>
      <c r="T907" s="82"/>
      <c r="U907" s="241"/>
      <c r="V907" s="82"/>
      <c r="W907" s="88"/>
      <c r="X907" s="82"/>
      <c r="Y907" s="89"/>
      <c r="Z907" s="82"/>
      <c r="AA907" s="90"/>
      <c r="AB907" s="241"/>
      <c r="AC907" s="241"/>
      <c r="AD907" s="241"/>
      <c r="AE907" s="82"/>
      <c r="AF907" s="82"/>
      <c r="AG907" s="90"/>
      <c r="AH907" s="90"/>
      <c r="AI907" s="90"/>
      <c r="AJ907" s="90"/>
      <c r="AK907" s="82"/>
      <c r="AL907" s="82" t="str" cm="1">
        <f t="array" aca="1" ref="AL907" ca="1">_xlfn.IFS(
 AND($AK907&lt;&gt;"", M907&lt;&gt;0, M907&lt;=EDATE(TODAY(),2)),"도래",
 AND($AK907&lt;&gt;"", M907&lt;&gt;0, M907&lt;=EDATE(TODAY(),3)),"예정",
 AND($AK907&lt;&gt;"", M907&lt;&gt;0, M907&lt;=EDATE(TODAY(),6)),"관심",
 TRUE,""
)</f>
        <v/>
      </c>
      <c r="AM907" s="86"/>
    </row>
    <row r="908" spans="1:39" ht="18" customHeight="1">
      <c r="A908" s="81"/>
      <c r="B908" s="205" t="str">
        <f>_xlfn.LET(_xlpm.var,◆관리정보!B908,IF(_xlpm.var&lt;&gt;0,_xlpm.var,""))</f>
        <v/>
      </c>
      <c r="C908" s="82" t="str">
        <f>_xlfn.LET(_xlpm.var,◆관리정보!C908,IF(_xlpm.var&lt;&gt;0,_xlpm.var,""))</f>
        <v/>
      </c>
      <c r="D908" s="83"/>
      <c r="E908" s="84" t="str">
        <f t="shared" si="27"/>
        <v/>
      </c>
      <c r="F908" s="87"/>
      <c r="G908" s="229"/>
      <c r="H908" s="229"/>
      <c r="I908" s="229"/>
      <c r="J908" s="229"/>
      <c r="K908" s="218"/>
      <c r="L908" s="87"/>
      <c r="M908" s="87"/>
      <c r="N908" s="82"/>
      <c r="O908" s="82"/>
      <c r="P908" s="241"/>
      <c r="Q908" s="241"/>
      <c r="R908" s="82"/>
      <c r="S908" s="241"/>
      <c r="T908" s="82"/>
      <c r="U908" s="241"/>
      <c r="V908" s="82"/>
      <c r="W908" s="88"/>
      <c r="X908" s="82"/>
      <c r="Y908" s="89"/>
      <c r="Z908" s="82"/>
      <c r="AA908" s="90"/>
      <c r="AB908" s="241"/>
      <c r="AC908" s="241"/>
      <c r="AD908" s="241"/>
      <c r="AE908" s="82"/>
      <c r="AF908" s="82"/>
      <c r="AG908" s="90"/>
      <c r="AH908" s="90"/>
      <c r="AI908" s="90"/>
      <c r="AJ908" s="90"/>
      <c r="AK908" s="82"/>
      <c r="AL908" s="82" t="str" cm="1">
        <f t="array" aca="1" ref="AL908" ca="1">_xlfn.IFS(
 AND($AK908&lt;&gt;"", M908&lt;&gt;0, M908&lt;=EDATE(TODAY(),2)),"도래",
 AND($AK908&lt;&gt;"", M908&lt;&gt;0, M908&lt;=EDATE(TODAY(),3)),"예정",
 AND($AK908&lt;&gt;"", M908&lt;&gt;0, M908&lt;=EDATE(TODAY(),6)),"관심",
 TRUE,""
)</f>
        <v/>
      </c>
      <c r="AM908" s="86"/>
    </row>
    <row r="909" spans="1:39" ht="18" customHeight="1">
      <c r="A909" s="81"/>
      <c r="B909" s="205" t="str">
        <f>_xlfn.LET(_xlpm.var,◆관리정보!B909,IF(_xlpm.var&lt;&gt;0,_xlpm.var,""))</f>
        <v/>
      </c>
      <c r="C909" s="82" t="str">
        <f>_xlfn.LET(_xlpm.var,◆관리정보!C909,IF(_xlpm.var&lt;&gt;0,_xlpm.var,""))</f>
        <v/>
      </c>
      <c r="D909" s="83"/>
      <c r="E909" s="84" t="str">
        <f t="shared" si="27"/>
        <v/>
      </c>
      <c r="F909" s="87"/>
      <c r="G909" s="229"/>
      <c r="H909" s="229"/>
      <c r="I909" s="229"/>
      <c r="J909" s="229"/>
      <c r="K909" s="218"/>
      <c r="L909" s="87"/>
      <c r="M909" s="87"/>
      <c r="N909" s="82"/>
      <c r="O909" s="82"/>
      <c r="P909" s="241"/>
      <c r="Q909" s="241"/>
      <c r="R909" s="82"/>
      <c r="S909" s="241"/>
      <c r="T909" s="82"/>
      <c r="U909" s="241"/>
      <c r="V909" s="82"/>
      <c r="W909" s="88"/>
      <c r="X909" s="82"/>
      <c r="Y909" s="89"/>
      <c r="Z909" s="82"/>
      <c r="AA909" s="90"/>
      <c r="AB909" s="241"/>
      <c r="AC909" s="241"/>
      <c r="AD909" s="241"/>
      <c r="AE909" s="82"/>
      <c r="AF909" s="82"/>
      <c r="AG909" s="90"/>
      <c r="AH909" s="90"/>
      <c r="AI909" s="90"/>
      <c r="AJ909" s="90"/>
      <c r="AK909" s="82"/>
      <c r="AL909" s="82" t="str" cm="1">
        <f t="array" aca="1" ref="AL909" ca="1">_xlfn.IFS(
 AND($AK909&lt;&gt;"", M909&lt;&gt;0, M909&lt;=EDATE(TODAY(),2)),"도래",
 AND($AK909&lt;&gt;"", M909&lt;&gt;0, M909&lt;=EDATE(TODAY(),3)),"예정",
 AND($AK909&lt;&gt;"", M909&lt;&gt;0, M909&lt;=EDATE(TODAY(),6)),"관심",
 TRUE,""
)</f>
        <v/>
      </c>
      <c r="AM909" s="86"/>
    </row>
    <row r="910" spans="1:39" ht="18" customHeight="1">
      <c r="A910" s="81"/>
      <c r="B910" s="205" t="str">
        <f>_xlfn.LET(_xlpm.var,◆관리정보!B910,IF(_xlpm.var&lt;&gt;0,_xlpm.var,""))</f>
        <v/>
      </c>
      <c r="C910" s="82" t="str">
        <f>_xlfn.LET(_xlpm.var,◆관리정보!C910,IF(_xlpm.var&lt;&gt;0,_xlpm.var,""))</f>
        <v/>
      </c>
      <c r="D910" s="83"/>
      <c r="E910" s="84" t="str">
        <f t="shared" si="27"/>
        <v/>
      </c>
      <c r="F910" s="87"/>
      <c r="G910" s="229"/>
      <c r="H910" s="229"/>
      <c r="I910" s="229"/>
      <c r="J910" s="229"/>
      <c r="K910" s="218"/>
      <c r="L910" s="87"/>
      <c r="M910" s="87"/>
      <c r="N910" s="82"/>
      <c r="O910" s="82"/>
      <c r="P910" s="241"/>
      <c r="Q910" s="241"/>
      <c r="R910" s="82"/>
      <c r="S910" s="241"/>
      <c r="T910" s="82"/>
      <c r="U910" s="241"/>
      <c r="V910" s="82"/>
      <c r="W910" s="88"/>
      <c r="X910" s="82"/>
      <c r="Y910" s="89"/>
      <c r="Z910" s="82"/>
      <c r="AA910" s="90"/>
      <c r="AB910" s="241"/>
      <c r="AC910" s="241"/>
      <c r="AD910" s="241"/>
      <c r="AE910" s="82"/>
      <c r="AF910" s="82"/>
      <c r="AG910" s="90"/>
      <c r="AH910" s="90"/>
      <c r="AI910" s="90"/>
      <c r="AJ910" s="90"/>
      <c r="AK910" s="82"/>
      <c r="AL910" s="82" t="str" cm="1">
        <f t="array" aca="1" ref="AL910" ca="1">_xlfn.IFS(
 AND($AK910&lt;&gt;"", M910&lt;&gt;0, M910&lt;=EDATE(TODAY(),2)),"도래",
 AND($AK910&lt;&gt;"", M910&lt;&gt;0, M910&lt;=EDATE(TODAY(),3)),"예정",
 AND($AK910&lt;&gt;"", M910&lt;&gt;0, M910&lt;=EDATE(TODAY(),6)),"관심",
 TRUE,""
)</f>
        <v/>
      </c>
      <c r="AM910" s="86"/>
    </row>
    <row r="911" spans="1:39" ht="18" customHeight="1">
      <c r="A911" s="81"/>
      <c r="B911" s="205" t="str">
        <f>_xlfn.LET(_xlpm.var,◆관리정보!B911,IF(_xlpm.var&lt;&gt;0,_xlpm.var,""))</f>
        <v/>
      </c>
      <c r="C911" s="82" t="str">
        <f>_xlfn.LET(_xlpm.var,◆관리정보!C911,IF(_xlpm.var&lt;&gt;0,_xlpm.var,""))</f>
        <v/>
      </c>
      <c r="D911" s="83"/>
      <c r="E911" s="84" t="str">
        <f t="shared" si="27"/>
        <v/>
      </c>
      <c r="F911" s="87"/>
      <c r="G911" s="229"/>
      <c r="H911" s="229"/>
      <c r="I911" s="229"/>
      <c r="J911" s="229"/>
      <c r="K911" s="218"/>
      <c r="L911" s="87"/>
      <c r="M911" s="87"/>
      <c r="N911" s="82"/>
      <c r="O911" s="82"/>
      <c r="P911" s="241"/>
      <c r="Q911" s="241"/>
      <c r="R911" s="82"/>
      <c r="S911" s="241"/>
      <c r="T911" s="82"/>
      <c r="U911" s="241"/>
      <c r="V911" s="82"/>
      <c r="W911" s="88"/>
      <c r="X911" s="82"/>
      <c r="Y911" s="89"/>
      <c r="Z911" s="82"/>
      <c r="AA911" s="90"/>
      <c r="AB911" s="241"/>
      <c r="AC911" s="241"/>
      <c r="AD911" s="241"/>
      <c r="AE911" s="82"/>
      <c r="AF911" s="82"/>
      <c r="AG911" s="90"/>
      <c r="AH911" s="90"/>
      <c r="AI911" s="90"/>
      <c r="AJ911" s="90"/>
      <c r="AK911" s="82"/>
      <c r="AL911" s="82" t="str" cm="1">
        <f t="array" aca="1" ref="AL911" ca="1">_xlfn.IFS(
 AND($AK911&lt;&gt;"", M911&lt;&gt;0, M911&lt;=EDATE(TODAY(),2)),"도래",
 AND($AK911&lt;&gt;"", M911&lt;&gt;0, M911&lt;=EDATE(TODAY(),3)),"예정",
 AND($AK911&lt;&gt;"", M911&lt;&gt;0, M911&lt;=EDATE(TODAY(),6)),"관심",
 TRUE,""
)</f>
        <v/>
      </c>
      <c r="AM911" s="86"/>
    </row>
    <row r="912" spans="1:39" ht="18" customHeight="1">
      <c r="A912" s="81"/>
      <c r="B912" s="205" t="str">
        <f>_xlfn.LET(_xlpm.var,◆관리정보!B912,IF(_xlpm.var&lt;&gt;0,_xlpm.var,""))</f>
        <v/>
      </c>
      <c r="C912" s="82" t="str">
        <f>_xlfn.LET(_xlpm.var,◆관리정보!C912,IF(_xlpm.var&lt;&gt;0,_xlpm.var,""))</f>
        <v/>
      </c>
      <c r="D912" s="83"/>
      <c r="E912" s="84" t="str">
        <f t="shared" si="27"/>
        <v/>
      </c>
      <c r="F912" s="87"/>
      <c r="G912" s="229"/>
      <c r="H912" s="229"/>
      <c r="I912" s="229"/>
      <c r="J912" s="229"/>
      <c r="K912" s="218"/>
      <c r="L912" s="87"/>
      <c r="M912" s="87"/>
      <c r="N912" s="82"/>
      <c r="O912" s="82"/>
      <c r="P912" s="241"/>
      <c r="Q912" s="241"/>
      <c r="R912" s="82"/>
      <c r="S912" s="241"/>
      <c r="T912" s="82"/>
      <c r="U912" s="241"/>
      <c r="V912" s="82"/>
      <c r="W912" s="88"/>
      <c r="X912" s="82"/>
      <c r="Y912" s="89"/>
      <c r="Z912" s="82"/>
      <c r="AA912" s="90"/>
      <c r="AB912" s="241"/>
      <c r="AC912" s="241"/>
      <c r="AD912" s="241"/>
      <c r="AE912" s="82"/>
      <c r="AF912" s="82"/>
      <c r="AG912" s="90"/>
      <c r="AH912" s="90"/>
      <c r="AI912" s="90"/>
      <c r="AJ912" s="90"/>
      <c r="AK912" s="82"/>
      <c r="AL912" s="82" t="str" cm="1">
        <f t="array" aca="1" ref="AL912" ca="1">_xlfn.IFS(
 AND($AK912&lt;&gt;"", M912&lt;&gt;0, M912&lt;=EDATE(TODAY(),2)),"도래",
 AND($AK912&lt;&gt;"", M912&lt;&gt;0, M912&lt;=EDATE(TODAY(),3)),"예정",
 AND($AK912&lt;&gt;"", M912&lt;&gt;0, M912&lt;=EDATE(TODAY(),6)),"관심",
 TRUE,""
)</f>
        <v/>
      </c>
      <c r="AM912" s="86"/>
    </row>
    <row r="913" spans="1:39" ht="18" customHeight="1">
      <c r="A913" s="81"/>
      <c r="B913" s="205" t="str">
        <f>_xlfn.LET(_xlpm.var,◆관리정보!B913,IF(_xlpm.var&lt;&gt;0,_xlpm.var,""))</f>
        <v/>
      </c>
      <c r="C913" s="82" t="str">
        <f>_xlfn.LET(_xlpm.var,◆관리정보!C913,IF(_xlpm.var&lt;&gt;0,_xlpm.var,""))</f>
        <v/>
      </c>
      <c r="D913" s="83"/>
      <c r="E913" s="84" t="str">
        <f t="shared" si="27"/>
        <v/>
      </c>
      <c r="F913" s="87"/>
      <c r="G913" s="229"/>
      <c r="H913" s="229"/>
      <c r="I913" s="229"/>
      <c r="J913" s="229"/>
      <c r="K913" s="218"/>
      <c r="L913" s="87"/>
      <c r="M913" s="87"/>
      <c r="N913" s="82"/>
      <c r="O913" s="82"/>
      <c r="P913" s="241"/>
      <c r="Q913" s="241"/>
      <c r="R913" s="82"/>
      <c r="S913" s="241"/>
      <c r="T913" s="82"/>
      <c r="U913" s="241"/>
      <c r="V913" s="82"/>
      <c r="W913" s="88"/>
      <c r="X913" s="82"/>
      <c r="Y913" s="89"/>
      <c r="Z913" s="82"/>
      <c r="AA913" s="90"/>
      <c r="AB913" s="241"/>
      <c r="AC913" s="241"/>
      <c r="AD913" s="241"/>
      <c r="AE913" s="82"/>
      <c r="AF913" s="82"/>
      <c r="AG913" s="90"/>
      <c r="AH913" s="90"/>
      <c r="AI913" s="90"/>
      <c r="AJ913" s="90"/>
      <c r="AK913" s="82"/>
      <c r="AL913" s="82" t="str" cm="1">
        <f t="array" aca="1" ref="AL913" ca="1">_xlfn.IFS(
 AND($AK913&lt;&gt;"", M913&lt;&gt;0, M913&lt;=EDATE(TODAY(),2)),"도래",
 AND($AK913&lt;&gt;"", M913&lt;&gt;0, M913&lt;=EDATE(TODAY(),3)),"예정",
 AND($AK913&lt;&gt;"", M913&lt;&gt;0, M913&lt;=EDATE(TODAY(),6)),"관심",
 TRUE,""
)</f>
        <v/>
      </c>
      <c r="AM913" s="86"/>
    </row>
    <row r="914" spans="1:39" ht="18" customHeight="1">
      <c r="A914" s="81"/>
      <c r="B914" s="205" t="str">
        <f>_xlfn.LET(_xlpm.var,◆관리정보!B914,IF(_xlpm.var&lt;&gt;0,_xlpm.var,""))</f>
        <v/>
      </c>
      <c r="C914" s="82" t="str">
        <f>_xlfn.LET(_xlpm.var,◆관리정보!C914,IF(_xlpm.var&lt;&gt;0,_xlpm.var,""))</f>
        <v/>
      </c>
      <c r="D914" s="83"/>
      <c r="E914" s="84" t="str">
        <f t="shared" si="27"/>
        <v/>
      </c>
      <c r="F914" s="87"/>
      <c r="G914" s="229"/>
      <c r="H914" s="229"/>
      <c r="I914" s="229"/>
      <c r="J914" s="229"/>
      <c r="K914" s="218"/>
      <c r="L914" s="87"/>
      <c r="M914" s="87"/>
      <c r="N914" s="82"/>
      <c r="O914" s="82"/>
      <c r="P914" s="241"/>
      <c r="Q914" s="241"/>
      <c r="R914" s="82"/>
      <c r="S914" s="241"/>
      <c r="T914" s="82"/>
      <c r="U914" s="241"/>
      <c r="V914" s="82"/>
      <c r="W914" s="88"/>
      <c r="X914" s="82"/>
      <c r="Y914" s="89"/>
      <c r="Z914" s="82"/>
      <c r="AA914" s="90"/>
      <c r="AB914" s="241"/>
      <c r="AC914" s="241"/>
      <c r="AD914" s="241"/>
      <c r="AE914" s="82"/>
      <c r="AF914" s="82"/>
      <c r="AG914" s="90"/>
      <c r="AH914" s="90"/>
      <c r="AI914" s="90"/>
      <c r="AJ914" s="90"/>
      <c r="AK914" s="82"/>
      <c r="AL914" s="82" t="str" cm="1">
        <f t="array" aca="1" ref="AL914" ca="1">_xlfn.IFS(
 AND($AK914&lt;&gt;"", M914&lt;&gt;0, M914&lt;=EDATE(TODAY(),2)),"도래",
 AND($AK914&lt;&gt;"", M914&lt;&gt;0, M914&lt;=EDATE(TODAY(),3)),"예정",
 AND($AK914&lt;&gt;"", M914&lt;&gt;0, M914&lt;=EDATE(TODAY(),6)),"관심",
 TRUE,""
)</f>
        <v/>
      </c>
      <c r="AM914" s="86"/>
    </row>
    <row r="915" spans="1:39" ht="18" customHeight="1">
      <c r="A915" s="81"/>
      <c r="B915" s="205" t="str">
        <f>_xlfn.LET(_xlpm.var,◆관리정보!B915,IF(_xlpm.var&lt;&gt;0,_xlpm.var,""))</f>
        <v/>
      </c>
      <c r="C915" s="82" t="str">
        <f>_xlfn.LET(_xlpm.var,◆관리정보!C915,IF(_xlpm.var&lt;&gt;0,_xlpm.var,""))</f>
        <v/>
      </c>
      <c r="D915" s="83"/>
      <c r="E915" s="84" t="str">
        <f t="shared" si="27"/>
        <v/>
      </c>
      <c r="F915" s="87"/>
      <c r="G915" s="229"/>
      <c r="H915" s="229"/>
      <c r="I915" s="229"/>
      <c r="J915" s="229"/>
      <c r="K915" s="218"/>
      <c r="L915" s="87"/>
      <c r="M915" s="87"/>
      <c r="N915" s="82"/>
      <c r="O915" s="82"/>
      <c r="P915" s="241"/>
      <c r="Q915" s="241"/>
      <c r="R915" s="82"/>
      <c r="S915" s="241"/>
      <c r="T915" s="82"/>
      <c r="U915" s="241"/>
      <c r="V915" s="82"/>
      <c r="W915" s="88"/>
      <c r="X915" s="82"/>
      <c r="Y915" s="89"/>
      <c r="Z915" s="82"/>
      <c r="AA915" s="90"/>
      <c r="AB915" s="241"/>
      <c r="AC915" s="241"/>
      <c r="AD915" s="241"/>
      <c r="AE915" s="82"/>
      <c r="AF915" s="82"/>
      <c r="AG915" s="90"/>
      <c r="AH915" s="90"/>
      <c r="AI915" s="90"/>
      <c r="AJ915" s="90"/>
      <c r="AK915" s="82"/>
      <c r="AL915" s="82" t="str" cm="1">
        <f t="array" aca="1" ref="AL915" ca="1">_xlfn.IFS(
 AND($AK915&lt;&gt;"", M915&lt;&gt;0, M915&lt;=EDATE(TODAY(),2)),"도래",
 AND($AK915&lt;&gt;"", M915&lt;&gt;0, M915&lt;=EDATE(TODAY(),3)),"예정",
 AND($AK915&lt;&gt;"", M915&lt;&gt;0, M915&lt;=EDATE(TODAY(),6)),"관심",
 TRUE,""
)</f>
        <v/>
      </c>
      <c r="AM915" s="86"/>
    </row>
    <row r="916" spans="1:39" ht="18" customHeight="1">
      <c r="A916" s="81"/>
      <c r="B916" s="205" t="str">
        <f>_xlfn.LET(_xlpm.var,◆관리정보!B916,IF(_xlpm.var&lt;&gt;0,_xlpm.var,""))</f>
        <v/>
      </c>
      <c r="C916" s="82" t="str">
        <f>_xlfn.LET(_xlpm.var,◆관리정보!C916,IF(_xlpm.var&lt;&gt;0,_xlpm.var,""))</f>
        <v/>
      </c>
      <c r="D916" s="83"/>
      <c r="E916" s="84" t="str">
        <f t="shared" si="27"/>
        <v/>
      </c>
      <c r="F916" s="87"/>
      <c r="G916" s="229"/>
      <c r="H916" s="229"/>
      <c r="I916" s="229"/>
      <c r="J916" s="229"/>
      <c r="K916" s="218"/>
      <c r="L916" s="87"/>
      <c r="M916" s="87"/>
      <c r="N916" s="82"/>
      <c r="O916" s="82"/>
      <c r="P916" s="241"/>
      <c r="Q916" s="241"/>
      <c r="R916" s="82"/>
      <c r="S916" s="241"/>
      <c r="T916" s="82"/>
      <c r="U916" s="241"/>
      <c r="V916" s="82"/>
      <c r="W916" s="88"/>
      <c r="X916" s="82"/>
      <c r="Y916" s="89"/>
      <c r="Z916" s="82"/>
      <c r="AA916" s="90"/>
      <c r="AB916" s="241"/>
      <c r="AC916" s="241"/>
      <c r="AD916" s="241"/>
      <c r="AE916" s="82"/>
      <c r="AF916" s="82"/>
      <c r="AG916" s="90"/>
      <c r="AH916" s="90"/>
      <c r="AI916" s="90"/>
      <c r="AJ916" s="90"/>
      <c r="AK916" s="82"/>
      <c r="AL916" s="82" t="str" cm="1">
        <f t="array" aca="1" ref="AL916" ca="1">_xlfn.IFS(
 AND($AK916&lt;&gt;"", M916&lt;&gt;0, M916&lt;=EDATE(TODAY(),2)),"도래",
 AND($AK916&lt;&gt;"", M916&lt;&gt;0, M916&lt;=EDATE(TODAY(),3)),"예정",
 AND($AK916&lt;&gt;"", M916&lt;&gt;0, M916&lt;=EDATE(TODAY(),6)),"관심",
 TRUE,""
)</f>
        <v/>
      </c>
      <c r="AM916" s="86"/>
    </row>
    <row r="917" spans="1:39" ht="18" customHeight="1">
      <c r="A917" s="81"/>
      <c r="B917" s="205" t="str">
        <f>_xlfn.LET(_xlpm.var,◆관리정보!B917,IF(_xlpm.var&lt;&gt;0,_xlpm.var,""))</f>
        <v/>
      </c>
      <c r="C917" s="82" t="str">
        <f>_xlfn.LET(_xlpm.var,◆관리정보!C917,IF(_xlpm.var&lt;&gt;0,_xlpm.var,""))</f>
        <v/>
      </c>
      <c r="D917" s="83"/>
      <c r="E917" s="84" t="str">
        <f t="shared" si="27"/>
        <v/>
      </c>
      <c r="F917" s="87"/>
      <c r="G917" s="229"/>
      <c r="H917" s="229"/>
      <c r="I917" s="229"/>
      <c r="J917" s="229"/>
      <c r="K917" s="218"/>
      <c r="L917" s="87"/>
      <c r="M917" s="87"/>
      <c r="N917" s="82"/>
      <c r="O917" s="82"/>
      <c r="P917" s="241"/>
      <c r="Q917" s="241"/>
      <c r="R917" s="82"/>
      <c r="S917" s="241"/>
      <c r="T917" s="82"/>
      <c r="U917" s="241"/>
      <c r="V917" s="82"/>
      <c r="W917" s="88"/>
      <c r="X917" s="82"/>
      <c r="Y917" s="89"/>
      <c r="Z917" s="82"/>
      <c r="AA917" s="90"/>
      <c r="AB917" s="241"/>
      <c r="AC917" s="241"/>
      <c r="AD917" s="241"/>
      <c r="AE917" s="82"/>
      <c r="AF917" s="82"/>
      <c r="AG917" s="90"/>
      <c r="AH917" s="90"/>
      <c r="AI917" s="90"/>
      <c r="AJ917" s="90"/>
      <c r="AK917" s="82"/>
      <c r="AL917" s="82" t="str" cm="1">
        <f t="array" aca="1" ref="AL917" ca="1">_xlfn.IFS(
 AND($AK917&lt;&gt;"", M917&lt;&gt;0, M917&lt;=EDATE(TODAY(),2)),"도래",
 AND($AK917&lt;&gt;"", M917&lt;&gt;0, M917&lt;=EDATE(TODAY(),3)),"예정",
 AND($AK917&lt;&gt;"", M917&lt;&gt;0, M917&lt;=EDATE(TODAY(),6)),"관심",
 TRUE,""
)</f>
        <v/>
      </c>
      <c r="AM917" s="86"/>
    </row>
    <row r="918" spans="1:39" ht="18" customHeight="1">
      <c r="A918" s="81"/>
      <c r="B918" s="205" t="str">
        <f>_xlfn.LET(_xlpm.var,◆관리정보!B918,IF(_xlpm.var&lt;&gt;0,_xlpm.var,""))</f>
        <v/>
      </c>
      <c r="C918" s="82" t="str">
        <f>_xlfn.LET(_xlpm.var,◆관리정보!C918,IF(_xlpm.var&lt;&gt;0,_xlpm.var,""))</f>
        <v/>
      </c>
      <c r="D918" s="83"/>
      <c r="E918" s="84" t="str">
        <f t="shared" si="27"/>
        <v/>
      </c>
      <c r="F918" s="87"/>
      <c r="G918" s="229"/>
      <c r="H918" s="229"/>
      <c r="I918" s="229"/>
      <c r="J918" s="229"/>
      <c r="K918" s="218"/>
      <c r="L918" s="87"/>
      <c r="M918" s="87"/>
      <c r="N918" s="82"/>
      <c r="O918" s="82"/>
      <c r="P918" s="241"/>
      <c r="Q918" s="241"/>
      <c r="R918" s="82"/>
      <c r="S918" s="241"/>
      <c r="T918" s="82"/>
      <c r="U918" s="241"/>
      <c r="V918" s="82"/>
      <c r="W918" s="88"/>
      <c r="X918" s="82"/>
      <c r="Y918" s="89"/>
      <c r="Z918" s="82"/>
      <c r="AA918" s="90"/>
      <c r="AB918" s="241"/>
      <c r="AC918" s="241"/>
      <c r="AD918" s="241"/>
      <c r="AE918" s="82"/>
      <c r="AF918" s="82"/>
      <c r="AG918" s="90"/>
      <c r="AH918" s="90"/>
      <c r="AI918" s="90"/>
      <c r="AJ918" s="90"/>
      <c r="AK918" s="82"/>
      <c r="AL918" s="82" t="str" cm="1">
        <f t="array" aca="1" ref="AL918" ca="1">_xlfn.IFS(
 AND($AK918&lt;&gt;"", M918&lt;&gt;0, M918&lt;=EDATE(TODAY(),2)),"도래",
 AND($AK918&lt;&gt;"", M918&lt;&gt;0, M918&lt;=EDATE(TODAY(),3)),"예정",
 AND($AK918&lt;&gt;"", M918&lt;&gt;0, M918&lt;=EDATE(TODAY(),6)),"관심",
 TRUE,""
)</f>
        <v/>
      </c>
      <c r="AM918" s="86"/>
    </row>
    <row r="919" spans="1:39" ht="18" customHeight="1">
      <c r="A919" s="81"/>
      <c r="B919" s="205" t="str">
        <f>_xlfn.LET(_xlpm.var,◆관리정보!B919,IF(_xlpm.var&lt;&gt;0,_xlpm.var,""))</f>
        <v/>
      </c>
      <c r="C919" s="82" t="str">
        <f>_xlfn.LET(_xlpm.var,◆관리정보!C919,IF(_xlpm.var&lt;&gt;0,_xlpm.var,""))</f>
        <v/>
      </c>
      <c r="D919" s="83"/>
      <c r="E919" s="84" t="str">
        <f t="shared" si="27"/>
        <v/>
      </c>
      <c r="F919" s="87"/>
      <c r="G919" s="229"/>
      <c r="H919" s="229"/>
      <c r="I919" s="229"/>
      <c r="J919" s="229"/>
      <c r="K919" s="218"/>
      <c r="L919" s="87"/>
      <c r="M919" s="87"/>
      <c r="N919" s="82"/>
      <c r="O919" s="82"/>
      <c r="P919" s="241"/>
      <c r="Q919" s="241"/>
      <c r="R919" s="82"/>
      <c r="S919" s="241"/>
      <c r="T919" s="82"/>
      <c r="U919" s="241"/>
      <c r="V919" s="82"/>
      <c r="W919" s="88"/>
      <c r="X919" s="82"/>
      <c r="Y919" s="89"/>
      <c r="Z919" s="82"/>
      <c r="AA919" s="90"/>
      <c r="AB919" s="241"/>
      <c r="AC919" s="241"/>
      <c r="AD919" s="241"/>
      <c r="AE919" s="82"/>
      <c r="AF919" s="82"/>
      <c r="AG919" s="90"/>
      <c r="AH919" s="90"/>
      <c r="AI919" s="90"/>
      <c r="AJ919" s="90"/>
      <c r="AK919" s="82"/>
      <c r="AL919" s="82" t="str" cm="1">
        <f t="array" aca="1" ref="AL919" ca="1">_xlfn.IFS(
 AND($AK919&lt;&gt;"", M919&lt;&gt;0, M919&lt;=EDATE(TODAY(),2)),"도래",
 AND($AK919&lt;&gt;"", M919&lt;&gt;0, M919&lt;=EDATE(TODAY(),3)),"예정",
 AND($AK919&lt;&gt;"", M919&lt;&gt;0, M919&lt;=EDATE(TODAY(),6)),"관심",
 TRUE,""
)</f>
        <v/>
      </c>
      <c r="AM919" s="86"/>
    </row>
    <row r="920" spans="1:39" ht="18" customHeight="1">
      <c r="A920" s="81"/>
      <c r="B920" s="205" t="str">
        <f>_xlfn.LET(_xlpm.var,◆관리정보!B920,IF(_xlpm.var&lt;&gt;0,_xlpm.var,""))</f>
        <v/>
      </c>
      <c r="C920" s="82" t="str">
        <f>_xlfn.LET(_xlpm.var,◆관리정보!C920,IF(_xlpm.var&lt;&gt;0,_xlpm.var,""))</f>
        <v/>
      </c>
      <c r="D920" s="83"/>
      <c r="E920" s="84" t="str">
        <f t="shared" si="27"/>
        <v/>
      </c>
      <c r="F920" s="87"/>
      <c r="G920" s="229"/>
      <c r="H920" s="229"/>
      <c r="I920" s="229"/>
      <c r="J920" s="229"/>
      <c r="K920" s="218"/>
      <c r="L920" s="87"/>
      <c r="M920" s="87"/>
      <c r="N920" s="82"/>
      <c r="O920" s="82"/>
      <c r="P920" s="241"/>
      <c r="Q920" s="241"/>
      <c r="R920" s="82"/>
      <c r="S920" s="241"/>
      <c r="T920" s="82"/>
      <c r="U920" s="241"/>
      <c r="V920" s="82"/>
      <c r="W920" s="88"/>
      <c r="X920" s="82"/>
      <c r="Y920" s="89"/>
      <c r="Z920" s="82"/>
      <c r="AA920" s="90"/>
      <c r="AB920" s="241"/>
      <c r="AC920" s="241"/>
      <c r="AD920" s="241"/>
      <c r="AE920" s="82"/>
      <c r="AF920" s="82"/>
      <c r="AG920" s="90"/>
      <c r="AH920" s="90"/>
      <c r="AI920" s="90"/>
      <c r="AJ920" s="90"/>
      <c r="AK920" s="82"/>
      <c r="AL920" s="82" t="str" cm="1">
        <f t="array" aca="1" ref="AL920" ca="1">_xlfn.IFS(
 AND($AK920&lt;&gt;"", M920&lt;&gt;0, M920&lt;=EDATE(TODAY(),2)),"도래",
 AND($AK920&lt;&gt;"", M920&lt;&gt;0, M920&lt;=EDATE(TODAY(),3)),"예정",
 AND($AK920&lt;&gt;"", M920&lt;&gt;0, M920&lt;=EDATE(TODAY(),6)),"관심",
 TRUE,""
)</f>
        <v/>
      </c>
      <c r="AM920" s="86"/>
    </row>
    <row r="921" spans="1:39" ht="18" customHeight="1">
      <c r="A921" s="81"/>
      <c r="B921" s="205" t="str">
        <f>_xlfn.LET(_xlpm.var,◆관리정보!B921,IF(_xlpm.var&lt;&gt;0,_xlpm.var,""))</f>
        <v/>
      </c>
      <c r="C921" s="82" t="str">
        <f>_xlfn.LET(_xlpm.var,◆관리정보!C921,IF(_xlpm.var&lt;&gt;0,_xlpm.var,""))</f>
        <v/>
      </c>
      <c r="D921" s="83"/>
      <c r="E921" s="84" t="str">
        <f t="shared" si="27"/>
        <v/>
      </c>
      <c r="F921" s="87"/>
      <c r="G921" s="229"/>
      <c r="H921" s="229"/>
      <c r="I921" s="229"/>
      <c r="J921" s="229"/>
      <c r="K921" s="218"/>
      <c r="L921" s="87"/>
      <c r="M921" s="87"/>
      <c r="N921" s="82"/>
      <c r="O921" s="82"/>
      <c r="P921" s="241"/>
      <c r="Q921" s="241"/>
      <c r="R921" s="82"/>
      <c r="S921" s="241"/>
      <c r="T921" s="82"/>
      <c r="U921" s="241"/>
      <c r="V921" s="82"/>
      <c r="W921" s="88"/>
      <c r="X921" s="82"/>
      <c r="Y921" s="89"/>
      <c r="Z921" s="82"/>
      <c r="AA921" s="90"/>
      <c r="AB921" s="241"/>
      <c r="AC921" s="241"/>
      <c r="AD921" s="241"/>
      <c r="AE921" s="82"/>
      <c r="AF921" s="82"/>
      <c r="AG921" s="90"/>
      <c r="AH921" s="90"/>
      <c r="AI921" s="90"/>
      <c r="AJ921" s="90"/>
      <c r="AK921" s="82"/>
      <c r="AL921" s="82" t="str" cm="1">
        <f t="array" aca="1" ref="AL921" ca="1">_xlfn.IFS(
 AND($AK921&lt;&gt;"", M921&lt;&gt;0, M921&lt;=EDATE(TODAY(),2)),"도래",
 AND($AK921&lt;&gt;"", M921&lt;&gt;0, M921&lt;=EDATE(TODAY(),3)),"예정",
 AND($AK921&lt;&gt;"", M921&lt;&gt;0, M921&lt;=EDATE(TODAY(),6)),"관심",
 TRUE,""
)</f>
        <v/>
      </c>
      <c r="AM921" s="86"/>
    </row>
    <row r="922" spans="1:39" ht="18" customHeight="1">
      <c r="A922" s="81"/>
      <c r="B922" s="205" t="str">
        <f>_xlfn.LET(_xlpm.var,◆관리정보!B922,IF(_xlpm.var&lt;&gt;0,_xlpm.var,""))</f>
        <v/>
      </c>
      <c r="C922" s="82" t="str">
        <f>_xlfn.LET(_xlpm.var,◆관리정보!C922,IF(_xlpm.var&lt;&gt;0,_xlpm.var,""))</f>
        <v/>
      </c>
      <c r="D922" s="83"/>
      <c r="E922" s="84" t="str">
        <f t="shared" si="27"/>
        <v/>
      </c>
      <c r="F922" s="87"/>
      <c r="G922" s="229"/>
      <c r="H922" s="229"/>
      <c r="I922" s="229"/>
      <c r="J922" s="229"/>
      <c r="K922" s="218"/>
      <c r="L922" s="87"/>
      <c r="M922" s="87"/>
      <c r="N922" s="82"/>
      <c r="O922" s="82"/>
      <c r="P922" s="241"/>
      <c r="Q922" s="241"/>
      <c r="R922" s="82"/>
      <c r="S922" s="241"/>
      <c r="T922" s="82"/>
      <c r="U922" s="241"/>
      <c r="V922" s="82"/>
      <c r="W922" s="88"/>
      <c r="X922" s="82"/>
      <c r="Y922" s="89"/>
      <c r="Z922" s="82"/>
      <c r="AA922" s="90"/>
      <c r="AB922" s="241"/>
      <c r="AC922" s="241"/>
      <c r="AD922" s="241"/>
      <c r="AE922" s="82"/>
      <c r="AF922" s="82"/>
      <c r="AG922" s="90"/>
      <c r="AH922" s="90"/>
      <c r="AI922" s="90"/>
      <c r="AJ922" s="90"/>
      <c r="AK922" s="82"/>
      <c r="AL922" s="82" t="str" cm="1">
        <f t="array" aca="1" ref="AL922" ca="1">_xlfn.IFS(
 AND($AK922&lt;&gt;"", M922&lt;&gt;0, M922&lt;=EDATE(TODAY(),2)),"도래",
 AND($AK922&lt;&gt;"", M922&lt;&gt;0, M922&lt;=EDATE(TODAY(),3)),"예정",
 AND($AK922&lt;&gt;"", M922&lt;&gt;0, M922&lt;=EDATE(TODAY(),6)),"관심",
 TRUE,""
)</f>
        <v/>
      </c>
      <c r="AM922" s="86"/>
    </row>
    <row r="923" spans="1:39" ht="18" customHeight="1">
      <c r="A923" s="81"/>
      <c r="B923" s="205" t="str">
        <f>_xlfn.LET(_xlpm.var,◆관리정보!B923,IF(_xlpm.var&lt;&gt;0,_xlpm.var,""))</f>
        <v/>
      </c>
      <c r="C923" s="82" t="str">
        <f>_xlfn.LET(_xlpm.var,◆관리정보!C923,IF(_xlpm.var&lt;&gt;0,_xlpm.var,""))</f>
        <v/>
      </c>
      <c r="D923" s="83"/>
      <c r="E923" s="84" t="str">
        <f t="shared" si="27"/>
        <v/>
      </c>
      <c r="F923" s="87"/>
      <c r="G923" s="229"/>
      <c r="H923" s="229"/>
      <c r="I923" s="229"/>
      <c r="J923" s="229"/>
      <c r="K923" s="218"/>
      <c r="L923" s="87"/>
      <c r="M923" s="87"/>
      <c r="N923" s="82"/>
      <c r="O923" s="82"/>
      <c r="P923" s="241"/>
      <c r="Q923" s="241"/>
      <c r="R923" s="82"/>
      <c r="S923" s="241"/>
      <c r="T923" s="82"/>
      <c r="U923" s="241"/>
      <c r="V923" s="82"/>
      <c r="W923" s="88"/>
      <c r="X923" s="82"/>
      <c r="Y923" s="89"/>
      <c r="Z923" s="82"/>
      <c r="AA923" s="90"/>
      <c r="AB923" s="241"/>
      <c r="AC923" s="241"/>
      <c r="AD923" s="241"/>
      <c r="AE923" s="82"/>
      <c r="AF923" s="82"/>
      <c r="AG923" s="90"/>
      <c r="AH923" s="90"/>
      <c r="AI923" s="90"/>
      <c r="AJ923" s="90"/>
      <c r="AK923" s="82"/>
      <c r="AL923" s="82" t="str" cm="1">
        <f t="array" aca="1" ref="AL923" ca="1">_xlfn.IFS(
 AND($AK923&lt;&gt;"", M923&lt;&gt;0, M923&lt;=EDATE(TODAY(),2)),"도래",
 AND($AK923&lt;&gt;"", M923&lt;&gt;0, M923&lt;=EDATE(TODAY(),3)),"예정",
 AND($AK923&lt;&gt;"", M923&lt;&gt;0, M923&lt;=EDATE(TODAY(),6)),"관심",
 TRUE,""
)</f>
        <v/>
      </c>
      <c r="AM923" s="86"/>
    </row>
    <row r="924" spans="1:39" ht="18" customHeight="1">
      <c r="A924" s="81"/>
      <c r="B924" s="205" t="str">
        <f>_xlfn.LET(_xlpm.var,◆관리정보!B924,IF(_xlpm.var&lt;&gt;0,_xlpm.var,""))</f>
        <v/>
      </c>
      <c r="C924" s="82" t="str">
        <f>_xlfn.LET(_xlpm.var,◆관리정보!C924,IF(_xlpm.var&lt;&gt;0,_xlpm.var,""))</f>
        <v/>
      </c>
      <c r="D924" s="83"/>
      <c r="E924" s="84" t="str">
        <f t="shared" si="27"/>
        <v/>
      </c>
      <c r="F924" s="87"/>
      <c r="G924" s="229"/>
      <c r="H924" s="229"/>
      <c r="I924" s="229"/>
      <c r="J924" s="229"/>
      <c r="K924" s="218"/>
      <c r="L924" s="87"/>
      <c r="M924" s="87"/>
      <c r="N924" s="82"/>
      <c r="O924" s="82"/>
      <c r="P924" s="241"/>
      <c r="Q924" s="241"/>
      <c r="R924" s="82"/>
      <c r="S924" s="241"/>
      <c r="T924" s="82"/>
      <c r="U924" s="241"/>
      <c r="V924" s="82"/>
      <c r="W924" s="88"/>
      <c r="X924" s="82"/>
      <c r="Y924" s="89"/>
      <c r="Z924" s="82"/>
      <c r="AA924" s="90"/>
      <c r="AB924" s="241"/>
      <c r="AC924" s="241"/>
      <c r="AD924" s="241"/>
      <c r="AE924" s="82"/>
      <c r="AF924" s="82"/>
      <c r="AG924" s="90"/>
      <c r="AH924" s="90"/>
      <c r="AI924" s="90"/>
      <c r="AJ924" s="90"/>
      <c r="AK924" s="82"/>
      <c r="AL924" s="82" t="str" cm="1">
        <f t="array" aca="1" ref="AL924" ca="1">_xlfn.IFS(
 AND($AK924&lt;&gt;"", M924&lt;&gt;0, M924&lt;=EDATE(TODAY(),2)),"도래",
 AND($AK924&lt;&gt;"", M924&lt;&gt;0, M924&lt;=EDATE(TODAY(),3)),"예정",
 AND($AK924&lt;&gt;"", M924&lt;&gt;0, M924&lt;=EDATE(TODAY(),6)),"관심",
 TRUE,""
)</f>
        <v/>
      </c>
      <c r="AM924" s="86"/>
    </row>
    <row r="925" spans="1:39" ht="18" customHeight="1">
      <c r="A925" s="81"/>
      <c r="B925" s="205" t="str">
        <f>_xlfn.LET(_xlpm.var,◆관리정보!B925,IF(_xlpm.var&lt;&gt;0,_xlpm.var,""))</f>
        <v/>
      </c>
      <c r="C925" s="82" t="str">
        <f>_xlfn.LET(_xlpm.var,◆관리정보!C925,IF(_xlpm.var&lt;&gt;0,_xlpm.var,""))</f>
        <v/>
      </c>
      <c r="D925" s="83"/>
      <c r="E925" s="84" t="str">
        <f t="shared" si="27"/>
        <v/>
      </c>
      <c r="F925" s="87"/>
      <c r="G925" s="229"/>
      <c r="H925" s="229"/>
      <c r="I925" s="229"/>
      <c r="J925" s="229"/>
      <c r="K925" s="218"/>
      <c r="L925" s="87"/>
      <c r="M925" s="87"/>
      <c r="N925" s="82"/>
      <c r="O925" s="82"/>
      <c r="P925" s="241"/>
      <c r="Q925" s="241"/>
      <c r="R925" s="82"/>
      <c r="S925" s="241"/>
      <c r="T925" s="82"/>
      <c r="U925" s="241"/>
      <c r="V925" s="82"/>
      <c r="W925" s="88"/>
      <c r="X925" s="82"/>
      <c r="Y925" s="89"/>
      <c r="Z925" s="82"/>
      <c r="AA925" s="90"/>
      <c r="AB925" s="241"/>
      <c r="AC925" s="241"/>
      <c r="AD925" s="241"/>
      <c r="AE925" s="82"/>
      <c r="AF925" s="82"/>
      <c r="AG925" s="90"/>
      <c r="AH925" s="90"/>
      <c r="AI925" s="90"/>
      <c r="AJ925" s="90"/>
      <c r="AK925" s="82"/>
      <c r="AL925" s="82" t="str" cm="1">
        <f t="array" aca="1" ref="AL925" ca="1">_xlfn.IFS(
 AND($AK925&lt;&gt;"", M925&lt;&gt;0, M925&lt;=EDATE(TODAY(),2)),"도래",
 AND($AK925&lt;&gt;"", M925&lt;&gt;0, M925&lt;=EDATE(TODAY(),3)),"예정",
 AND($AK925&lt;&gt;"", M925&lt;&gt;0, M925&lt;=EDATE(TODAY(),6)),"관심",
 TRUE,""
)</f>
        <v/>
      </c>
      <c r="AM925" s="86"/>
    </row>
    <row r="926" spans="1:39" ht="18" customHeight="1">
      <c r="A926" s="81"/>
      <c r="B926" s="205" t="str">
        <f>_xlfn.LET(_xlpm.var,◆관리정보!B926,IF(_xlpm.var&lt;&gt;0,_xlpm.var,""))</f>
        <v/>
      </c>
      <c r="C926" s="82" t="str">
        <f>_xlfn.LET(_xlpm.var,◆관리정보!C926,IF(_xlpm.var&lt;&gt;0,_xlpm.var,""))</f>
        <v/>
      </c>
      <c r="D926" s="83"/>
      <c r="E926" s="84" t="str">
        <f t="shared" si="27"/>
        <v/>
      </c>
      <c r="F926" s="87"/>
      <c r="G926" s="229"/>
      <c r="H926" s="229"/>
      <c r="I926" s="229"/>
      <c r="J926" s="229"/>
      <c r="K926" s="218"/>
      <c r="L926" s="87"/>
      <c r="M926" s="87"/>
      <c r="N926" s="82"/>
      <c r="O926" s="82"/>
      <c r="P926" s="241"/>
      <c r="Q926" s="241"/>
      <c r="R926" s="82"/>
      <c r="S926" s="241"/>
      <c r="T926" s="82"/>
      <c r="U926" s="241"/>
      <c r="V926" s="82"/>
      <c r="W926" s="88"/>
      <c r="X926" s="82"/>
      <c r="Y926" s="89"/>
      <c r="Z926" s="82"/>
      <c r="AA926" s="90"/>
      <c r="AB926" s="241"/>
      <c r="AC926" s="241"/>
      <c r="AD926" s="241"/>
      <c r="AE926" s="82"/>
      <c r="AF926" s="82"/>
      <c r="AG926" s="90"/>
      <c r="AH926" s="90"/>
      <c r="AI926" s="90"/>
      <c r="AJ926" s="90"/>
      <c r="AK926" s="82"/>
      <c r="AL926" s="82" t="str" cm="1">
        <f t="array" aca="1" ref="AL926" ca="1">_xlfn.IFS(
 AND($AK926&lt;&gt;"", M926&lt;&gt;0, M926&lt;=EDATE(TODAY(),2)),"도래",
 AND($AK926&lt;&gt;"", M926&lt;&gt;0, M926&lt;=EDATE(TODAY(),3)),"예정",
 AND($AK926&lt;&gt;"", M926&lt;&gt;0, M926&lt;=EDATE(TODAY(),6)),"관심",
 TRUE,""
)</f>
        <v/>
      </c>
      <c r="AM926" s="86"/>
    </row>
    <row r="927" spans="1:39" ht="18" customHeight="1">
      <c r="A927" s="81"/>
      <c r="B927" s="205" t="str">
        <f>_xlfn.LET(_xlpm.var,◆관리정보!B927,IF(_xlpm.var&lt;&gt;0,_xlpm.var,""))</f>
        <v/>
      </c>
      <c r="C927" s="82" t="str">
        <f>_xlfn.LET(_xlpm.var,◆관리정보!C927,IF(_xlpm.var&lt;&gt;0,_xlpm.var,""))</f>
        <v/>
      </c>
      <c r="D927" s="83"/>
      <c r="E927" s="84" t="str">
        <f t="shared" si="27"/>
        <v/>
      </c>
      <c r="F927" s="87"/>
      <c r="G927" s="229"/>
      <c r="H927" s="229"/>
      <c r="I927" s="229"/>
      <c r="J927" s="229"/>
      <c r="K927" s="218"/>
      <c r="L927" s="87"/>
      <c r="M927" s="87"/>
      <c r="N927" s="82"/>
      <c r="O927" s="82"/>
      <c r="P927" s="241"/>
      <c r="Q927" s="241"/>
      <c r="R927" s="82"/>
      <c r="S927" s="241"/>
      <c r="T927" s="82"/>
      <c r="U927" s="241"/>
      <c r="V927" s="82"/>
      <c r="W927" s="88"/>
      <c r="X927" s="82"/>
      <c r="Y927" s="89"/>
      <c r="Z927" s="82"/>
      <c r="AA927" s="90"/>
      <c r="AB927" s="241"/>
      <c r="AC927" s="241"/>
      <c r="AD927" s="241"/>
      <c r="AE927" s="82"/>
      <c r="AF927" s="82"/>
      <c r="AG927" s="90"/>
      <c r="AH927" s="90"/>
      <c r="AI927" s="90"/>
      <c r="AJ927" s="90"/>
      <c r="AK927" s="82"/>
      <c r="AL927" s="82" t="str" cm="1">
        <f t="array" aca="1" ref="AL927" ca="1">_xlfn.IFS(
 AND($AK927&lt;&gt;"", M927&lt;&gt;0, M927&lt;=EDATE(TODAY(),2)),"도래",
 AND($AK927&lt;&gt;"", M927&lt;&gt;0, M927&lt;=EDATE(TODAY(),3)),"예정",
 AND($AK927&lt;&gt;"", M927&lt;&gt;0, M927&lt;=EDATE(TODAY(),6)),"관심",
 TRUE,""
)</f>
        <v/>
      </c>
      <c r="AM927" s="86"/>
    </row>
    <row r="928" spans="1:39" ht="18" customHeight="1">
      <c r="A928" s="81"/>
      <c r="B928" s="205" t="str">
        <f>_xlfn.LET(_xlpm.var,◆관리정보!B928,IF(_xlpm.var&lt;&gt;0,_xlpm.var,""))</f>
        <v/>
      </c>
      <c r="C928" s="82" t="str">
        <f>_xlfn.LET(_xlpm.var,◆관리정보!C928,IF(_xlpm.var&lt;&gt;0,_xlpm.var,""))</f>
        <v/>
      </c>
      <c r="D928" s="83"/>
      <c r="E928" s="84" t="str">
        <f t="shared" si="27"/>
        <v/>
      </c>
      <c r="F928" s="87"/>
      <c r="G928" s="229"/>
      <c r="H928" s="229"/>
      <c r="I928" s="229"/>
      <c r="J928" s="229"/>
      <c r="K928" s="218"/>
      <c r="L928" s="87"/>
      <c r="M928" s="87"/>
      <c r="N928" s="82"/>
      <c r="O928" s="82"/>
      <c r="P928" s="241"/>
      <c r="Q928" s="241"/>
      <c r="R928" s="82"/>
      <c r="S928" s="241"/>
      <c r="T928" s="82"/>
      <c r="U928" s="241"/>
      <c r="V928" s="82"/>
      <c r="W928" s="88"/>
      <c r="X928" s="82"/>
      <c r="Y928" s="89"/>
      <c r="Z928" s="82"/>
      <c r="AA928" s="90"/>
      <c r="AB928" s="241"/>
      <c r="AC928" s="241"/>
      <c r="AD928" s="241"/>
      <c r="AE928" s="82"/>
      <c r="AF928" s="82"/>
      <c r="AG928" s="90"/>
      <c r="AH928" s="90"/>
      <c r="AI928" s="90"/>
      <c r="AJ928" s="90"/>
      <c r="AK928" s="82"/>
      <c r="AL928" s="82" t="str" cm="1">
        <f t="array" aca="1" ref="AL928" ca="1">_xlfn.IFS(
 AND($AK928&lt;&gt;"", M928&lt;&gt;0, M928&lt;=EDATE(TODAY(),2)),"도래",
 AND($AK928&lt;&gt;"", M928&lt;&gt;0, M928&lt;=EDATE(TODAY(),3)),"예정",
 AND($AK928&lt;&gt;"", M928&lt;&gt;0, M928&lt;=EDATE(TODAY(),6)),"관심",
 TRUE,""
)</f>
        <v/>
      </c>
      <c r="AM928" s="86"/>
    </row>
    <row r="929" spans="1:39" ht="18" customHeight="1">
      <c r="A929" s="81"/>
      <c r="B929" s="205" t="str">
        <f>_xlfn.LET(_xlpm.var,◆관리정보!B929,IF(_xlpm.var&lt;&gt;0,_xlpm.var,""))</f>
        <v/>
      </c>
      <c r="C929" s="82" t="str">
        <f>_xlfn.LET(_xlpm.var,◆관리정보!C929,IF(_xlpm.var&lt;&gt;0,_xlpm.var,""))</f>
        <v/>
      </c>
      <c r="D929" s="83"/>
      <c r="E929" s="84" t="str">
        <f t="shared" si="27"/>
        <v/>
      </c>
      <c r="F929" s="87"/>
      <c r="G929" s="229"/>
      <c r="H929" s="229"/>
      <c r="I929" s="229"/>
      <c r="J929" s="229"/>
      <c r="K929" s="218"/>
      <c r="L929" s="87"/>
      <c r="M929" s="87"/>
      <c r="N929" s="82"/>
      <c r="O929" s="82"/>
      <c r="P929" s="241"/>
      <c r="Q929" s="241"/>
      <c r="R929" s="82"/>
      <c r="S929" s="241"/>
      <c r="T929" s="82"/>
      <c r="U929" s="241"/>
      <c r="V929" s="82"/>
      <c r="W929" s="88"/>
      <c r="X929" s="82"/>
      <c r="Y929" s="89"/>
      <c r="Z929" s="82"/>
      <c r="AA929" s="90"/>
      <c r="AB929" s="241"/>
      <c r="AC929" s="241"/>
      <c r="AD929" s="241"/>
      <c r="AE929" s="82"/>
      <c r="AF929" s="82"/>
      <c r="AG929" s="90"/>
      <c r="AH929" s="90"/>
      <c r="AI929" s="90"/>
      <c r="AJ929" s="90"/>
      <c r="AK929" s="82"/>
      <c r="AL929" s="82" t="str" cm="1">
        <f t="array" aca="1" ref="AL929" ca="1">_xlfn.IFS(
 AND($AK929&lt;&gt;"", M929&lt;&gt;0, M929&lt;=EDATE(TODAY(),2)),"도래",
 AND($AK929&lt;&gt;"", M929&lt;&gt;0, M929&lt;=EDATE(TODAY(),3)),"예정",
 AND($AK929&lt;&gt;"", M929&lt;&gt;0, M929&lt;=EDATE(TODAY(),6)),"관심",
 TRUE,""
)</f>
        <v/>
      </c>
      <c r="AM929" s="86"/>
    </row>
    <row r="930" spans="1:39" ht="18" customHeight="1">
      <c r="A930" s="81"/>
      <c r="B930" s="205" t="str">
        <f>_xlfn.LET(_xlpm.var,◆관리정보!B930,IF(_xlpm.var&lt;&gt;0,_xlpm.var,""))</f>
        <v/>
      </c>
      <c r="C930" s="82" t="str">
        <f>_xlfn.LET(_xlpm.var,◆관리정보!C930,IF(_xlpm.var&lt;&gt;0,_xlpm.var,""))</f>
        <v/>
      </c>
      <c r="D930" s="83"/>
      <c r="E930" s="84" t="str">
        <f t="shared" si="27"/>
        <v/>
      </c>
      <c r="F930" s="87"/>
      <c r="G930" s="229"/>
      <c r="H930" s="229"/>
      <c r="I930" s="229"/>
      <c r="J930" s="229"/>
      <c r="K930" s="218"/>
      <c r="L930" s="87"/>
      <c r="M930" s="87"/>
      <c r="N930" s="82"/>
      <c r="O930" s="82"/>
      <c r="P930" s="241"/>
      <c r="Q930" s="241"/>
      <c r="R930" s="82"/>
      <c r="S930" s="241"/>
      <c r="T930" s="82"/>
      <c r="U930" s="241"/>
      <c r="V930" s="82"/>
      <c r="W930" s="88"/>
      <c r="X930" s="82"/>
      <c r="Y930" s="89"/>
      <c r="Z930" s="82"/>
      <c r="AA930" s="90"/>
      <c r="AB930" s="241"/>
      <c r="AC930" s="241"/>
      <c r="AD930" s="241"/>
      <c r="AE930" s="82"/>
      <c r="AF930" s="82"/>
      <c r="AG930" s="90"/>
      <c r="AH930" s="90"/>
      <c r="AI930" s="90"/>
      <c r="AJ930" s="90"/>
      <c r="AK930" s="82"/>
      <c r="AL930" s="82" t="str" cm="1">
        <f t="array" aca="1" ref="AL930" ca="1">_xlfn.IFS(
 AND($AK930&lt;&gt;"", M930&lt;&gt;0, M930&lt;=EDATE(TODAY(),2)),"도래",
 AND($AK930&lt;&gt;"", M930&lt;&gt;0, M930&lt;=EDATE(TODAY(),3)),"예정",
 AND($AK930&lt;&gt;"", M930&lt;&gt;0, M930&lt;=EDATE(TODAY(),6)),"관심",
 TRUE,""
)</f>
        <v/>
      </c>
      <c r="AM930" s="86"/>
    </row>
    <row r="931" spans="1:39" ht="18" customHeight="1">
      <c r="A931" s="81"/>
      <c r="B931" s="205" t="str">
        <f>_xlfn.LET(_xlpm.var,◆관리정보!B931,IF(_xlpm.var&lt;&gt;0,_xlpm.var,""))</f>
        <v/>
      </c>
      <c r="C931" s="82" t="str">
        <f>_xlfn.LET(_xlpm.var,◆관리정보!C931,IF(_xlpm.var&lt;&gt;0,_xlpm.var,""))</f>
        <v/>
      </c>
      <c r="D931" s="83"/>
      <c r="E931" s="84" t="str">
        <f t="shared" si="27"/>
        <v/>
      </c>
      <c r="F931" s="87"/>
      <c r="G931" s="229"/>
      <c r="H931" s="229"/>
      <c r="I931" s="229"/>
      <c r="J931" s="229"/>
      <c r="K931" s="218"/>
      <c r="L931" s="87"/>
      <c r="M931" s="87"/>
      <c r="N931" s="82"/>
      <c r="O931" s="82"/>
      <c r="P931" s="241"/>
      <c r="Q931" s="241"/>
      <c r="R931" s="82"/>
      <c r="S931" s="241"/>
      <c r="T931" s="82"/>
      <c r="U931" s="241"/>
      <c r="V931" s="82"/>
      <c r="W931" s="88"/>
      <c r="X931" s="82"/>
      <c r="Y931" s="89"/>
      <c r="Z931" s="82"/>
      <c r="AA931" s="90"/>
      <c r="AB931" s="241"/>
      <c r="AC931" s="241"/>
      <c r="AD931" s="241"/>
      <c r="AE931" s="82"/>
      <c r="AF931" s="82"/>
      <c r="AG931" s="90"/>
      <c r="AH931" s="90"/>
      <c r="AI931" s="90"/>
      <c r="AJ931" s="90"/>
      <c r="AK931" s="82"/>
      <c r="AL931" s="82" t="str" cm="1">
        <f t="array" aca="1" ref="AL931" ca="1">_xlfn.IFS(
 AND($AK931&lt;&gt;"", M931&lt;&gt;0, M931&lt;=EDATE(TODAY(),2)),"도래",
 AND($AK931&lt;&gt;"", M931&lt;&gt;0, M931&lt;=EDATE(TODAY(),3)),"예정",
 AND($AK931&lt;&gt;"", M931&lt;&gt;0, M931&lt;=EDATE(TODAY(),6)),"관심",
 TRUE,""
)</f>
        <v/>
      </c>
      <c r="AM931" s="86"/>
    </row>
    <row r="932" spans="1:39" ht="18" customHeight="1">
      <c r="A932" s="81"/>
      <c r="B932" s="205" t="str">
        <f>_xlfn.LET(_xlpm.var,◆관리정보!B932,IF(_xlpm.var&lt;&gt;0,_xlpm.var,""))</f>
        <v/>
      </c>
      <c r="C932" s="82" t="str">
        <f>_xlfn.LET(_xlpm.var,◆관리정보!C932,IF(_xlpm.var&lt;&gt;0,_xlpm.var,""))</f>
        <v/>
      </c>
      <c r="D932" s="83"/>
      <c r="E932" s="84" t="str">
        <f t="shared" si="27"/>
        <v/>
      </c>
      <c r="F932" s="87"/>
      <c r="G932" s="229"/>
      <c r="H932" s="229"/>
      <c r="I932" s="229"/>
      <c r="J932" s="229"/>
      <c r="K932" s="218"/>
      <c r="L932" s="87"/>
      <c r="M932" s="87"/>
      <c r="N932" s="82"/>
      <c r="O932" s="82"/>
      <c r="P932" s="241"/>
      <c r="Q932" s="241"/>
      <c r="R932" s="82"/>
      <c r="S932" s="241"/>
      <c r="T932" s="82"/>
      <c r="U932" s="241"/>
      <c r="V932" s="82"/>
      <c r="W932" s="88"/>
      <c r="X932" s="82"/>
      <c r="Y932" s="89"/>
      <c r="Z932" s="82"/>
      <c r="AA932" s="90"/>
      <c r="AB932" s="241"/>
      <c r="AC932" s="241"/>
      <c r="AD932" s="241"/>
      <c r="AE932" s="82"/>
      <c r="AF932" s="82"/>
      <c r="AG932" s="90"/>
      <c r="AH932" s="90"/>
      <c r="AI932" s="90"/>
      <c r="AJ932" s="90"/>
      <c r="AK932" s="82"/>
      <c r="AL932" s="82" t="str" cm="1">
        <f t="array" aca="1" ref="AL932" ca="1">_xlfn.IFS(
 AND($AK932&lt;&gt;"", M932&lt;&gt;0, M932&lt;=EDATE(TODAY(),2)),"도래",
 AND($AK932&lt;&gt;"", M932&lt;&gt;0, M932&lt;=EDATE(TODAY(),3)),"예정",
 AND($AK932&lt;&gt;"", M932&lt;&gt;0, M932&lt;=EDATE(TODAY(),6)),"관심",
 TRUE,""
)</f>
        <v/>
      </c>
      <c r="AM932" s="86"/>
    </row>
    <row r="933" spans="1:39" ht="18" customHeight="1">
      <c r="A933" s="81"/>
      <c r="B933" s="205" t="str">
        <f>_xlfn.LET(_xlpm.var,◆관리정보!B933,IF(_xlpm.var&lt;&gt;0,_xlpm.var,""))</f>
        <v/>
      </c>
      <c r="C933" s="82" t="str">
        <f>_xlfn.LET(_xlpm.var,◆관리정보!C933,IF(_xlpm.var&lt;&gt;0,_xlpm.var,""))</f>
        <v/>
      </c>
      <c r="D933" s="83"/>
      <c r="E933" s="84" t="str">
        <f t="shared" si="27"/>
        <v/>
      </c>
      <c r="F933" s="87"/>
      <c r="G933" s="229"/>
      <c r="H933" s="229"/>
      <c r="I933" s="229"/>
      <c r="J933" s="229"/>
      <c r="K933" s="218"/>
      <c r="L933" s="87"/>
      <c r="M933" s="87"/>
      <c r="N933" s="82"/>
      <c r="O933" s="82"/>
      <c r="P933" s="241"/>
      <c r="Q933" s="241"/>
      <c r="R933" s="82"/>
      <c r="S933" s="241"/>
      <c r="T933" s="82"/>
      <c r="U933" s="241"/>
      <c r="V933" s="82"/>
      <c r="W933" s="88"/>
      <c r="X933" s="82"/>
      <c r="Y933" s="89"/>
      <c r="Z933" s="82"/>
      <c r="AA933" s="90"/>
      <c r="AB933" s="241"/>
      <c r="AC933" s="241"/>
      <c r="AD933" s="241"/>
      <c r="AE933" s="82"/>
      <c r="AF933" s="82"/>
      <c r="AG933" s="90"/>
      <c r="AH933" s="90"/>
      <c r="AI933" s="90"/>
      <c r="AJ933" s="90"/>
      <c r="AK933" s="82"/>
      <c r="AL933" s="82" t="str" cm="1">
        <f t="array" aca="1" ref="AL933" ca="1">_xlfn.IFS(
 AND($AK933&lt;&gt;"", M933&lt;&gt;0, M933&lt;=EDATE(TODAY(),2)),"도래",
 AND($AK933&lt;&gt;"", M933&lt;&gt;0, M933&lt;=EDATE(TODAY(),3)),"예정",
 AND($AK933&lt;&gt;"", M933&lt;&gt;0, M933&lt;=EDATE(TODAY(),6)),"관심",
 TRUE,""
)</f>
        <v/>
      </c>
      <c r="AM933" s="86"/>
    </row>
    <row r="934" spans="1:39" ht="18" customHeight="1">
      <c r="A934" s="81"/>
      <c r="B934" s="205" t="str">
        <f>_xlfn.LET(_xlpm.var,◆관리정보!B934,IF(_xlpm.var&lt;&gt;0,_xlpm.var,""))</f>
        <v/>
      </c>
      <c r="C934" s="82" t="str">
        <f>_xlfn.LET(_xlpm.var,◆관리정보!C934,IF(_xlpm.var&lt;&gt;0,_xlpm.var,""))</f>
        <v/>
      </c>
      <c r="D934" s="83"/>
      <c r="E934" s="84" t="str">
        <f t="shared" si="27"/>
        <v/>
      </c>
      <c r="F934" s="87"/>
      <c r="G934" s="229"/>
      <c r="H934" s="229"/>
      <c r="I934" s="229"/>
      <c r="J934" s="229"/>
      <c r="K934" s="218"/>
      <c r="L934" s="87"/>
      <c r="M934" s="87"/>
      <c r="N934" s="82"/>
      <c r="O934" s="82"/>
      <c r="P934" s="241"/>
      <c r="Q934" s="241"/>
      <c r="R934" s="82"/>
      <c r="S934" s="241"/>
      <c r="T934" s="82"/>
      <c r="U934" s="241"/>
      <c r="V934" s="82"/>
      <c r="W934" s="88"/>
      <c r="X934" s="82"/>
      <c r="Y934" s="89"/>
      <c r="Z934" s="82"/>
      <c r="AA934" s="90"/>
      <c r="AB934" s="241"/>
      <c r="AC934" s="241"/>
      <c r="AD934" s="241"/>
      <c r="AE934" s="82"/>
      <c r="AF934" s="82"/>
      <c r="AG934" s="90"/>
      <c r="AH934" s="90"/>
      <c r="AI934" s="90"/>
      <c r="AJ934" s="90"/>
      <c r="AK934" s="82"/>
      <c r="AL934" s="82" t="str" cm="1">
        <f t="array" aca="1" ref="AL934" ca="1">_xlfn.IFS(
 AND($AK934&lt;&gt;"", M934&lt;&gt;0, M934&lt;=EDATE(TODAY(),2)),"도래",
 AND($AK934&lt;&gt;"", M934&lt;&gt;0, M934&lt;=EDATE(TODAY(),3)),"예정",
 AND($AK934&lt;&gt;"", M934&lt;&gt;0, M934&lt;=EDATE(TODAY(),6)),"관심",
 TRUE,""
)</f>
        <v/>
      </c>
      <c r="AM934" s="86"/>
    </row>
    <row r="935" spans="1:39" ht="18" customHeight="1">
      <c r="A935" s="81"/>
      <c r="B935" s="205" t="str">
        <f>_xlfn.LET(_xlpm.var,◆관리정보!B935,IF(_xlpm.var&lt;&gt;0,_xlpm.var,""))</f>
        <v/>
      </c>
      <c r="C935" s="82" t="str">
        <f>_xlfn.LET(_xlpm.var,◆관리정보!C935,IF(_xlpm.var&lt;&gt;0,_xlpm.var,""))</f>
        <v/>
      </c>
      <c r="D935" s="83"/>
      <c r="E935" s="84" t="str">
        <f t="shared" si="27"/>
        <v/>
      </c>
      <c r="F935" s="87"/>
      <c r="G935" s="229"/>
      <c r="H935" s="229"/>
      <c r="I935" s="229"/>
      <c r="J935" s="229"/>
      <c r="K935" s="218"/>
      <c r="L935" s="87"/>
      <c r="M935" s="87"/>
      <c r="N935" s="82"/>
      <c r="O935" s="82"/>
      <c r="P935" s="241"/>
      <c r="Q935" s="241"/>
      <c r="R935" s="82"/>
      <c r="S935" s="241"/>
      <c r="T935" s="82"/>
      <c r="U935" s="241"/>
      <c r="V935" s="82"/>
      <c r="W935" s="88"/>
      <c r="X935" s="82"/>
      <c r="Y935" s="89"/>
      <c r="Z935" s="82"/>
      <c r="AA935" s="90"/>
      <c r="AB935" s="241"/>
      <c r="AC935" s="241"/>
      <c r="AD935" s="241"/>
      <c r="AE935" s="82"/>
      <c r="AF935" s="82"/>
      <c r="AG935" s="90"/>
      <c r="AH935" s="90"/>
      <c r="AI935" s="90"/>
      <c r="AJ935" s="90"/>
      <c r="AK935" s="82"/>
      <c r="AL935" s="82" t="str" cm="1">
        <f t="array" aca="1" ref="AL935" ca="1">_xlfn.IFS(
 AND($AK935&lt;&gt;"", M935&lt;&gt;0, M935&lt;=EDATE(TODAY(),2)),"도래",
 AND($AK935&lt;&gt;"", M935&lt;&gt;0, M935&lt;=EDATE(TODAY(),3)),"예정",
 AND($AK935&lt;&gt;"", M935&lt;&gt;0, M935&lt;=EDATE(TODAY(),6)),"관심",
 TRUE,""
)</f>
        <v/>
      </c>
      <c r="AM935" s="86"/>
    </row>
    <row r="936" spans="1:39" ht="18" customHeight="1">
      <c r="A936" s="81"/>
      <c r="B936" s="205" t="str">
        <f>_xlfn.LET(_xlpm.var,◆관리정보!B936,IF(_xlpm.var&lt;&gt;0,_xlpm.var,""))</f>
        <v/>
      </c>
      <c r="C936" s="82" t="str">
        <f>_xlfn.LET(_xlpm.var,◆관리정보!C936,IF(_xlpm.var&lt;&gt;0,_xlpm.var,""))</f>
        <v/>
      </c>
      <c r="D936" s="83"/>
      <c r="E936" s="84" t="str">
        <f t="shared" si="27"/>
        <v/>
      </c>
      <c r="F936" s="87"/>
      <c r="G936" s="229"/>
      <c r="H936" s="229"/>
      <c r="I936" s="229"/>
      <c r="J936" s="229"/>
      <c r="K936" s="218"/>
      <c r="L936" s="87"/>
      <c r="M936" s="87"/>
      <c r="N936" s="82"/>
      <c r="O936" s="82"/>
      <c r="P936" s="241"/>
      <c r="Q936" s="241"/>
      <c r="R936" s="82"/>
      <c r="S936" s="241"/>
      <c r="T936" s="82"/>
      <c r="U936" s="241"/>
      <c r="V936" s="82"/>
      <c r="W936" s="88"/>
      <c r="X936" s="82"/>
      <c r="Y936" s="89"/>
      <c r="Z936" s="82"/>
      <c r="AA936" s="90"/>
      <c r="AB936" s="241"/>
      <c r="AC936" s="241"/>
      <c r="AD936" s="241"/>
      <c r="AE936" s="82"/>
      <c r="AF936" s="82"/>
      <c r="AG936" s="90"/>
      <c r="AH936" s="90"/>
      <c r="AI936" s="90"/>
      <c r="AJ936" s="90"/>
      <c r="AK936" s="82"/>
      <c r="AL936" s="82" t="str" cm="1">
        <f t="array" aca="1" ref="AL936" ca="1">_xlfn.IFS(
 AND($AK936&lt;&gt;"", M936&lt;&gt;0, M936&lt;=EDATE(TODAY(),2)),"도래",
 AND($AK936&lt;&gt;"", M936&lt;&gt;0, M936&lt;=EDATE(TODAY(),3)),"예정",
 AND($AK936&lt;&gt;"", M936&lt;&gt;0, M936&lt;=EDATE(TODAY(),6)),"관심",
 TRUE,""
)</f>
        <v/>
      </c>
      <c r="AM936" s="86"/>
    </row>
    <row r="937" spans="1:39" ht="18" customHeight="1">
      <c r="A937" s="81"/>
      <c r="B937" s="205" t="str">
        <f>_xlfn.LET(_xlpm.var,◆관리정보!B937,IF(_xlpm.var&lt;&gt;0,_xlpm.var,""))</f>
        <v/>
      </c>
      <c r="C937" s="82" t="str">
        <f>_xlfn.LET(_xlpm.var,◆관리정보!C937,IF(_xlpm.var&lt;&gt;0,_xlpm.var,""))</f>
        <v/>
      </c>
      <c r="D937" s="83"/>
      <c r="E937" s="84" t="str">
        <f t="shared" si="27"/>
        <v/>
      </c>
      <c r="F937" s="87"/>
      <c r="G937" s="229"/>
      <c r="H937" s="229"/>
      <c r="I937" s="229"/>
      <c r="J937" s="229"/>
      <c r="K937" s="218"/>
      <c r="L937" s="87"/>
      <c r="M937" s="87"/>
      <c r="N937" s="82"/>
      <c r="O937" s="82"/>
      <c r="P937" s="241"/>
      <c r="Q937" s="241"/>
      <c r="R937" s="82"/>
      <c r="S937" s="241"/>
      <c r="T937" s="82"/>
      <c r="U937" s="241"/>
      <c r="V937" s="82"/>
      <c r="W937" s="88"/>
      <c r="X937" s="82"/>
      <c r="Y937" s="89"/>
      <c r="Z937" s="82"/>
      <c r="AA937" s="90"/>
      <c r="AB937" s="241"/>
      <c r="AC937" s="241"/>
      <c r="AD937" s="241"/>
      <c r="AE937" s="82"/>
      <c r="AF937" s="82"/>
      <c r="AG937" s="90"/>
      <c r="AH937" s="90"/>
      <c r="AI937" s="90"/>
      <c r="AJ937" s="90"/>
      <c r="AK937" s="82"/>
      <c r="AL937" s="82" t="str" cm="1">
        <f t="array" aca="1" ref="AL937" ca="1">_xlfn.IFS(
 AND($AK937&lt;&gt;"", M937&lt;&gt;0, M937&lt;=EDATE(TODAY(),2)),"도래",
 AND($AK937&lt;&gt;"", M937&lt;&gt;0, M937&lt;=EDATE(TODAY(),3)),"예정",
 AND($AK937&lt;&gt;"", M937&lt;&gt;0, M937&lt;=EDATE(TODAY(),6)),"관심",
 TRUE,""
)</f>
        <v/>
      </c>
      <c r="AM937" s="86"/>
    </row>
    <row r="938" spans="1:39" ht="18" customHeight="1">
      <c r="A938" s="81"/>
      <c r="B938" s="205" t="str">
        <f>_xlfn.LET(_xlpm.var,◆관리정보!B938,IF(_xlpm.var&lt;&gt;0,_xlpm.var,""))</f>
        <v/>
      </c>
      <c r="C938" s="82" t="str">
        <f>_xlfn.LET(_xlpm.var,◆관리정보!C938,IF(_xlpm.var&lt;&gt;0,_xlpm.var,""))</f>
        <v/>
      </c>
      <c r="D938" s="83"/>
      <c r="E938" s="84" t="str">
        <f t="shared" si="27"/>
        <v/>
      </c>
      <c r="F938" s="87"/>
      <c r="G938" s="229"/>
      <c r="H938" s="229"/>
      <c r="I938" s="229"/>
      <c r="J938" s="229"/>
      <c r="K938" s="218"/>
      <c r="L938" s="87"/>
      <c r="M938" s="87"/>
      <c r="N938" s="82"/>
      <c r="O938" s="82"/>
      <c r="P938" s="241"/>
      <c r="Q938" s="241"/>
      <c r="R938" s="82"/>
      <c r="S938" s="241"/>
      <c r="T938" s="82"/>
      <c r="U938" s="241"/>
      <c r="V938" s="82"/>
      <c r="W938" s="88"/>
      <c r="X938" s="82"/>
      <c r="Y938" s="89"/>
      <c r="Z938" s="82"/>
      <c r="AA938" s="90"/>
      <c r="AB938" s="241"/>
      <c r="AC938" s="241"/>
      <c r="AD938" s="241"/>
      <c r="AE938" s="82"/>
      <c r="AF938" s="82"/>
      <c r="AG938" s="90"/>
      <c r="AH938" s="90"/>
      <c r="AI938" s="90"/>
      <c r="AJ938" s="90"/>
      <c r="AK938" s="82"/>
      <c r="AL938" s="82" t="str" cm="1">
        <f t="array" aca="1" ref="AL938" ca="1">_xlfn.IFS(
 AND($AK938&lt;&gt;"", M938&lt;&gt;0, M938&lt;=EDATE(TODAY(),2)),"도래",
 AND($AK938&lt;&gt;"", M938&lt;&gt;0, M938&lt;=EDATE(TODAY(),3)),"예정",
 AND($AK938&lt;&gt;"", M938&lt;&gt;0, M938&lt;=EDATE(TODAY(),6)),"관심",
 TRUE,""
)</f>
        <v/>
      </c>
      <c r="AM938" s="86"/>
    </row>
    <row r="939" spans="1:39" ht="18" customHeight="1">
      <c r="A939" s="81"/>
      <c r="B939" s="205" t="str">
        <f>_xlfn.LET(_xlpm.var,◆관리정보!B939,IF(_xlpm.var&lt;&gt;0,_xlpm.var,""))</f>
        <v/>
      </c>
      <c r="C939" s="82" t="str">
        <f>_xlfn.LET(_xlpm.var,◆관리정보!C939,IF(_xlpm.var&lt;&gt;0,_xlpm.var,""))</f>
        <v/>
      </c>
      <c r="D939" s="83"/>
      <c r="E939" s="84" t="str">
        <f t="shared" si="27"/>
        <v/>
      </c>
      <c r="F939" s="87"/>
      <c r="G939" s="229"/>
      <c r="H939" s="229"/>
      <c r="I939" s="229"/>
      <c r="J939" s="229"/>
      <c r="K939" s="218"/>
      <c r="L939" s="87"/>
      <c r="M939" s="87"/>
      <c r="N939" s="82"/>
      <c r="O939" s="82"/>
      <c r="P939" s="241"/>
      <c r="Q939" s="241"/>
      <c r="R939" s="82"/>
      <c r="S939" s="241"/>
      <c r="T939" s="82"/>
      <c r="U939" s="241"/>
      <c r="V939" s="82"/>
      <c r="W939" s="88"/>
      <c r="X939" s="82"/>
      <c r="Y939" s="89"/>
      <c r="Z939" s="82"/>
      <c r="AA939" s="90"/>
      <c r="AB939" s="241"/>
      <c r="AC939" s="241"/>
      <c r="AD939" s="241"/>
      <c r="AE939" s="82"/>
      <c r="AF939" s="82"/>
      <c r="AG939" s="90"/>
      <c r="AH939" s="90"/>
      <c r="AI939" s="90"/>
      <c r="AJ939" s="90"/>
      <c r="AK939" s="82"/>
      <c r="AL939" s="82" t="str" cm="1">
        <f t="array" aca="1" ref="AL939" ca="1">_xlfn.IFS(
 AND($AK939&lt;&gt;"", M939&lt;&gt;0, M939&lt;=EDATE(TODAY(),2)),"도래",
 AND($AK939&lt;&gt;"", M939&lt;&gt;0, M939&lt;=EDATE(TODAY(),3)),"예정",
 AND($AK939&lt;&gt;"", M939&lt;&gt;0, M939&lt;=EDATE(TODAY(),6)),"관심",
 TRUE,""
)</f>
        <v/>
      </c>
      <c r="AM939" s="86"/>
    </row>
    <row r="940" spans="1:39" ht="18" customHeight="1">
      <c r="A940" s="81"/>
      <c r="B940" s="205" t="str">
        <f>_xlfn.LET(_xlpm.var,◆관리정보!B940,IF(_xlpm.var&lt;&gt;0,_xlpm.var,""))</f>
        <v/>
      </c>
      <c r="C940" s="82" t="str">
        <f>_xlfn.LET(_xlpm.var,◆관리정보!C940,IF(_xlpm.var&lt;&gt;0,_xlpm.var,""))</f>
        <v/>
      </c>
      <c r="D940" s="83"/>
      <c r="E940" s="84" t="str">
        <f t="shared" si="27"/>
        <v/>
      </c>
      <c r="F940" s="87"/>
      <c r="G940" s="229"/>
      <c r="H940" s="229"/>
      <c r="I940" s="229"/>
      <c r="J940" s="229"/>
      <c r="K940" s="218"/>
      <c r="L940" s="87"/>
      <c r="M940" s="87"/>
      <c r="N940" s="82"/>
      <c r="O940" s="82"/>
      <c r="P940" s="241"/>
      <c r="Q940" s="241"/>
      <c r="R940" s="82"/>
      <c r="S940" s="241"/>
      <c r="T940" s="82"/>
      <c r="U940" s="241"/>
      <c r="V940" s="82"/>
      <c r="W940" s="88"/>
      <c r="X940" s="82"/>
      <c r="Y940" s="89"/>
      <c r="Z940" s="82"/>
      <c r="AA940" s="90"/>
      <c r="AB940" s="241"/>
      <c r="AC940" s="241"/>
      <c r="AD940" s="241"/>
      <c r="AE940" s="82"/>
      <c r="AF940" s="82"/>
      <c r="AG940" s="90"/>
      <c r="AH940" s="90"/>
      <c r="AI940" s="90"/>
      <c r="AJ940" s="90"/>
      <c r="AK940" s="82"/>
      <c r="AL940" s="82" t="str" cm="1">
        <f t="array" aca="1" ref="AL940" ca="1">_xlfn.IFS(
 AND($AK940&lt;&gt;"", M940&lt;&gt;0, M940&lt;=EDATE(TODAY(),2)),"도래",
 AND($AK940&lt;&gt;"", M940&lt;&gt;0, M940&lt;=EDATE(TODAY(),3)),"예정",
 AND($AK940&lt;&gt;"", M940&lt;&gt;0, M940&lt;=EDATE(TODAY(),6)),"관심",
 TRUE,""
)</f>
        <v/>
      </c>
      <c r="AM940" s="86"/>
    </row>
    <row r="941" spans="1:39" ht="18" customHeight="1">
      <c r="A941" s="81"/>
      <c r="B941" s="205" t="str">
        <f>_xlfn.LET(_xlpm.var,◆관리정보!B941,IF(_xlpm.var&lt;&gt;0,_xlpm.var,""))</f>
        <v/>
      </c>
      <c r="C941" s="82" t="str">
        <f>_xlfn.LET(_xlpm.var,◆관리정보!C941,IF(_xlpm.var&lt;&gt;0,_xlpm.var,""))</f>
        <v/>
      </c>
      <c r="D941" s="83"/>
      <c r="E941" s="84" t="str">
        <f t="shared" si="27"/>
        <v/>
      </c>
      <c r="F941" s="87"/>
      <c r="G941" s="229"/>
      <c r="H941" s="229"/>
      <c r="I941" s="229"/>
      <c r="J941" s="229"/>
      <c r="K941" s="218"/>
      <c r="L941" s="87"/>
      <c r="M941" s="87"/>
      <c r="N941" s="82"/>
      <c r="O941" s="82"/>
      <c r="P941" s="241"/>
      <c r="Q941" s="241"/>
      <c r="R941" s="82"/>
      <c r="S941" s="241"/>
      <c r="T941" s="82"/>
      <c r="U941" s="241"/>
      <c r="V941" s="82"/>
      <c r="W941" s="88"/>
      <c r="X941" s="82"/>
      <c r="Y941" s="89"/>
      <c r="Z941" s="82"/>
      <c r="AA941" s="90"/>
      <c r="AB941" s="241"/>
      <c r="AC941" s="241"/>
      <c r="AD941" s="241"/>
      <c r="AE941" s="82"/>
      <c r="AF941" s="82"/>
      <c r="AG941" s="90"/>
      <c r="AH941" s="90"/>
      <c r="AI941" s="90"/>
      <c r="AJ941" s="90"/>
      <c r="AK941" s="82"/>
      <c r="AL941" s="82" t="str" cm="1">
        <f t="array" aca="1" ref="AL941" ca="1">_xlfn.IFS(
 AND($AK941&lt;&gt;"", M941&lt;&gt;0, M941&lt;=EDATE(TODAY(),2)),"도래",
 AND($AK941&lt;&gt;"", M941&lt;&gt;0, M941&lt;=EDATE(TODAY(),3)),"예정",
 AND($AK941&lt;&gt;"", M941&lt;&gt;0, M941&lt;=EDATE(TODAY(),6)),"관심",
 TRUE,""
)</f>
        <v/>
      </c>
      <c r="AM941" s="86"/>
    </row>
    <row r="942" spans="1:39" ht="18" customHeight="1">
      <c r="A942" s="81"/>
      <c r="B942" s="205" t="str">
        <f>_xlfn.LET(_xlpm.var,◆관리정보!B942,IF(_xlpm.var&lt;&gt;0,_xlpm.var,""))</f>
        <v/>
      </c>
      <c r="C942" s="82" t="str">
        <f>_xlfn.LET(_xlpm.var,◆관리정보!C942,IF(_xlpm.var&lt;&gt;0,_xlpm.var,""))</f>
        <v/>
      </c>
      <c r="D942" s="83"/>
      <c r="E942" s="84" t="str">
        <f t="shared" si="27"/>
        <v/>
      </c>
      <c r="F942" s="87"/>
      <c r="G942" s="229"/>
      <c r="H942" s="229"/>
      <c r="I942" s="229"/>
      <c r="J942" s="229"/>
      <c r="K942" s="218"/>
      <c r="L942" s="87"/>
      <c r="M942" s="87"/>
      <c r="N942" s="82"/>
      <c r="O942" s="82"/>
      <c r="P942" s="241"/>
      <c r="Q942" s="241"/>
      <c r="R942" s="82"/>
      <c r="S942" s="241"/>
      <c r="T942" s="82"/>
      <c r="U942" s="241"/>
      <c r="V942" s="82"/>
      <c r="W942" s="88"/>
      <c r="X942" s="82"/>
      <c r="Y942" s="89"/>
      <c r="Z942" s="82"/>
      <c r="AA942" s="90"/>
      <c r="AB942" s="241"/>
      <c r="AC942" s="241"/>
      <c r="AD942" s="241"/>
      <c r="AE942" s="82"/>
      <c r="AF942" s="82"/>
      <c r="AG942" s="90"/>
      <c r="AH942" s="90"/>
      <c r="AI942" s="90"/>
      <c r="AJ942" s="90"/>
      <c r="AK942" s="82"/>
      <c r="AL942" s="82" t="str" cm="1">
        <f t="array" aca="1" ref="AL942" ca="1">_xlfn.IFS(
 AND($AK942&lt;&gt;"", M942&lt;&gt;0, M942&lt;=EDATE(TODAY(),2)),"도래",
 AND($AK942&lt;&gt;"", M942&lt;&gt;0, M942&lt;=EDATE(TODAY(),3)),"예정",
 AND($AK942&lt;&gt;"", M942&lt;&gt;0, M942&lt;=EDATE(TODAY(),6)),"관심",
 TRUE,""
)</f>
        <v/>
      </c>
      <c r="AM942" s="86"/>
    </row>
    <row r="943" spans="1:39" ht="18" customHeight="1">
      <c r="A943" s="81"/>
      <c r="B943" s="205" t="str">
        <f>_xlfn.LET(_xlpm.var,◆관리정보!B943,IF(_xlpm.var&lt;&gt;0,_xlpm.var,""))</f>
        <v/>
      </c>
      <c r="C943" s="82" t="str">
        <f>_xlfn.LET(_xlpm.var,◆관리정보!C943,IF(_xlpm.var&lt;&gt;0,_xlpm.var,""))</f>
        <v/>
      </c>
      <c r="D943" s="83"/>
      <c r="E943" s="84" t="str">
        <f t="shared" si="27"/>
        <v/>
      </c>
      <c r="F943" s="87"/>
      <c r="G943" s="229"/>
      <c r="H943" s="229"/>
      <c r="I943" s="229"/>
      <c r="J943" s="229"/>
      <c r="K943" s="218"/>
      <c r="L943" s="87"/>
      <c r="M943" s="87"/>
      <c r="N943" s="82"/>
      <c r="O943" s="82"/>
      <c r="P943" s="241"/>
      <c r="Q943" s="241"/>
      <c r="R943" s="82"/>
      <c r="S943" s="241"/>
      <c r="T943" s="82"/>
      <c r="U943" s="241"/>
      <c r="V943" s="82"/>
      <c r="W943" s="88"/>
      <c r="X943" s="82"/>
      <c r="Y943" s="89"/>
      <c r="Z943" s="82"/>
      <c r="AA943" s="90"/>
      <c r="AB943" s="241"/>
      <c r="AC943" s="241"/>
      <c r="AD943" s="241"/>
      <c r="AE943" s="82"/>
      <c r="AF943" s="82"/>
      <c r="AG943" s="90"/>
      <c r="AH943" s="90"/>
      <c r="AI943" s="90"/>
      <c r="AJ943" s="90"/>
      <c r="AK943" s="82"/>
      <c r="AL943" s="82" t="str" cm="1">
        <f t="array" aca="1" ref="AL943" ca="1">_xlfn.IFS(
 AND($AK943&lt;&gt;"", M943&lt;&gt;0, M943&lt;=EDATE(TODAY(),2)),"도래",
 AND($AK943&lt;&gt;"", M943&lt;&gt;0, M943&lt;=EDATE(TODAY(),3)),"예정",
 AND($AK943&lt;&gt;"", M943&lt;&gt;0, M943&lt;=EDATE(TODAY(),6)),"관심",
 TRUE,""
)</f>
        <v/>
      </c>
      <c r="AM943" s="86"/>
    </row>
    <row r="944" spans="1:39" ht="18" customHeight="1">
      <c r="A944" s="81"/>
      <c r="B944" s="205" t="str">
        <f>_xlfn.LET(_xlpm.var,◆관리정보!B944,IF(_xlpm.var&lt;&gt;0,_xlpm.var,""))</f>
        <v/>
      </c>
      <c r="C944" s="82" t="str">
        <f>_xlfn.LET(_xlpm.var,◆관리정보!C944,IF(_xlpm.var&lt;&gt;0,_xlpm.var,""))</f>
        <v/>
      </c>
      <c r="D944" s="83"/>
      <c r="E944" s="84" t="str">
        <f t="shared" si="27"/>
        <v/>
      </c>
      <c r="F944" s="87"/>
      <c r="G944" s="229"/>
      <c r="H944" s="229"/>
      <c r="I944" s="229"/>
      <c r="J944" s="229"/>
      <c r="K944" s="218"/>
      <c r="L944" s="87"/>
      <c r="M944" s="87"/>
      <c r="N944" s="82"/>
      <c r="O944" s="82"/>
      <c r="P944" s="241"/>
      <c r="Q944" s="241"/>
      <c r="R944" s="82"/>
      <c r="S944" s="241"/>
      <c r="T944" s="82"/>
      <c r="U944" s="241"/>
      <c r="V944" s="82"/>
      <c r="W944" s="88"/>
      <c r="X944" s="82"/>
      <c r="Y944" s="89"/>
      <c r="Z944" s="82"/>
      <c r="AA944" s="90"/>
      <c r="AB944" s="241"/>
      <c r="AC944" s="241"/>
      <c r="AD944" s="241"/>
      <c r="AE944" s="82"/>
      <c r="AF944" s="82"/>
      <c r="AG944" s="90"/>
      <c r="AH944" s="90"/>
      <c r="AI944" s="90"/>
      <c r="AJ944" s="90"/>
      <c r="AK944" s="82"/>
      <c r="AL944" s="82" t="str" cm="1">
        <f t="array" aca="1" ref="AL944" ca="1">_xlfn.IFS(
 AND($AK944&lt;&gt;"", M944&lt;&gt;0, M944&lt;=EDATE(TODAY(),2)),"도래",
 AND($AK944&lt;&gt;"", M944&lt;&gt;0, M944&lt;=EDATE(TODAY(),3)),"예정",
 AND($AK944&lt;&gt;"", M944&lt;&gt;0, M944&lt;=EDATE(TODAY(),6)),"관심",
 TRUE,""
)</f>
        <v/>
      </c>
      <c r="AM944" s="86"/>
    </row>
    <row r="945" spans="1:39" ht="18" customHeight="1">
      <c r="A945" s="81"/>
      <c r="B945" s="205" t="str">
        <f>_xlfn.LET(_xlpm.var,◆관리정보!B945,IF(_xlpm.var&lt;&gt;0,_xlpm.var,""))</f>
        <v/>
      </c>
      <c r="C945" s="82" t="str">
        <f>_xlfn.LET(_xlpm.var,◆관리정보!C945,IF(_xlpm.var&lt;&gt;0,_xlpm.var,""))</f>
        <v/>
      </c>
      <c r="D945" s="83"/>
      <c r="E945" s="84" t="str">
        <f t="shared" si="27"/>
        <v/>
      </c>
      <c r="F945" s="87"/>
      <c r="G945" s="229"/>
      <c r="H945" s="229"/>
      <c r="I945" s="229"/>
      <c r="J945" s="229"/>
      <c r="K945" s="218"/>
      <c r="L945" s="87"/>
      <c r="M945" s="87"/>
      <c r="N945" s="82"/>
      <c r="O945" s="82"/>
      <c r="P945" s="241"/>
      <c r="Q945" s="241"/>
      <c r="R945" s="82"/>
      <c r="S945" s="241"/>
      <c r="T945" s="82"/>
      <c r="U945" s="241"/>
      <c r="V945" s="82"/>
      <c r="W945" s="88"/>
      <c r="X945" s="82"/>
      <c r="Y945" s="89"/>
      <c r="Z945" s="82"/>
      <c r="AA945" s="90"/>
      <c r="AB945" s="241"/>
      <c r="AC945" s="241"/>
      <c r="AD945" s="241"/>
      <c r="AE945" s="82"/>
      <c r="AF945" s="82"/>
      <c r="AG945" s="90"/>
      <c r="AH945" s="90"/>
      <c r="AI945" s="90"/>
      <c r="AJ945" s="90"/>
      <c r="AK945" s="82"/>
      <c r="AL945" s="82" t="str" cm="1">
        <f t="array" aca="1" ref="AL945" ca="1">_xlfn.IFS(
 AND($AK945&lt;&gt;"", M945&lt;&gt;0, M945&lt;=EDATE(TODAY(),2)),"도래",
 AND($AK945&lt;&gt;"", M945&lt;&gt;0, M945&lt;=EDATE(TODAY(),3)),"예정",
 AND($AK945&lt;&gt;"", M945&lt;&gt;0, M945&lt;=EDATE(TODAY(),6)),"관심",
 TRUE,""
)</f>
        <v/>
      </c>
      <c r="AM945" s="86"/>
    </row>
    <row r="946" spans="1:39" ht="18" customHeight="1">
      <c r="A946" s="81"/>
      <c r="B946" s="205" t="str">
        <f>_xlfn.LET(_xlpm.var,◆관리정보!B946,IF(_xlpm.var&lt;&gt;0,_xlpm.var,""))</f>
        <v/>
      </c>
      <c r="C946" s="82" t="str">
        <f>_xlfn.LET(_xlpm.var,◆관리정보!C946,IF(_xlpm.var&lt;&gt;0,_xlpm.var,""))</f>
        <v/>
      </c>
      <c r="D946" s="83"/>
      <c r="E946" s="84" t="str">
        <f t="shared" si="27"/>
        <v/>
      </c>
      <c r="F946" s="87"/>
      <c r="G946" s="229"/>
      <c r="H946" s="229"/>
      <c r="I946" s="229"/>
      <c r="J946" s="229"/>
      <c r="K946" s="218"/>
      <c r="L946" s="87"/>
      <c r="M946" s="87"/>
      <c r="N946" s="82"/>
      <c r="O946" s="82"/>
      <c r="P946" s="241"/>
      <c r="Q946" s="241"/>
      <c r="R946" s="82"/>
      <c r="S946" s="241"/>
      <c r="T946" s="82"/>
      <c r="U946" s="241"/>
      <c r="V946" s="82"/>
      <c r="W946" s="88"/>
      <c r="X946" s="82"/>
      <c r="Y946" s="89"/>
      <c r="Z946" s="82"/>
      <c r="AA946" s="90"/>
      <c r="AB946" s="241"/>
      <c r="AC946" s="241"/>
      <c r="AD946" s="241"/>
      <c r="AE946" s="82"/>
      <c r="AF946" s="82"/>
      <c r="AG946" s="90"/>
      <c r="AH946" s="90"/>
      <c r="AI946" s="90"/>
      <c r="AJ946" s="90"/>
      <c r="AK946" s="82"/>
      <c r="AL946" s="82" t="str" cm="1">
        <f t="array" aca="1" ref="AL946" ca="1">_xlfn.IFS(
 AND($AK946&lt;&gt;"", M946&lt;&gt;0, M946&lt;=EDATE(TODAY(),2)),"도래",
 AND($AK946&lt;&gt;"", M946&lt;&gt;0, M946&lt;=EDATE(TODAY(),3)),"예정",
 AND($AK946&lt;&gt;"", M946&lt;&gt;0, M946&lt;=EDATE(TODAY(),6)),"관심",
 TRUE,""
)</f>
        <v/>
      </c>
      <c r="AM946" s="86"/>
    </row>
    <row r="947" spans="1:39" ht="18" customHeight="1">
      <c r="A947" s="81"/>
      <c r="B947" s="205" t="str">
        <f>_xlfn.LET(_xlpm.var,◆관리정보!B947,IF(_xlpm.var&lt;&gt;0,_xlpm.var,""))</f>
        <v/>
      </c>
      <c r="C947" s="82" t="str">
        <f>_xlfn.LET(_xlpm.var,◆관리정보!C947,IF(_xlpm.var&lt;&gt;0,_xlpm.var,""))</f>
        <v/>
      </c>
      <c r="D947" s="83"/>
      <c r="E947" s="84" t="str">
        <f t="shared" si="27"/>
        <v/>
      </c>
      <c r="F947" s="87"/>
      <c r="G947" s="229"/>
      <c r="H947" s="229"/>
      <c r="I947" s="229"/>
      <c r="J947" s="229"/>
      <c r="K947" s="218"/>
      <c r="L947" s="87"/>
      <c r="M947" s="87"/>
      <c r="N947" s="82"/>
      <c r="O947" s="82"/>
      <c r="P947" s="241"/>
      <c r="Q947" s="241"/>
      <c r="R947" s="82"/>
      <c r="S947" s="241"/>
      <c r="T947" s="82"/>
      <c r="U947" s="241"/>
      <c r="V947" s="82"/>
      <c r="W947" s="88"/>
      <c r="X947" s="82"/>
      <c r="Y947" s="89"/>
      <c r="Z947" s="82"/>
      <c r="AA947" s="90"/>
      <c r="AB947" s="241"/>
      <c r="AC947" s="241"/>
      <c r="AD947" s="241"/>
      <c r="AE947" s="82"/>
      <c r="AF947" s="82"/>
      <c r="AG947" s="90"/>
      <c r="AH947" s="90"/>
      <c r="AI947" s="90"/>
      <c r="AJ947" s="90"/>
      <c r="AK947" s="82"/>
      <c r="AL947" s="82" t="str" cm="1">
        <f t="array" aca="1" ref="AL947" ca="1">_xlfn.IFS(
 AND($AK947&lt;&gt;"", M947&lt;&gt;0, M947&lt;=EDATE(TODAY(),2)),"도래",
 AND($AK947&lt;&gt;"", M947&lt;&gt;0, M947&lt;=EDATE(TODAY(),3)),"예정",
 AND($AK947&lt;&gt;"", M947&lt;&gt;0, M947&lt;=EDATE(TODAY(),6)),"관심",
 TRUE,""
)</f>
        <v/>
      </c>
      <c r="AM947" s="86"/>
    </row>
    <row r="948" spans="1:39" ht="18" customHeight="1">
      <c r="A948" s="81"/>
      <c r="B948" s="205" t="str">
        <f>_xlfn.LET(_xlpm.var,◆관리정보!B948,IF(_xlpm.var&lt;&gt;0,_xlpm.var,""))</f>
        <v/>
      </c>
      <c r="C948" s="82" t="str">
        <f>_xlfn.LET(_xlpm.var,◆관리정보!C948,IF(_xlpm.var&lt;&gt;0,_xlpm.var,""))</f>
        <v/>
      </c>
      <c r="D948" s="83"/>
      <c r="E948" s="84" t="str">
        <f t="shared" si="27"/>
        <v/>
      </c>
      <c r="F948" s="87"/>
      <c r="G948" s="229"/>
      <c r="H948" s="229"/>
      <c r="I948" s="229"/>
      <c r="J948" s="229"/>
      <c r="K948" s="218"/>
      <c r="L948" s="87"/>
      <c r="M948" s="87"/>
      <c r="N948" s="82"/>
      <c r="O948" s="82"/>
      <c r="P948" s="241"/>
      <c r="Q948" s="241"/>
      <c r="R948" s="82"/>
      <c r="S948" s="241"/>
      <c r="T948" s="82"/>
      <c r="U948" s="241"/>
      <c r="V948" s="82"/>
      <c r="W948" s="88"/>
      <c r="X948" s="82"/>
      <c r="Y948" s="89"/>
      <c r="Z948" s="82"/>
      <c r="AA948" s="90"/>
      <c r="AB948" s="241"/>
      <c r="AC948" s="241"/>
      <c r="AD948" s="241"/>
      <c r="AE948" s="82"/>
      <c r="AF948" s="82"/>
      <c r="AG948" s="90"/>
      <c r="AH948" s="90"/>
      <c r="AI948" s="90"/>
      <c r="AJ948" s="90"/>
      <c r="AK948" s="82"/>
      <c r="AL948" s="82" t="str" cm="1">
        <f t="array" aca="1" ref="AL948" ca="1">_xlfn.IFS(
 AND($AK948&lt;&gt;"", M948&lt;&gt;0, M948&lt;=EDATE(TODAY(),2)),"도래",
 AND($AK948&lt;&gt;"", M948&lt;&gt;0, M948&lt;=EDATE(TODAY(),3)),"예정",
 AND($AK948&lt;&gt;"", M948&lt;&gt;0, M948&lt;=EDATE(TODAY(),6)),"관심",
 TRUE,""
)</f>
        <v/>
      </c>
      <c r="AM948" s="86"/>
    </row>
    <row r="949" spans="1:39" ht="18" customHeight="1">
      <c r="A949" s="81"/>
      <c r="B949" s="205" t="str">
        <f>_xlfn.LET(_xlpm.var,◆관리정보!B949,IF(_xlpm.var&lt;&gt;0,_xlpm.var,""))</f>
        <v/>
      </c>
      <c r="C949" s="82" t="str">
        <f>_xlfn.LET(_xlpm.var,◆관리정보!C949,IF(_xlpm.var&lt;&gt;0,_xlpm.var,""))</f>
        <v/>
      </c>
      <c r="D949" s="83"/>
      <c r="E949" s="84" t="str">
        <f t="shared" si="27"/>
        <v/>
      </c>
      <c r="F949" s="87"/>
      <c r="G949" s="229"/>
      <c r="H949" s="229"/>
      <c r="I949" s="229"/>
      <c r="J949" s="229"/>
      <c r="K949" s="218"/>
      <c r="L949" s="87"/>
      <c r="M949" s="87"/>
      <c r="N949" s="82"/>
      <c r="O949" s="82"/>
      <c r="P949" s="241"/>
      <c r="Q949" s="241"/>
      <c r="R949" s="82"/>
      <c r="S949" s="241"/>
      <c r="T949" s="82"/>
      <c r="U949" s="241"/>
      <c r="V949" s="82"/>
      <c r="W949" s="88"/>
      <c r="X949" s="82"/>
      <c r="Y949" s="89"/>
      <c r="Z949" s="82"/>
      <c r="AA949" s="90"/>
      <c r="AB949" s="241"/>
      <c r="AC949" s="241"/>
      <c r="AD949" s="241"/>
      <c r="AE949" s="82"/>
      <c r="AF949" s="82"/>
      <c r="AG949" s="90"/>
      <c r="AH949" s="90"/>
      <c r="AI949" s="90"/>
      <c r="AJ949" s="90"/>
      <c r="AK949" s="82"/>
      <c r="AL949" s="82" t="str" cm="1">
        <f t="array" aca="1" ref="AL949" ca="1">_xlfn.IFS(
 AND($AK949&lt;&gt;"", M949&lt;&gt;0, M949&lt;=EDATE(TODAY(),2)),"도래",
 AND($AK949&lt;&gt;"", M949&lt;&gt;0, M949&lt;=EDATE(TODAY(),3)),"예정",
 AND($AK949&lt;&gt;"", M949&lt;&gt;0, M949&lt;=EDATE(TODAY(),6)),"관심",
 TRUE,""
)</f>
        <v/>
      </c>
      <c r="AM949" s="86"/>
    </row>
    <row r="950" spans="1:39" ht="18" customHeight="1">
      <c r="A950" s="81"/>
      <c r="B950" s="205" t="str">
        <f>_xlfn.LET(_xlpm.var,◆관리정보!B950,IF(_xlpm.var&lt;&gt;0,_xlpm.var,""))</f>
        <v/>
      </c>
      <c r="C950" s="82" t="str">
        <f>_xlfn.LET(_xlpm.var,◆관리정보!C950,IF(_xlpm.var&lt;&gt;0,_xlpm.var,""))</f>
        <v/>
      </c>
      <c r="D950" s="83"/>
      <c r="E950" s="84" t="str">
        <f t="shared" si="27"/>
        <v/>
      </c>
      <c r="F950" s="87"/>
      <c r="G950" s="229"/>
      <c r="H950" s="229"/>
      <c r="I950" s="229"/>
      <c r="J950" s="229"/>
      <c r="K950" s="218"/>
      <c r="L950" s="87"/>
      <c r="M950" s="87"/>
      <c r="N950" s="82"/>
      <c r="O950" s="82"/>
      <c r="P950" s="241"/>
      <c r="Q950" s="241"/>
      <c r="R950" s="82"/>
      <c r="S950" s="241"/>
      <c r="T950" s="82"/>
      <c r="U950" s="241"/>
      <c r="V950" s="82"/>
      <c r="W950" s="88"/>
      <c r="X950" s="82"/>
      <c r="Y950" s="89"/>
      <c r="Z950" s="82"/>
      <c r="AA950" s="90"/>
      <c r="AB950" s="241"/>
      <c r="AC950" s="241"/>
      <c r="AD950" s="241"/>
      <c r="AE950" s="82"/>
      <c r="AF950" s="82"/>
      <c r="AG950" s="90"/>
      <c r="AH950" s="90"/>
      <c r="AI950" s="90"/>
      <c r="AJ950" s="90"/>
      <c r="AK950" s="82"/>
      <c r="AL950" s="82" t="str" cm="1">
        <f t="array" aca="1" ref="AL950" ca="1">_xlfn.IFS(
 AND($AK950&lt;&gt;"", M950&lt;&gt;0, M950&lt;=EDATE(TODAY(),2)),"도래",
 AND($AK950&lt;&gt;"", M950&lt;&gt;0, M950&lt;=EDATE(TODAY(),3)),"예정",
 AND($AK950&lt;&gt;"", M950&lt;&gt;0, M950&lt;=EDATE(TODAY(),6)),"관심",
 TRUE,""
)</f>
        <v/>
      </c>
      <c r="AM950" s="86"/>
    </row>
    <row r="951" spans="1:39" ht="18" customHeight="1">
      <c r="A951" s="81"/>
      <c r="B951" s="205" t="str">
        <f>_xlfn.LET(_xlpm.var,◆관리정보!B951,IF(_xlpm.var&lt;&gt;0,_xlpm.var,""))</f>
        <v/>
      </c>
      <c r="C951" s="82" t="str">
        <f>_xlfn.LET(_xlpm.var,◆관리정보!C951,IF(_xlpm.var&lt;&gt;0,_xlpm.var,""))</f>
        <v/>
      </c>
      <c r="D951" s="83"/>
      <c r="E951" s="84" t="str">
        <f t="shared" si="27"/>
        <v/>
      </c>
      <c r="F951" s="87"/>
      <c r="G951" s="229"/>
      <c r="H951" s="229"/>
      <c r="I951" s="229"/>
      <c r="J951" s="229"/>
      <c r="K951" s="218"/>
      <c r="L951" s="87"/>
      <c r="M951" s="87"/>
      <c r="N951" s="82"/>
      <c r="O951" s="82"/>
      <c r="P951" s="241"/>
      <c r="Q951" s="241"/>
      <c r="R951" s="82"/>
      <c r="S951" s="241"/>
      <c r="T951" s="82"/>
      <c r="U951" s="241"/>
      <c r="V951" s="82"/>
      <c r="W951" s="88"/>
      <c r="X951" s="82"/>
      <c r="Y951" s="89"/>
      <c r="Z951" s="82"/>
      <c r="AA951" s="90"/>
      <c r="AB951" s="241"/>
      <c r="AC951" s="241"/>
      <c r="AD951" s="241"/>
      <c r="AE951" s="82"/>
      <c r="AF951" s="82"/>
      <c r="AG951" s="90"/>
      <c r="AH951" s="90"/>
      <c r="AI951" s="90"/>
      <c r="AJ951" s="90"/>
      <c r="AK951" s="82"/>
      <c r="AL951" s="82" t="str" cm="1">
        <f t="array" aca="1" ref="AL951" ca="1">_xlfn.IFS(
 AND($AK951&lt;&gt;"", M951&lt;&gt;0, M951&lt;=EDATE(TODAY(),2)),"도래",
 AND($AK951&lt;&gt;"", M951&lt;&gt;0, M951&lt;=EDATE(TODAY(),3)),"예정",
 AND($AK951&lt;&gt;"", M951&lt;&gt;0, M951&lt;=EDATE(TODAY(),6)),"관심",
 TRUE,""
)</f>
        <v/>
      </c>
      <c r="AM951" s="86"/>
    </row>
    <row r="952" spans="1:39" ht="18" customHeight="1">
      <c r="A952" s="81"/>
      <c r="B952" s="205" t="str">
        <f>_xlfn.LET(_xlpm.var,◆관리정보!B952,IF(_xlpm.var&lt;&gt;0,_xlpm.var,""))</f>
        <v/>
      </c>
      <c r="C952" s="82" t="str">
        <f>_xlfn.LET(_xlpm.var,◆관리정보!C952,IF(_xlpm.var&lt;&gt;0,_xlpm.var,""))</f>
        <v/>
      </c>
      <c r="D952" s="83"/>
      <c r="E952" s="84" t="str">
        <f t="shared" si="27"/>
        <v/>
      </c>
      <c r="F952" s="87"/>
      <c r="G952" s="229"/>
      <c r="H952" s="229"/>
      <c r="I952" s="229"/>
      <c r="J952" s="229"/>
      <c r="K952" s="218"/>
      <c r="L952" s="87"/>
      <c r="M952" s="87"/>
      <c r="N952" s="82"/>
      <c r="O952" s="82"/>
      <c r="P952" s="241"/>
      <c r="Q952" s="241"/>
      <c r="R952" s="82"/>
      <c r="S952" s="241"/>
      <c r="T952" s="82"/>
      <c r="U952" s="241"/>
      <c r="V952" s="82"/>
      <c r="W952" s="88"/>
      <c r="X952" s="82"/>
      <c r="Y952" s="89"/>
      <c r="Z952" s="82"/>
      <c r="AA952" s="90"/>
      <c r="AB952" s="241"/>
      <c r="AC952" s="241"/>
      <c r="AD952" s="241"/>
      <c r="AE952" s="82"/>
      <c r="AF952" s="82"/>
      <c r="AG952" s="90"/>
      <c r="AH952" s="90"/>
      <c r="AI952" s="90"/>
      <c r="AJ952" s="90"/>
      <c r="AK952" s="82"/>
      <c r="AL952" s="82" t="str" cm="1">
        <f t="array" aca="1" ref="AL952" ca="1">_xlfn.IFS(
 AND($AK952&lt;&gt;"", M952&lt;&gt;0, M952&lt;=EDATE(TODAY(),2)),"도래",
 AND($AK952&lt;&gt;"", M952&lt;&gt;0, M952&lt;=EDATE(TODAY(),3)),"예정",
 AND($AK952&lt;&gt;"", M952&lt;&gt;0, M952&lt;=EDATE(TODAY(),6)),"관심",
 TRUE,""
)</f>
        <v/>
      </c>
      <c r="AM952" s="86"/>
    </row>
    <row r="953" spans="1:39" ht="18" customHeight="1">
      <c r="A953" s="81"/>
      <c r="B953" s="205" t="str">
        <f>_xlfn.LET(_xlpm.var,◆관리정보!B953,IF(_xlpm.var&lt;&gt;0,_xlpm.var,""))</f>
        <v/>
      </c>
      <c r="C953" s="82" t="str">
        <f>_xlfn.LET(_xlpm.var,◆관리정보!C953,IF(_xlpm.var&lt;&gt;0,_xlpm.var,""))</f>
        <v/>
      </c>
      <c r="D953" s="83"/>
      <c r="E953" s="84" t="str">
        <f t="shared" si="27"/>
        <v/>
      </c>
      <c r="F953" s="87"/>
      <c r="G953" s="229"/>
      <c r="H953" s="229"/>
      <c r="I953" s="229"/>
      <c r="J953" s="229"/>
      <c r="K953" s="218"/>
      <c r="L953" s="87"/>
      <c r="M953" s="87"/>
      <c r="N953" s="82"/>
      <c r="O953" s="82"/>
      <c r="P953" s="241"/>
      <c r="Q953" s="241"/>
      <c r="R953" s="82"/>
      <c r="S953" s="241"/>
      <c r="T953" s="82"/>
      <c r="U953" s="241"/>
      <c r="V953" s="82"/>
      <c r="W953" s="88"/>
      <c r="X953" s="82"/>
      <c r="Y953" s="89"/>
      <c r="Z953" s="82"/>
      <c r="AA953" s="90"/>
      <c r="AB953" s="241"/>
      <c r="AC953" s="241"/>
      <c r="AD953" s="241"/>
      <c r="AE953" s="82"/>
      <c r="AF953" s="82"/>
      <c r="AG953" s="90"/>
      <c r="AH953" s="90"/>
      <c r="AI953" s="90"/>
      <c r="AJ953" s="90"/>
      <c r="AK953" s="82"/>
      <c r="AL953" s="82" t="str" cm="1">
        <f t="array" aca="1" ref="AL953" ca="1">_xlfn.IFS(
 AND($AK953&lt;&gt;"", M953&lt;&gt;0, M953&lt;=EDATE(TODAY(),2)),"도래",
 AND($AK953&lt;&gt;"", M953&lt;&gt;0, M953&lt;=EDATE(TODAY(),3)),"예정",
 AND($AK953&lt;&gt;"", M953&lt;&gt;0, M953&lt;=EDATE(TODAY(),6)),"관심",
 TRUE,""
)</f>
        <v/>
      </c>
      <c r="AM953" s="86"/>
    </row>
    <row r="954" spans="1:39" ht="18" customHeight="1">
      <c r="A954" s="81"/>
      <c r="B954" s="205" t="str">
        <f>_xlfn.LET(_xlpm.var,◆관리정보!B954,IF(_xlpm.var&lt;&gt;0,_xlpm.var,""))</f>
        <v/>
      </c>
      <c r="C954" s="82" t="str">
        <f>_xlfn.LET(_xlpm.var,◆관리정보!C954,IF(_xlpm.var&lt;&gt;0,_xlpm.var,""))</f>
        <v/>
      </c>
      <c r="D954" s="83"/>
      <c r="E954" s="84" t="str">
        <f t="shared" si="27"/>
        <v/>
      </c>
      <c r="F954" s="87"/>
      <c r="G954" s="229"/>
      <c r="H954" s="229"/>
      <c r="I954" s="229"/>
      <c r="J954" s="229"/>
      <c r="K954" s="218"/>
      <c r="L954" s="87"/>
      <c r="M954" s="87"/>
      <c r="N954" s="82"/>
      <c r="O954" s="82"/>
      <c r="P954" s="241"/>
      <c r="Q954" s="241"/>
      <c r="R954" s="82"/>
      <c r="S954" s="241"/>
      <c r="T954" s="82"/>
      <c r="U954" s="241"/>
      <c r="V954" s="82"/>
      <c r="W954" s="88"/>
      <c r="X954" s="82"/>
      <c r="Y954" s="89"/>
      <c r="Z954" s="82"/>
      <c r="AA954" s="90"/>
      <c r="AB954" s="241"/>
      <c r="AC954" s="241"/>
      <c r="AD954" s="241"/>
      <c r="AE954" s="82"/>
      <c r="AF954" s="82"/>
      <c r="AG954" s="90"/>
      <c r="AH954" s="90"/>
      <c r="AI954" s="90"/>
      <c r="AJ954" s="90"/>
      <c r="AK954" s="82"/>
      <c r="AL954" s="82" t="str" cm="1">
        <f t="array" aca="1" ref="AL954" ca="1">_xlfn.IFS(
 AND($AK954&lt;&gt;"", M954&lt;&gt;0, M954&lt;=EDATE(TODAY(),2)),"도래",
 AND($AK954&lt;&gt;"", M954&lt;&gt;0, M954&lt;=EDATE(TODAY(),3)),"예정",
 AND($AK954&lt;&gt;"", M954&lt;&gt;0, M954&lt;=EDATE(TODAY(),6)),"관심",
 TRUE,""
)</f>
        <v/>
      </c>
      <c r="AM954" s="86"/>
    </row>
    <row r="955" spans="1:39" ht="18" customHeight="1">
      <c r="A955" s="81"/>
      <c r="B955" s="205" t="str">
        <f>_xlfn.LET(_xlpm.var,◆관리정보!B955,IF(_xlpm.var&lt;&gt;0,_xlpm.var,""))</f>
        <v/>
      </c>
      <c r="C955" s="82" t="str">
        <f>_xlfn.LET(_xlpm.var,◆관리정보!C955,IF(_xlpm.var&lt;&gt;0,_xlpm.var,""))</f>
        <v/>
      </c>
      <c r="D955" s="83"/>
      <c r="E955" s="84" t="str">
        <f t="shared" si="27"/>
        <v/>
      </c>
      <c r="F955" s="87"/>
      <c r="G955" s="229"/>
      <c r="H955" s="229"/>
      <c r="I955" s="229"/>
      <c r="J955" s="229"/>
      <c r="K955" s="218"/>
      <c r="L955" s="87"/>
      <c r="M955" s="87"/>
      <c r="N955" s="82"/>
      <c r="O955" s="82"/>
      <c r="P955" s="241"/>
      <c r="Q955" s="241"/>
      <c r="R955" s="82"/>
      <c r="S955" s="241"/>
      <c r="T955" s="82"/>
      <c r="U955" s="241"/>
      <c r="V955" s="82"/>
      <c r="W955" s="88"/>
      <c r="X955" s="82"/>
      <c r="Y955" s="89"/>
      <c r="Z955" s="82"/>
      <c r="AA955" s="90"/>
      <c r="AB955" s="241"/>
      <c r="AC955" s="241"/>
      <c r="AD955" s="241"/>
      <c r="AE955" s="82"/>
      <c r="AF955" s="82"/>
      <c r="AG955" s="90"/>
      <c r="AH955" s="90"/>
      <c r="AI955" s="90"/>
      <c r="AJ955" s="90"/>
      <c r="AK955" s="82"/>
      <c r="AL955" s="82" t="str" cm="1">
        <f t="array" aca="1" ref="AL955" ca="1">_xlfn.IFS(
 AND($AK955&lt;&gt;"", M955&lt;&gt;0, M955&lt;=EDATE(TODAY(),2)),"도래",
 AND($AK955&lt;&gt;"", M955&lt;&gt;0, M955&lt;=EDATE(TODAY(),3)),"예정",
 AND($AK955&lt;&gt;"", M955&lt;&gt;0, M955&lt;=EDATE(TODAY(),6)),"관심",
 TRUE,""
)</f>
        <v/>
      </c>
      <c r="AM955" s="86"/>
    </row>
    <row r="956" spans="1:39" ht="18" customHeight="1">
      <c r="A956" s="81"/>
      <c r="B956" s="205" t="str">
        <f>_xlfn.LET(_xlpm.var,◆관리정보!B956,IF(_xlpm.var&lt;&gt;0,_xlpm.var,""))</f>
        <v/>
      </c>
      <c r="C956" s="82" t="str">
        <f>_xlfn.LET(_xlpm.var,◆관리정보!C956,IF(_xlpm.var&lt;&gt;0,_xlpm.var,""))</f>
        <v/>
      </c>
      <c r="D956" s="83"/>
      <c r="E956" s="84" t="str">
        <f t="shared" si="27"/>
        <v/>
      </c>
      <c r="F956" s="87"/>
      <c r="G956" s="229"/>
      <c r="H956" s="229"/>
      <c r="I956" s="229"/>
      <c r="J956" s="229"/>
      <c r="K956" s="218"/>
      <c r="L956" s="87"/>
      <c r="M956" s="87"/>
      <c r="N956" s="82"/>
      <c r="O956" s="82"/>
      <c r="P956" s="241"/>
      <c r="Q956" s="241"/>
      <c r="R956" s="82"/>
      <c r="S956" s="241"/>
      <c r="T956" s="82"/>
      <c r="U956" s="241"/>
      <c r="V956" s="82"/>
      <c r="W956" s="88"/>
      <c r="X956" s="82"/>
      <c r="Y956" s="89"/>
      <c r="Z956" s="82"/>
      <c r="AA956" s="90"/>
      <c r="AB956" s="241"/>
      <c r="AC956" s="241"/>
      <c r="AD956" s="241"/>
      <c r="AE956" s="82"/>
      <c r="AF956" s="82"/>
      <c r="AG956" s="90"/>
      <c r="AH956" s="90"/>
      <c r="AI956" s="90"/>
      <c r="AJ956" s="90"/>
      <c r="AK956" s="82"/>
      <c r="AL956" s="82" t="str" cm="1">
        <f t="array" aca="1" ref="AL956" ca="1">_xlfn.IFS(
 AND($AK956&lt;&gt;"", M956&lt;&gt;0, M956&lt;=EDATE(TODAY(),2)),"도래",
 AND($AK956&lt;&gt;"", M956&lt;&gt;0, M956&lt;=EDATE(TODAY(),3)),"예정",
 AND($AK956&lt;&gt;"", M956&lt;&gt;0, M956&lt;=EDATE(TODAY(),6)),"관심",
 TRUE,""
)</f>
        <v/>
      </c>
      <c r="AM956" s="86"/>
    </row>
    <row r="957" spans="1:39" ht="18" customHeight="1">
      <c r="A957" s="81"/>
      <c r="B957" s="205" t="str">
        <f>_xlfn.LET(_xlpm.var,◆관리정보!B957,IF(_xlpm.var&lt;&gt;0,_xlpm.var,""))</f>
        <v/>
      </c>
      <c r="C957" s="82" t="str">
        <f>_xlfn.LET(_xlpm.var,◆관리정보!C957,IF(_xlpm.var&lt;&gt;0,_xlpm.var,""))</f>
        <v/>
      </c>
      <c r="D957" s="83"/>
      <c r="E957" s="84" t="str">
        <f t="shared" si="27"/>
        <v/>
      </c>
      <c r="F957" s="87"/>
      <c r="G957" s="229"/>
      <c r="H957" s="229"/>
      <c r="I957" s="229"/>
      <c r="J957" s="229"/>
      <c r="K957" s="218"/>
      <c r="L957" s="87"/>
      <c r="M957" s="87"/>
      <c r="N957" s="82"/>
      <c r="O957" s="82"/>
      <c r="P957" s="241"/>
      <c r="Q957" s="241"/>
      <c r="R957" s="82"/>
      <c r="S957" s="241"/>
      <c r="T957" s="82"/>
      <c r="U957" s="241"/>
      <c r="V957" s="82"/>
      <c r="W957" s="88"/>
      <c r="X957" s="82"/>
      <c r="Y957" s="89"/>
      <c r="Z957" s="82"/>
      <c r="AA957" s="90"/>
      <c r="AB957" s="241"/>
      <c r="AC957" s="241"/>
      <c r="AD957" s="241"/>
      <c r="AE957" s="82"/>
      <c r="AF957" s="82"/>
      <c r="AG957" s="90"/>
      <c r="AH957" s="90"/>
      <c r="AI957" s="90"/>
      <c r="AJ957" s="90"/>
      <c r="AK957" s="82"/>
      <c r="AL957" s="82" t="str" cm="1">
        <f t="array" aca="1" ref="AL957" ca="1">_xlfn.IFS(
 AND($AK957&lt;&gt;"", M957&lt;&gt;0, M957&lt;=EDATE(TODAY(),2)),"도래",
 AND($AK957&lt;&gt;"", M957&lt;&gt;0, M957&lt;=EDATE(TODAY(),3)),"예정",
 AND($AK957&lt;&gt;"", M957&lt;&gt;0, M957&lt;=EDATE(TODAY(),6)),"관심",
 TRUE,""
)</f>
        <v/>
      </c>
      <c r="AM957" s="86"/>
    </row>
    <row r="958" spans="1:39" ht="18" customHeight="1">
      <c r="A958" s="81"/>
      <c r="B958" s="205" t="str">
        <f>_xlfn.LET(_xlpm.var,◆관리정보!B958,IF(_xlpm.var&lt;&gt;0,_xlpm.var,""))</f>
        <v/>
      </c>
      <c r="C958" s="82" t="str">
        <f>_xlfn.LET(_xlpm.var,◆관리정보!C958,IF(_xlpm.var&lt;&gt;0,_xlpm.var,""))</f>
        <v/>
      </c>
      <c r="D958" s="83"/>
      <c r="E958" s="84" t="str">
        <f t="shared" si="27"/>
        <v/>
      </c>
      <c r="F958" s="87"/>
      <c r="G958" s="229"/>
      <c r="H958" s="229"/>
      <c r="I958" s="229"/>
      <c r="J958" s="229"/>
      <c r="K958" s="218"/>
      <c r="L958" s="87"/>
      <c r="M958" s="87"/>
      <c r="N958" s="82"/>
      <c r="O958" s="82"/>
      <c r="P958" s="241"/>
      <c r="Q958" s="241"/>
      <c r="R958" s="82"/>
      <c r="S958" s="241"/>
      <c r="T958" s="82"/>
      <c r="U958" s="241"/>
      <c r="V958" s="82"/>
      <c r="W958" s="88"/>
      <c r="X958" s="82"/>
      <c r="Y958" s="89"/>
      <c r="Z958" s="82"/>
      <c r="AA958" s="90"/>
      <c r="AB958" s="241"/>
      <c r="AC958" s="241"/>
      <c r="AD958" s="241"/>
      <c r="AE958" s="82"/>
      <c r="AF958" s="82"/>
      <c r="AG958" s="90"/>
      <c r="AH958" s="90"/>
      <c r="AI958" s="90"/>
      <c r="AJ958" s="90"/>
      <c r="AK958" s="82"/>
      <c r="AL958" s="82" t="str" cm="1">
        <f t="array" aca="1" ref="AL958" ca="1">_xlfn.IFS(
 AND($AK958&lt;&gt;"", M958&lt;&gt;0, M958&lt;=EDATE(TODAY(),2)),"도래",
 AND($AK958&lt;&gt;"", M958&lt;&gt;0, M958&lt;=EDATE(TODAY(),3)),"예정",
 AND($AK958&lt;&gt;"", M958&lt;&gt;0, M958&lt;=EDATE(TODAY(),6)),"관심",
 TRUE,""
)</f>
        <v/>
      </c>
      <c r="AM958" s="86"/>
    </row>
    <row r="959" spans="1:39" ht="18" customHeight="1">
      <c r="A959" s="81"/>
      <c r="B959" s="205" t="str">
        <f>_xlfn.LET(_xlpm.var,◆관리정보!B959,IF(_xlpm.var&lt;&gt;0,_xlpm.var,""))</f>
        <v/>
      </c>
      <c r="C959" s="82" t="str">
        <f>_xlfn.LET(_xlpm.var,◆관리정보!C959,IF(_xlpm.var&lt;&gt;0,_xlpm.var,""))</f>
        <v/>
      </c>
      <c r="D959" s="83"/>
      <c r="E959" s="84" t="str">
        <f t="shared" si="27"/>
        <v/>
      </c>
      <c r="F959" s="87"/>
      <c r="G959" s="229"/>
      <c r="H959" s="229"/>
      <c r="I959" s="229"/>
      <c r="J959" s="229"/>
      <c r="K959" s="218"/>
      <c r="L959" s="87"/>
      <c r="M959" s="87"/>
      <c r="N959" s="82"/>
      <c r="O959" s="82"/>
      <c r="P959" s="241"/>
      <c r="Q959" s="241"/>
      <c r="R959" s="82"/>
      <c r="S959" s="241"/>
      <c r="T959" s="82"/>
      <c r="U959" s="241"/>
      <c r="V959" s="82"/>
      <c r="W959" s="88"/>
      <c r="X959" s="82"/>
      <c r="Y959" s="89"/>
      <c r="Z959" s="82"/>
      <c r="AA959" s="90"/>
      <c r="AB959" s="241"/>
      <c r="AC959" s="241"/>
      <c r="AD959" s="241"/>
      <c r="AE959" s="82"/>
      <c r="AF959" s="82"/>
      <c r="AG959" s="90"/>
      <c r="AH959" s="90"/>
      <c r="AI959" s="90"/>
      <c r="AJ959" s="90"/>
      <c r="AK959" s="82"/>
      <c r="AL959" s="82" t="str" cm="1">
        <f t="array" aca="1" ref="AL959" ca="1">_xlfn.IFS(
 AND($AK959&lt;&gt;"", M959&lt;&gt;0, M959&lt;=EDATE(TODAY(),2)),"도래",
 AND($AK959&lt;&gt;"", M959&lt;&gt;0, M959&lt;=EDATE(TODAY(),3)),"예정",
 AND($AK959&lt;&gt;"", M959&lt;&gt;0, M959&lt;=EDATE(TODAY(),6)),"관심",
 TRUE,""
)</f>
        <v/>
      </c>
      <c r="AM959" s="86"/>
    </row>
    <row r="960" spans="1:39" ht="18" customHeight="1">
      <c r="A960" s="81"/>
      <c r="B960" s="205" t="str">
        <f>_xlfn.LET(_xlpm.var,◆관리정보!B960,IF(_xlpm.var&lt;&gt;0,_xlpm.var,""))</f>
        <v/>
      </c>
      <c r="C960" s="82" t="str">
        <f>_xlfn.LET(_xlpm.var,◆관리정보!C960,IF(_xlpm.var&lt;&gt;0,_xlpm.var,""))</f>
        <v/>
      </c>
      <c r="D960" s="83"/>
      <c r="E960" s="84" t="str">
        <f t="shared" si="27"/>
        <v/>
      </c>
      <c r="F960" s="87"/>
      <c r="G960" s="229"/>
      <c r="H960" s="229"/>
      <c r="I960" s="229"/>
      <c r="J960" s="229"/>
      <c r="K960" s="218"/>
      <c r="L960" s="87"/>
      <c r="M960" s="87"/>
      <c r="N960" s="82"/>
      <c r="O960" s="82"/>
      <c r="P960" s="241"/>
      <c r="Q960" s="241"/>
      <c r="R960" s="82"/>
      <c r="S960" s="241"/>
      <c r="T960" s="82"/>
      <c r="U960" s="241"/>
      <c r="V960" s="82"/>
      <c r="W960" s="88"/>
      <c r="X960" s="82"/>
      <c r="Y960" s="89"/>
      <c r="Z960" s="82"/>
      <c r="AA960" s="90"/>
      <c r="AB960" s="241"/>
      <c r="AC960" s="241"/>
      <c r="AD960" s="241"/>
      <c r="AE960" s="82"/>
      <c r="AF960" s="82"/>
      <c r="AG960" s="90"/>
      <c r="AH960" s="90"/>
      <c r="AI960" s="90"/>
      <c r="AJ960" s="90"/>
      <c r="AK960" s="82"/>
      <c r="AL960" s="82" t="str" cm="1">
        <f t="array" aca="1" ref="AL960" ca="1">_xlfn.IFS(
 AND($AK960&lt;&gt;"", M960&lt;&gt;0, M960&lt;=EDATE(TODAY(),2)),"도래",
 AND($AK960&lt;&gt;"", M960&lt;&gt;0, M960&lt;=EDATE(TODAY(),3)),"예정",
 AND($AK960&lt;&gt;"", M960&lt;&gt;0, M960&lt;=EDATE(TODAY(),6)),"관심",
 TRUE,""
)</f>
        <v/>
      </c>
      <c r="AM960" s="86"/>
    </row>
    <row r="961" spans="1:39" ht="18" customHeight="1">
      <c r="A961" s="81"/>
      <c r="B961" s="205" t="str">
        <f>_xlfn.LET(_xlpm.var,◆관리정보!B961,IF(_xlpm.var&lt;&gt;0,_xlpm.var,""))</f>
        <v/>
      </c>
      <c r="C961" s="82" t="str">
        <f>_xlfn.LET(_xlpm.var,◆관리정보!C961,IF(_xlpm.var&lt;&gt;0,_xlpm.var,""))</f>
        <v/>
      </c>
      <c r="D961" s="83"/>
      <c r="E961" s="84" t="str">
        <f t="shared" si="27"/>
        <v/>
      </c>
      <c r="F961" s="87"/>
      <c r="G961" s="229"/>
      <c r="H961" s="229"/>
      <c r="I961" s="229"/>
      <c r="J961" s="229"/>
      <c r="K961" s="218"/>
      <c r="L961" s="87"/>
      <c r="M961" s="87"/>
      <c r="N961" s="82"/>
      <c r="O961" s="82"/>
      <c r="P961" s="241"/>
      <c r="Q961" s="241"/>
      <c r="R961" s="82"/>
      <c r="S961" s="241"/>
      <c r="T961" s="82"/>
      <c r="U961" s="241"/>
      <c r="V961" s="82"/>
      <c r="W961" s="88"/>
      <c r="X961" s="82"/>
      <c r="Y961" s="89"/>
      <c r="Z961" s="82"/>
      <c r="AA961" s="90"/>
      <c r="AB961" s="241"/>
      <c r="AC961" s="241"/>
      <c r="AD961" s="241"/>
      <c r="AE961" s="82"/>
      <c r="AF961" s="82"/>
      <c r="AG961" s="90"/>
      <c r="AH961" s="90"/>
      <c r="AI961" s="90"/>
      <c r="AJ961" s="90"/>
      <c r="AK961" s="82"/>
      <c r="AL961" s="82" t="str" cm="1">
        <f t="array" aca="1" ref="AL961" ca="1">_xlfn.IFS(
 AND($AK961&lt;&gt;"", M961&lt;&gt;0, M961&lt;=EDATE(TODAY(),2)),"도래",
 AND($AK961&lt;&gt;"", M961&lt;&gt;0, M961&lt;=EDATE(TODAY(),3)),"예정",
 AND($AK961&lt;&gt;"", M961&lt;&gt;0, M961&lt;=EDATE(TODAY(),6)),"관심",
 TRUE,""
)</f>
        <v/>
      </c>
      <c r="AM961" s="86"/>
    </row>
    <row r="962" spans="1:39" ht="18" customHeight="1">
      <c r="A962" s="81"/>
      <c r="B962" s="205" t="str">
        <f>_xlfn.LET(_xlpm.var,◆관리정보!B962,IF(_xlpm.var&lt;&gt;0,_xlpm.var,""))</f>
        <v/>
      </c>
      <c r="C962" s="82" t="str">
        <f>_xlfn.LET(_xlpm.var,◆관리정보!C962,IF(_xlpm.var&lt;&gt;0,_xlpm.var,""))</f>
        <v/>
      </c>
      <c r="D962" s="83"/>
      <c r="E962" s="84" t="str">
        <f t="shared" si="27"/>
        <v/>
      </c>
      <c r="F962" s="87"/>
      <c r="G962" s="229"/>
      <c r="H962" s="229"/>
      <c r="I962" s="229"/>
      <c r="J962" s="229"/>
      <c r="K962" s="218"/>
      <c r="L962" s="87"/>
      <c r="M962" s="87"/>
      <c r="N962" s="82"/>
      <c r="O962" s="82"/>
      <c r="P962" s="241"/>
      <c r="Q962" s="241"/>
      <c r="R962" s="82"/>
      <c r="S962" s="241"/>
      <c r="T962" s="82"/>
      <c r="U962" s="241"/>
      <c r="V962" s="82"/>
      <c r="W962" s="88"/>
      <c r="X962" s="82"/>
      <c r="Y962" s="89"/>
      <c r="Z962" s="82"/>
      <c r="AA962" s="90"/>
      <c r="AB962" s="241"/>
      <c r="AC962" s="241"/>
      <c r="AD962" s="241"/>
      <c r="AE962" s="82"/>
      <c r="AF962" s="82"/>
      <c r="AG962" s="90"/>
      <c r="AH962" s="90"/>
      <c r="AI962" s="90"/>
      <c r="AJ962" s="90"/>
      <c r="AK962" s="82"/>
      <c r="AL962" s="82" t="str" cm="1">
        <f t="array" aca="1" ref="AL962" ca="1">_xlfn.IFS(
 AND($AK962&lt;&gt;"", M962&lt;&gt;0, M962&lt;=EDATE(TODAY(),2)),"도래",
 AND($AK962&lt;&gt;"", M962&lt;&gt;0, M962&lt;=EDATE(TODAY(),3)),"예정",
 AND($AK962&lt;&gt;"", M962&lt;&gt;0, M962&lt;=EDATE(TODAY(),6)),"관심",
 TRUE,""
)</f>
        <v/>
      </c>
      <c r="AM962" s="86"/>
    </row>
    <row r="963" spans="1:39" ht="18" customHeight="1">
      <c r="A963" s="81"/>
      <c r="B963" s="205" t="str">
        <f>_xlfn.LET(_xlpm.var,◆관리정보!B963,IF(_xlpm.var&lt;&gt;0,_xlpm.var,""))</f>
        <v/>
      </c>
      <c r="C963" s="82" t="str">
        <f>_xlfn.LET(_xlpm.var,◆관리정보!C963,IF(_xlpm.var&lt;&gt;0,_xlpm.var,""))</f>
        <v/>
      </c>
      <c r="D963" s="83"/>
      <c r="E963" s="84" t="str">
        <f t="shared" si="27"/>
        <v/>
      </c>
      <c r="F963" s="87"/>
      <c r="G963" s="229"/>
      <c r="H963" s="229"/>
      <c r="I963" s="229"/>
      <c r="J963" s="229"/>
      <c r="K963" s="218"/>
      <c r="L963" s="87"/>
      <c r="M963" s="87"/>
      <c r="N963" s="82"/>
      <c r="O963" s="82"/>
      <c r="P963" s="241"/>
      <c r="Q963" s="241"/>
      <c r="R963" s="82"/>
      <c r="S963" s="241"/>
      <c r="T963" s="82"/>
      <c r="U963" s="241"/>
      <c r="V963" s="82"/>
      <c r="W963" s="88"/>
      <c r="X963" s="82"/>
      <c r="Y963" s="89"/>
      <c r="Z963" s="82"/>
      <c r="AA963" s="90"/>
      <c r="AB963" s="241"/>
      <c r="AC963" s="241"/>
      <c r="AD963" s="241"/>
      <c r="AE963" s="82"/>
      <c r="AF963" s="82"/>
      <c r="AG963" s="90"/>
      <c r="AH963" s="90"/>
      <c r="AI963" s="90"/>
      <c r="AJ963" s="90"/>
      <c r="AK963" s="82"/>
      <c r="AL963" s="82" t="str" cm="1">
        <f t="array" aca="1" ref="AL963" ca="1">_xlfn.IFS(
 AND($AK963&lt;&gt;"", M963&lt;&gt;0, M963&lt;=EDATE(TODAY(),2)),"도래",
 AND($AK963&lt;&gt;"", M963&lt;&gt;0, M963&lt;=EDATE(TODAY(),3)),"예정",
 AND($AK963&lt;&gt;"", M963&lt;&gt;0, M963&lt;=EDATE(TODAY(),6)),"관심",
 TRUE,""
)</f>
        <v/>
      </c>
      <c r="AM963" s="86"/>
    </row>
    <row r="964" spans="1:39" ht="18" customHeight="1">
      <c r="A964" s="81"/>
      <c r="B964" s="205" t="str">
        <f>_xlfn.LET(_xlpm.var,◆관리정보!B964,IF(_xlpm.var&lt;&gt;0,_xlpm.var,""))</f>
        <v/>
      </c>
      <c r="C964" s="82" t="str">
        <f>_xlfn.LET(_xlpm.var,◆관리정보!C964,IF(_xlpm.var&lt;&gt;0,_xlpm.var,""))</f>
        <v/>
      </c>
      <c r="D964" s="83"/>
      <c r="E964" s="84" t="str">
        <f t="shared" ref="E964:E1000" si="28">_xlfn.CONCAT(B964,C964)</f>
        <v/>
      </c>
      <c r="F964" s="87"/>
      <c r="G964" s="229"/>
      <c r="H964" s="229"/>
      <c r="I964" s="229"/>
      <c r="J964" s="229"/>
      <c r="K964" s="218"/>
      <c r="L964" s="87"/>
      <c r="M964" s="87"/>
      <c r="N964" s="82"/>
      <c r="O964" s="82"/>
      <c r="P964" s="241"/>
      <c r="Q964" s="241"/>
      <c r="R964" s="82"/>
      <c r="S964" s="241"/>
      <c r="T964" s="82"/>
      <c r="U964" s="241"/>
      <c r="V964" s="82"/>
      <c r="W964" s="88"/>
      <c r="X964" s="82"/>
      <c r="Y964" s="89"/>
      <c r="Z964" s="82"/>
      <c r="AA964" s="90"/>
      <c r="AB964" s="241"/>
      <c r="AC964" s="241"/>
      <c r="AD964" s="241"/>
      <c r="AE964" s="82"/>
      <c r="AF964" s="82"/>
      <c r="AG964" s="90"/>
      <c r="AH964" s="90"/>
      <c r="AI964" s="90"/>
      <c r="AJ964" s="90"/>
      <c r="AK964" s="82"/>
      <c r="AL964" s="82" t="str" cm="1">
        <f t="array" aca="1" ref="AL964" ca="1">_xlfn.IFS(
 AND($AK964&lt;&gt;"", M964&lt;&gt;0, M964&lt;=EDATE(TODAY(),2)),"도래",
 AND($AK964&lt;&gt;"", M964&lt;&gt;0, M964&lt;=EDATE(TODAY(),3)),"예정",
 AND($AK964&lt;&gt;"", M964&lt;&gt;0, M964&lt;=EDATE(TODAY(),6)),"관심",
 TRUE,""
)</f>
        <v/>
      </c>
      <c r="AM964" s="86"/>
    </row>
    <row r="965" spans="1:39" ht="18" customHeight="1">
      <c r="A965" s="81"/>
      <c r="B965" s="205" t="str">
        <f>_xlfn.LET(_xlpm.var,◆관리정보!B965,IF(_xlpm.var&lt;&gt;0,_xlpm.var,""))</f>
        <v/>
      </c>
      <c r="C965" s="82" t="str">
        <f>_xlfn.LET(_xlpm.var,◆관리정보!C965,IF(_xlpm.var&lt;&gt;0,_xlpm.var,""))</f>
        <v/>
      </c>
      <c r="D965" s="83"/>
      <c r="E965" s="84" t="str">
        <f t="shared" si="28"/>
        <v/>
      </c>
      <c r="F965" s="87"/>
      <c r="G965" s="229"/>
      <c r="H965" s="229"/>
      <c r="I965" s="229"/>
      <c r="J965" s="229"/>
      <c r="K965" s="218"/>
      <c r="L965" s="87"/>
      <c r="M965" s="87"/>
      <c r="N965" s="82"/>
      <c r="O965" s="82"/>
      <c r="P965" s="241"/>
      <c r="Q965" s="241"/>
      <c r="R965" s="82"/>
      <c r="S965" s="241"/>
      <c r="T965" s="82"/>
      <c r="U965" s="241"/>
      <c r="V965" s="82"/>
      <c r="W965" s="88"/>
      <c r="X965" s="82"/>
      <c r="Y965" s="89"/>
      <c r="Z965" s="82"/>
      <c r="AA965" s="90"/>
      <c r="AB965" s="241"/>
      <c r="AC965" s="241"/>
      <c r="AD965" s="241"/>
      <c r="AE965" s="82"/>
      <c r="AF965" s="82"/>
      <c r="AG965" s="90"/>
      <c r="AH965" s="90"/>
      <c r="AI965" s="90"/>
      <c r="AJ965" s="90"/>
      <c r="AK965" s="82"/>
      <c r="AL965" s="82" t="str" cm="1">
        <f t="array" aca="1" ref="AL965" ca="1">_xlfn.IFS(
 AND($AK965&lt;&gt;"", M965&lt;&gt;0, M965&lt;=EDATE(TODAY(),2)),"도래",
 AND($AK965&lt;&gt;"", M965&lt;&gt;0, M965&lt;=EDATE(TODAY(),3)),"예정",
 AND($AK965&lt;&gt;"", M965&lt;&gt;0, M965&lt;=EDATE(TODAY(),6)),"관심",
 TRUE,""
)</f>
        <v/>
      </c>
      <c r="AM965" s="86"/>
    </row>
    <row r="966" spans="1:39" ht="18" customHeight="1">
      <c r="A966" s="81"/>
      <c r="B966" s="205" t="str">
        <f>_xlfn.LET(_xlpm.var,◆관리정보!B966,IF(_xlpm.var&lt;&gt;0,_xlpm.var,""))</f>
        <v/>
      </c>
      <c r="C966" s="82" t="str">
        <f>_xlfn.LET(_xlpm.var,◆관리정보!C966,IF(_xlpm.var&lt;&gt;0,_xlpm.var,""))</f>
        <v/>
      </c>
      <c r="D966" s="83"/>
      <c r="E966" s="84" t="str">
        <f t="shared" si="28"/>
        <v/>
      </c>
      <c r="F966" s="87"/>
      <c r="G966" s="229"/>
      <c r="H966" s="229"/>
      <c r="I966" s="229"/>
      <c r="J966" s="229"/>
      <c r="K966" s="218"/>
      <c r="L966" s="87"/>
      <c r="M966" s="87"/>
      <c r="N966" s="82"/>
      <c r="O966" s="82"/>
      <c r="P966" s="241"/>
      <c r="Q966" s="241"/>
      <c r="R966" s="82"/>
      <c r="S966" s="241"/>
      <c r="T966" s="82"/>
      <c r="U966" s="241"/>
      <c r="V966" s="82"/>
      <c r="W966" s="88"/>
      <c r="X966" s="82"/>
      <c r="Y966" s="89"/>
      <c r="Z966" s="82"/>
      <c r="AA966" s="90"/>
      <c r="AB966" s="241"/>
      <c r="AC966" s="241"/>
      <c r="AD966" s="241"/>
      <c r="AE966" s="82"/>
      <c r="AF966" s="82"/>
      <c r="AG966" s="90"/>
      <c r="AH966" s="90"/>
      <c r="AI966" s="90"/>
      <c r="AJ966" s="90"/>
      <c r="AK966" s="82"/>
      <c r="AL966" s="82" t="str" cm="1">
        <f t="array" aca="1" ref="AL966" ca="1">_xlfn.IFS(
 AND($AK966&lt;&gt;"", M966&lt;&gt;0, M966&lt;=EDATE(TODAY(),2)),"도래",
 AND($AK966&lt;&gt;"", M966&lt;&gt;0, M966&lt;=EDATE(TODAY(),3)),"예정",
 AND($AK966&lt;&gt;"", M966&lt;&gt;0, M966&lt;=EDATE(TODAY(),6)),"관심",
 TRUE,""
)</f>
        <v/>
      </c>
      <c r="AM966" s="86"/>
    </row>
    <row r="967" spans="1:39" ht="18" customHeight="1">
      <c r="A967" s="81"/>
      <c r="B967" s="205" t="str">
        <f>_xlfn.LET(_xlpm.var,◆관리정보!B967,IF(_xlpm.var&lt;&gt;0,_xlpm.var,""))</f>
        <v/>
      </c>
      <c r="C967" s="82" t="str">
        <f>_xlfn.LET(_xlpm.var,◆관리정보!C967,IF(_xlpm.var&lt;&gt;0,_xlpm.var,""))</f>
        <v/>
      </c>
      <c r="D967" s="83"/>
      <c r="E967" s="84" t="str">
        <f t="shared" si="28"/>
        <v/>
      </c>
      <c r="F967" s="87"/>
      <c r="G967" s="229"/>
      <c r="H967" s="229"/>
      <c r="I967" s="229"/>
      <c r="J967" s="229"/>
      <c r="K967" s="218"/>
      <c r="L967" s="87"/>
      <c r="M967" s="87"/>
      <c r="N967" s="82"/>
      <c r="O967" s="82"/>
      <c r="P967" s="241"/>
      <c r="Q967" s="241"/>
      <c r="R967" s="82"/>
      <c r="S967" s="241"/>
      <c r="T967" s="82"/>
      <c r="U967" s="241"/>
      <c r="V967" s="82"/>
      <c r="W967" s="88"/>
      <c r="X967" s="82"/>
      <c r="Y967" s="89"/>
      <c r="Z967" s="82"/>
      <c r="AA967" s="90"/>
      <c r="AB967" s="241"/>
      <c r="AC967" s="241"/>
      <c r="AD967" s="241"/>
      <c r="AE967" s="82"/>
      <c r="AF967" s="82"/>
      <c r="AG967" s="90"/>
      <c r="AH967" s="90"/>
      <c r="AI967" s="90"/>
      <c r="AJ967" s="90"/>
      <c r="AK967" s="82"/>
      <c r="AL967" s="82" t="str" cm="1">
        <f t="array" aca="1" ref="AL967" ca="1">_xlfn.IFS(
 AND($AK967&lt;&gt;"", M967&lt;&gt;0, M967&lt;=EDATE(TODAY(),2)),"도래",
 AND($AK967&lt;&gt;"", M967&lt;&gt;0, M967&lt;=EDATE(TODAY(),3)),"예정",
 AND($AK967&lt;&gt;"", M967&lt;&gt;0, M967&lt;=EDATE(TODAY(),6)),"관심",
 TRUE,""
)</f>
        <v/>
      </c>
      <c r="AM967" s="86"/>
    </row>
    <row r="968" spans="1:39" ht="18" customHeight="1">
      <c r="A968" s="81"/>
      <c r="B968" s="205" t="str">
        <f>_xlfn.LET(_xlpm.var,◆관리정보!B968,IF(_xlpm.var&lt;&gt;0,_xlpm.var,""))</f>
        <v/>
      </c>
      <c r="C968" s="82" t="str">
        <f>_xlfn.LET(_xlpm.var,◆관리정보!C968,IF(_xlpm.var&lt;&gt;0,_xlpm.var,""))</f>
        <v/>
      </c>
      <c r="D968" s="83"/>
      <c r="E968" s="84" t="str">
        <f t="shared" si="28"/>
        <v/>
      </c>
      <c r="F968" s="87"/>
      <c r="G968" s="229"/>
      <c r="H968" s="229"/>
      <c r="I968" s="229"/>
      <c r="J968" s="229"/>
      <c r="K968" s="218"/>
      <c r="L968" s="87"/>
      <c r="M968" s="87"/>
      <c r="N968" s="82"/>
      <c r="O968" s="82"/>
      <c r="P968" s="241"/>
      <c r="Q968" s="241"/>
      <c r="R968" s="82"/>
      <c r="S968" s="241"/>
      <c r="T968" s="82"/>
      <c r="U968" s="241"/>
      <c r="V968" s="82"/>
      <c r="W968" s="88"/>
      <c r="X968" s="82"/>
      <c r="Y968" s="89"/>
      <c r="Z968" s="82"/>
      <c r="AA968" s="90"/>
      <c r="AB968" s="241"/>
      <c r="AC968" s="241"/>
      <c r="AD968" s="241"/>
      <c r="AE968" s="82"/>
      <c r="AF968" s="82"/>
      <c r="AG968" s="90"/>
      <c r="AH968" s="90"/>
      <c r="AI968" s="90"/>
      <c r="AJ968" s="90"/>
      <c r="AK968" s="82"/>
      <c r="AL968" s="82" t="str" cm="1">
        <f t="array" aca="1" ref="AL968" ca="1">_xlfn.IFS(
 AND($AK968&lt;&gt;"", M968&lt;&gt;0, M968&lt;=EDATE(TODAY(),2)),"도래",
 AND($AK968&lt;&gt;"", M968&lt;&gt;0, M968&lt;=EDATE(TODAY(),3)),"예정",
 AND($AK968&lt;&gt;"", M968&lt;&gt;0, M968&lt;=EDATE(TODAY(),6)),"관심",
 TRUE,""
)</f>
        <v/>
      </c>
      <c r="AM968" s="86"/>
    </row>
    <row r="969" spans="1:39" ht="18" customHeight="1">
      <c r="A969" s="81"/>
      <c r="B969" s="205" t="str">
        <f>_xlfn.LET(_xlpm.var,◆관리정보!B969,IF(_xlpm.var&lt;&gt;0,_xlpm.var,""))</f>
        <v/>
      </c>
      <c r="C969" s="82" t="str">
        <f>_xlfn.LET(_xlpm.var,◆관리정보!C969,IF(_xlpm.var&lt;&gt;0,_xlpm.var,""))</f>
        <v/>
      </c>
      <c r="D969" s="83"/>
      <c r="E969" s="84" t="str">
        <f t="shared" si="28"/>
        <v/>
      </c>
      <c r="F969" s="87"/>
      <c r="G969" s="229"/>
      <c r="H969" s="229"/>
      <c r="I969" s="229"/>
      <c r="J969" s="229"/>
      <c r="K969" s="218"/>
      <c r="L969" s="87"/>
      <c r="M969" s="87"/>
      <c r="N969" s="82"/>
      <c r="O969" s="82"/>
      <c r="P969" s="241"/>
      <c r="Q969" s="241"/>
      <c r="R969" s="82"/>
      <c r="S969" s="241"/>
      <c r="T969" s="82"/>
      <c r="U969" s="241"/>
      <c r="V969" s="82"/>
      <c r="W969" s="88"/>
      <c r="X969" s="82"/>
      <c r="Y969" s="89"/>
      <c r="Z969" s="82"/>
      <c r="AA969" s="90"/>
      <c r="AB969" s="241"/>
      <c r="AC969" s="241"/>
      <c r="AD969" s="241"/>
      <c r="AE969" s="82"/>
      <c r="AF969" s="82"/>
      <c r="AG969" s="90"/>
      <c r="AH969" s="90"/>
      <c r="AI969" s="90"/>
      <c r="AJ969" s="90"/>
      <c r="AK969" s="82"/>
      <c r="AL969" s="82" t="str" cm="1">
        <f t="array" aca="1" ref="AL969" ca="1">_xlfn.IFS(
 AND($AK969&lt;&gt;"", M969&lt;&gt;0, M969&lt;=EDATE(TODAY(),2)),"도래",
 AND($AK969&lt;&gt;"", M969&lt;&gt;0, M969&lt;=EDATE(TODAY(),3)),"예정",
 AND($AK969&lt;&gt;"", M969&lt;&gt;0, M969&lt;=EDATE(TODAY(),6)),"관심",
 TRUE,""
)</f>
        <v/>
      </c>
      <c r="AM969" s="86"/>
    </row>
    <row r="970" spans="1:39" ht="18" customHeight="1">
      <c r="A970" s="81"/>
      <c r="B970" s="205" t="str">
        <f>_xlfn.LET(_xlpm.var,◆관리정보!B970,IF(_xlpm.var&lt;&gt;0,_xlpm.var,""))</f>
        <v/>
      </c>
      <c r="C970" s="82" t="str">
        <f>_xlfn.LET(_xlpm.var,◆관리정보!C970,IF(_xlpm.var&lt;&gt;0,_xlpm.var,""))</f>
        <v/>
      </c>
      <c r="D970" s="83"/>
      <c r="E970" s="84" t="str">
        <f t="shared" si="28"/>
        <v/>
      </c>
      <c r="F970" s="87"/>
      <c r="G970" s="229"/>
      <c r="H970" s="229"/>
      <c r="I970" s="229"/>
      <c r="J970" s="229"/>
      <c r="K970" s="218"/>
      <c r="L970" s="87"/>
      <c r="M970" s="87"/>
      <c r="N970" s="82"/>
      <c r="O970" s="82"/>
      <c r="P970" s="241"/>
      <c r="Q970" s="241"/>
      <c r="R970" s="82"/>
      <c r="S970" s="241"/>
      <c r="T970" s="82"/>
      <c r="U970" s="241"/>
      <c r="V970" s="82"/>
      <c r="W970" s="88"/>
      <c r="X970" s="82"/>
      <c r="Y970" s="89"/>
      <c r="Z970" s="82"/>
      <c r="AA970" s="90"/>
      <c r="AB970" s="241"/>
      <c r="AC970" s="241"/>
      <c r="AD970" s="241"/>
      <c r="AE970" s="82"/>
      <c r="AF970" s="82"/>
      <c r="AG970" s="90"/>
      <c r="AH970" s="90"/>
      <c r="AI970" s="90"/>
      <c r="AJ970" s="90"/>
      <c r="AK970" s="82"/>
      <c r="AL970" s="82" t="str" cm="1">
        <f t="array" aca="1" ref="AL970" ca="1">_xlfn.IFS(
 AND($AK970&lt;&gt;"", M970&lt;&gt;0, M970&lt;=EDATE(TODAY(),2)),"도래",
 AND($AK970&lt;&gt;"", M970&lt;&gt;0, M970&lt;=EDATE(TODAY(),3)),"예정",
 AND($AK970&lt;&gt;"", M970&lt;&gt;0, M970&lt;=EDATE(TODAY(),6)),"관심",
 TRUE,""
)</f>
        <v/>
      </c>
      <c r="AM970" s="86"/>
    </row>
    <row r="971" spans="1:39" ht="18" customHeight="1">
      <c r="A971" s="81"/>
      <c r="B971" s="205" t="str">
        <f>_xlfn.LET(_xlpm.var,◆관리정보!B971,IF(_xlpm.var&lt;&gt;0,_xlpm.var,""))</f>
        <v/>
      </c>
      <c r="C971" s="82" t="str">
        <f>_xlfn.LET(_xlpm.var,◆관리정보!C971,IF(_xlpm.var&lt;&gt;0,_xlpm.var,""))</f>
        <v/>
      </c>
      <c r="D971" s="83"/>
      <c r="E971" s="84" t="str">
        <f t="shared" si="28"/>
        <v/>
      </c>
      <c r="F971" s="87"/>
      <c r="G971" s="229"/>
      <c r="H971" s="229"/>
      <c r="I971" s="229"/>
      <c r="J971" s="229"/>
      <c r="K971" s="218"/>
      <c r="L971" s="87"/>
      <c r="M971" s="87"/>
      <c r="N971" s="82"/>
      <c r="O971" s="82"/>
      <c r="P971" s="241"/>
      <c r="Q971" s="241"/>
      <c r="R971" s="82"/>
      <c r="S971" s="241"/>
      <c r="T971" s="82"/>
      <c r="U971" s="241"/>
      <c r="V971" s="82"/>
      <c r="W971" s="88"/>
      <c r="X971" s="82"/>
      <c r="Y971" s="89"/>
      <c r="Z971" s="82"/>
      <c r="AA971" s="90"/>
      <c r="AB971" s="241"/>
      <c r="AC971" s="241"/>
      <c r="AD971" s="241"/>
      <c r="AE971" s="82"/>
      <c r="AF971" s="82"/>
      <c r="AG971" s="90"/>
      <c r="AH971" s="90"/>
      <c r="AI971" s="90"/>
      <c r="AJ971" s="90"/>
      <c r="AK971" s="82"/>
      <c r="AL971" s="82" t="str" cm="1">
        <f t="array" aca="1" ref="AL971" ca="1">_xlfn.IFS(
 AND($AK971&lt;&gt;"", M971&lt;&gt;0, M971&lt;=EDATE(TODAY(),2)),"도래",
 AND($AK971&lt;&gt;"", M971&lt;&gt;0, M971&lt;=EDATE(TODAY(),3)),"예정",
 AND($AK971&lt;&gt;"", M971&lt;&gt;0, M971&lt;=EDATE(TODAY(),6)),"관심",
 TRUE,""
)</f>
        <v/>
      </c>
      <c r="AM971" s="86"/>
    </row>
    <row r="972" spans="1:39" ht="18" customHeight="1">
      <c r="A972" s="81"/>
      <c r="B972" s="205" t="str">
        <f>_xlfn.LET(_xlpm.var,◆관리정보!B972,IF(_xlpm.var&lt;&gt;0,_xlpm.var,""))</f>
        <v/>
      </c>
      <c r="C972" s="82" t="str">
        <f>_xlfn.LET(_xlpm.var,◆관리정보!C972,IF(_xlpm.var&lt;&gt;0,_xlpm.var,""))</f>
        <v/>
      </c>
      <c r="D972" s="83"/>
      <c r="E972" s="84" t="str">
        <f t="shared" si="28"/>
        <v/>
      </c>
      <c r="F972" s="87"/>
      <c r="G972" s="229"/>
      <c r="H972" s="229"/>
      <c r="I972" s="229"/>
      <c r="J972" s="229"/>
      <c r="K972" s="218"/>
      <c r="L972" s="87"/>
      <c r="M972" s="87"/>
      <c r="N972" s="82"/>
      <c r="O972" s="82"/>
      <c r="P972" s="241"/>
      <c r="Q972" s="241"/>
      <c r="R972" s="82"/>
      <c r="S972" s="241"/>
      <c r="T972" s="82"/>
      <c r="U972" s="241"/>
      <c r="V972" s="82"/>
      <c r="W972" s="88"/>
      <c r="X972" s="82"/>
      <c r="Y972" s="89"/>
      <c r="Z972" s="82"/>
      <c r="AA972" s="90"/>
      <c r="AB972" s="241"/>
      <c r="AC972" s="241"/>
      <c r="AD972" s="241"/>
      <c r="AE972" s="82"/>
      <c r="AF972" s="82"/>
      <c r="AG972" s="90"/>
      <c r="AH972" s="90"/>
      <c r="AI972" s="90"/>
      <c r="AJ972" s="90"/>
      <c r="AK972" s="82"/>
      <c r="AL972" s="82" t="str" cm="1">
        <f t="array" aca="1" ref="AL972" ca="1">_xlfn.IFS(
 AND($AK972&lt;&gt;"", M972&lt;&gt;0, M972&lt;=EDATE(TODAY(),2)),"도래",
 AND($AK972&lt;&gt;"", M972&lt;&gt;0, M972&lt;=EDATE(TODAY(),3)),"예정",
 AND($AK972&lt;&gt;"", M972&lt;&gt;0, M972&lt;=EDATE(TODAY(),6)),"관심",
 TRUE,""
)</f>
        <v/>
      </c>
      <c r="AM972" s="86"/>
    </row>
    <row r="973" spans="1:39" ht="18" customHeight="1">
      <c r="A973" s="81"/>
      <c r="B973" s="205" t="str">
        <f>_xlfn.LET(_xlpm.var,◆관리정보!B973,IF(_xlpm.var&lt;&gt;0,_xlpm.var,""))</f>
        <v/>
      </c>
      <c r="C973" s="82" t="str">
        <f>_xlfn.LET(_xlpm.var,◆관리정보!C973,IF(_xlpm.var&lt;&gt;0,_xlpm.var,""))</f>
        <v/>
      </c>
      <c r="D973" s="83"/>
      <c r="E973" s="84" t="str">
        <f t="shared" si="28"/>
        <v/>
      </c>
      <c r="F973" s="87"/>
      <c r="G973" s="229"/>
      <c r="H973" s="229"/>
      <c r="I973" s="229"/>
      <c r="J973" s="229"/>
      <c r="K973" s="218"/>
      <c r="L973" s="87"/>
      <c r="M973" s="87"/>
      <c r="N973" s="82"/>
      <c r="O973" s="82"/>
      <c r="P973" s="241"/>
      <c r="Q973" s="241"/>
      <c r="R973" s="82"/>
      <c r="S973" s="241"/>
      <c r="T973" s="82"/>
      <c r="U973" s="241"/>
      <c r="V973" s="82"/>
      <c r="W973" s="88"/>
      <c r="X973" s="82"/>
      <c r="Y973" s="89"/>
      <c r="Z973" s="82"/>
      <c r="AA973" s="90"/>
      <c r="AB973" s="241"/>
      <c r="AC973" s="241"/>
      <c r="AD973" s="241"/>
      <c r="AE973" s="82"/>
      <c r="AF973" s="82"/>
      <c r="AG973" s="90"/>
      <c r="AH973" s="90"/>
      <c r="AI973" s="90"/>
      <c r="AJ973" s="90"/>
      <c r="AK973" s="82"/>
      <c r="AL973" s="82" t="str" cm="1">
        <f t="array" aca="1" ref="AL973" ca="1">_xlfn.IFS(
 AND($AK973&lt;&gt;"", M973&lt;&gt;0, M973&lt;=EDATE(TODAY(),2)),"도래",
 AND($AK973&lt;&gt;"", M973&lt;&gt;0, M973&lt;=EDATE(TODAY(),3)),"예정",
 AND($AK973&lt;&gt;"", M973&lt;&gt;0, M973&lt;=EDATE(TODAY(),6)),"관심",
 TRUE,""
)</f>
        <v/>
      </c>
      <c r="AM973" s="86"/>
    </row>
    <row r="974" spans="1:39" ht="18" customHeight="1">
      <c r="A974" s="81"/>
      <c r="B974" s="205" t="str">
        <f>_xlfn.LET(_xlpm.var,◆관리정보!B974,IF(_xlpm.var&lt;&gt;0,_xlpm.var,""))</f>
        <v/>
      </c>
      <c r="C974" s="82" t="str">
        <f>_xlfn.LET(_xlpm.var,◆관리정보!C974,IF(_xlpm.var&lt;&gt;0,_xlpm.var,""))</f>
        <v/>
      </c>
      <c r="D974" s="83"/>
      <c r="E974" s="84" t="str">
        <f t="shared" si="28"/>
        <v/>
      </c>
      <c r="F974" s="87"/>
      <c r="G974" s="229"/>
      <c r="H974" s="229"/>
      <c r="I974" s="229"/>
      <c r="J974" s="229"/>
      <c r="K974" s="218"/>
      <c r="L974" s="87"/>
      <c r="M974" s="87"/>
      <c r="N974" s="82"/>
      <c r="O974" s="82"/>
      <c r="P974" s="241"/>
      <c r="Q974" s="241"/>
      <c r="R974" s="82"/>
      <c r="S974" s="241"/>
      <c r="T974" s="82"/>
      <c r="U974" s="241"/>
      <c r="V974" s="82"/>
      <c r="W974" s="88"/>
      <c r="X974" s="82"/>
      <c r="Y974" s="89"/>
      <c r="Z974" s="82"/>
      <c r="AA974" s="90"/>
      <c r="AB974" s="241"/>
      <c r="AC974" s="241"/>
      <c r="AD974" s="241"/>
      <c r="AE974" s="82"/>
      <c r="AF974" s="82"/>
      <c r="AG974" s="90"/>
      <c r="AH974" s="90"/>
      <c r="AI974" s="90"/>
      <c r="AJ974" s="90"/>
      <c r="AK974" s="82"/>
      <c r="AL974" s="82" t="str" cm="1">
        <f t="array" aca="1" ref="AL974" ca="1">_xlfn.IFS(
 AND($AK974&lt;&gt;"", M974&lt;&gt;0, M974&lt;=EDATE(TODAY(),2)),"도래",
 AND($AK974&lt;&gt;"", M974&lt;&gt;0, M974&lt;=EDATE(TODAY(),3)),"예정",
 AND($AK974&lt;&gt;"", M974&lt;&gt;0, M974&lt;=EDATE(TODAY(),6)),"관심",
 TRUE,""
)</f>
        <v/>
      </c>
      <c r="AM974" s="86"/>
    </row>
    <row r="975" spans="1:39" ht="18" customHeight="1">
      <c r="A975" s="81"/>
      <c r="B975" s="205" t="str">
        <f>_xlfn.LET(_xlpm.var,◆관리정보!B975,IF(_xlpm.var&lt;&gt;0,_xlpm.var,""))</f>
        <v/>
      </c>
      <c r="C975" s="82" t="str">
        <f>_xlfn.LET(_xlpm.var,◆관리정보!C975,IF(_xlpm.var&lt;&gt;0,_xlpm.var,""))</f>
        <v/>
      </c>
      <c r="D975" s="83"/>
      <c r="E975" s="84" t="str">
        <f t="shared" si="28"/>
        <v/>
      </c>
      <c r="F975" s="87"/>
      <c r="G975" s="229"/>
      <c r="H975" s="229"/>
      <c r="I975" s="229"/>
      <c r="J975" s="229"/>
      <c r="K975" s="218"/>
      <c r="L975" s="87"/>
      <c r="M975" s="87"/>
      <c r="N975" s="82"/>
      <c r="O975" s="82"/>
      <c r="P975" s="241"/>
      <c r="Q975" s="241"/>
      <c r="R975" s="82"/>
      <c r="S975" s="241"/>
      <c r="T975" s="82"/>
      <c r="U975" s="241"/>
      <c r="V975" s="82"/>
      <c r="W975" s="88"/>
      <c r="X975" s="82"/>
      <c r="Y975" s="89"/>
      <c r="Z975" s="82"/>
      <c r="AA975" s="90"/>
      <c r="AB975" s="241"/>
      <c r="AC975" s="241"/>
      <c r="AD975" s="241"/>
      <c r="AE975" s="82"/>
      <c r="AF975" s="82"/>
      <c r="AG975" s="90"/>
      <c r="AH975" s="90"/>
      <c r="AI975" s="90"/>
      <c r="AJ975" s="90"/>
      <c r="AK975" s="82"/>
      <c r="AL975" s="82" t="str" cm="1">
        <f t="array" aca="1" ref="AL975" ca="1">_xlfn.IFS(
 AND($AK975&lt;&gt;"", M975&lt;&gt;0, M975&lt;=EDATE(TODAY(),2)),"도래",
 AND($AK975&lt;&gt;"", M975&lt;&gt;0, M975&lt;=EDATE(TODAY(),3)),"예정",
 AND($AK975&lt;&gt;"", M975&lt;&gt;0, M975&lt;=EDATE(TODAY(),6)),"관심",
 TRUE,""
)</f>
        <v/>
      </c>
      <c r="AM975" s="86"/>
    </row>
    <row r="976" spans="1:39" ht="18" customHeight="1">
      <c r="A976" s="81"/>
      <c r="B976" s="205" t="str">
        <f>_xlfn.LET(_xlpm.var,◆관리정보!B976,IF(_xlpm.var&lt;&gt;0,_xlpm.var,""))</f>
        <v/>
      </c>
      <c r="C976" s="82" t="str">
        <f>_xlfn.LET(_xlpm.var,◆관리정보!C976,IF(_xlpm.var&lt;&gt;0,_xlpm.var,""))</f>
        <v/>
      </c>
      <c r="D976" s="83"/>
      <c r="E976" s="84" t="str">
        <f t="shared" si="28"/>
        <v/>
      </c>
      <c r="F976" s="87"/>
      <c r="G976" s="229"/>
      <c r="H976" s="229"/>
      <c r="I976" s="229"/>
      <c r="J976" s="229"/>
      <c r="K976" s="218"/>
      <c r="L976" s="87"/>
      <c r="M976" s="87"/>
      <c r="N976" s="82"/>
      <c r="O976" s="82"/>
      <c r="P976" s="241"/>
      <c r="Q976" s="241"/>
      <c r="R976" s="82"/>
      <c r="S976" s="241"/>
      <c r="T976" s="82"/>
      <c r="U976" s="241"/>
      <c r="V976" s="82"/>
      <c r="W976" s="88"/>
      <c r="X976" s="82"/>
      <c r="Y976" s="89"/>
      <c r="Z976" s="82"/>
      <c r="AA976" s="90"/>
      <c r="AB976" s="241"/>
      <c r="AC976" s="241"/>
      <c r="AD976" s="241"/>
      <c r="AE976" s="82"/>
      <c r="AF976" s="82"/>
      <c r="AG976" s="90"/>
      <c r="AH976" s="90"/>
      <c r="AI976" s="90"/>
      <c r="AJ976" s="90"/>
      <c r="AK976" s="82"/>
      <c r="AL976" s="82" t="str" cm="1">
        <f t="array" aca="1" ref="AL976" ca="1">_xlfn.IFS(
 AND($AK976&lt;&gt;"", M976&lt;&gt;0, M976&lt;=EDATE(TODAY(),2)),"도래",
 AND($AK976&lt;&gt;"", M976&lt;&gt;0, M976&lt;=EDATE(TODAY(),3)),"예정",
 AND($AK976&lt;&gt;"", M976&lt;&gt;0, M976&lt;=EDATE(TODAY(),6)),"관심",
 TRUE,""
)</f>
        <v/>
      </c>
      <c r="AM976" s="86"/>
    </row>
    <row r="977" spans="1:39" ht="18" customHeight="1">
      <c r="A977" s="81"/>
      <c r="B977" s="205" t="str">
        <f>_xlfn.LET(_xlpm.var,◆관리정보!B977,IF(_xlpm.var&lt;&gt;0,_xlpm.var,""))</f>
        <v/>
      </c>
      <c r="C977" s="82" t="str">
        <f>_xlfn.LET(_xlpm.var,◆관리정보!C977,IF(_xlpm.var&lt;&gt;0,_xlpm.var,""))</f>
        <v/>
      </c>
      <c r="D977" s="83"/>
      <c r="E977" s="84" t="str">
        <f t="shared" si="28"/>
        <v/>
      </c>
      <c r="F977" s="87"/>
      <c r="G977" s="229"/>
      <c r="H977" s="229"/>
      <c r="I977" s="229"/>
      <c r="J977" s="229"/>
      <c r="K977" s="218"/>
      <c r="L977" s="87"/>
      <c r="M977" s="87"/>
      <c r="N977" s="82"/>
      <c r="O977" s="82"/>
      <c r="P977" s="241"/>
      <c r="Q977" s="241"/>
      <c r="R977" s="82"/>
      <c r="S977" s="241"/>
      <c r="T977" s="82"/>
      <c r="U977" s="241"/>
      <c r="V977" s="82"/>
      <c r="W977" s="88"/>
      <c r="X977" s="82"/>
      <c r="Y977" s="89"/>
      <c r="Z977" s="82"/>
      <c r="AA977" s="90"/>
      <c r="AB977" s="241"/>
      <c r="AC977" s="241"/>
      <c r="AD977" s="241"/>
      <c r="AE977" s="82"/>
      <c r="AF977" s="82"/>
      <c r="AG977" s="90"/>
      <c r="AH977" s="90"/>
      <c r="AI977" s="90"/>
      <c r="AJ977" s="90"/>
      <c r="AK977" s="82"/>
      <c r="AL977" s="82" t="str" cm="1">
        <f t="array" aca="1" ref="AL977" ca="1">_xlfn.IFS(
 AND($AK977&lt;&gt;"", M977&lt;&gt;0, M977&lt;=EDATE(TODAY(),2)),"도래",
 AND($AK977&lt;&gt;"", M977&lt;&gt;0, M977&lt;=EDATE(TODAY(),3)),"예정",
 AND($AK977&lt;&gt;"", M977&lt;&gt;0, M977&lt;=EDATE(TODAY(),6)),"관심",
 TRUE,""
)</f>
        <v/>
      </c>
      <c r="AM977" s="86"/>
    </row>
    <row r="978" spans="1:39" ht="18" customHeight="1">
      <c r="A978" s="81"/>
      <c r="B978" s="205" t="str">
        <f>_xlfn.LET(_xlpm.var,◆관리정보!B978,IF(_xlpm.var&lt;&gt;0,_xlpm.var,""))</f>
        <v/>
      </c>
      <c r="C978" s="82" t="str">
        <f>_xlfn.LET(_xlpm.var,◆관리정보!C978,IF(_xlpm.var&lt;&gt;0,_xlpm.var,""))</f>
        <v/>
      </c>
      <c r="D978" s="83"/>
      <c r="E978" s="84" t="str">
        <f t="shared" si="28"/>
        <v/>
      </c>
      <c r="F978" s="87"/>
      <c r="G978" s="229"/>
      <c r="H978" s="229"/>
      <c r="I978" s="229"/>
      <c r="J978" s="229"/>
      <c r="K978" s="218"/>
      <c r="L978" s="87"/>
      <c r="M978" s="87"/>
      <c r="N978" s="82"/>
      <c r="O978" s="82"/>
      <c r="P978" s="241"/>
      <c r="Q978" s="241"/>
      <c r="R978" s="82"/>
      <c r="S978" s="241"/>
      <c r="T978" s="82"/>
      <c r="U978" s="241"/>
      <c r="V978" s="82"/>
      <c r="W978" s="88"/>
      <c r="X978" s="82"/>
      <c r="Y978" s="89"/>
      <c r="Z978" s="82"/>
      <c r="AA978" s="90"/>
      <c r="AB978" s="241"/>
      <c r="AC978" s="241"/>
      <c r="AD978" s="241"/>
      <c r="AE978" s="82"/>
      <c r="AF978" s="82"/>
      <c r="AG978" s="90"/>
      <c r="AH978" s="90"/>
      <c r="AI978" s="90"/>
      <c r="AJ978" s="90"/>
      <c r="AK978" s="82"/>
      <c r="AL978" s="82" t="str" cm="1">
        <f t="array" aca="1" ref="AL978" ca="1">_xlfn.IFS(
 AND($AK978&lt;&gt;"", M978&lt;&gt;0, M978&lt;=EDATE(TODAY(),2)),"도래",
 AND($AK978&lt;&gt;"", M978&lt;&gt;0, M978&lt;=EDATE(TODAY(),3)),"예정",
 AND($AK978&lt;&gt;"", M978&lt;&gt;0, M978&lt;=EDATE(TODAY(),6)),"관심",
 TRUE,""
)</f>
        <v/>
      </c>
      <c r="AM978" s="86"/>
    </row>
    <row r="979" spans="1:39" ht="18" customHeight="1">
      <c r="A979" s="81"/>
      <c r="B979" s="205" t="str">
        <f>_xlfn.LET(_xlpm.var,◆관리정보!B979,IF(_xlpm.var&lt;&gt;0,_xlpm.var,""))</f>
        <v/>
      </c>
      <c r="C979" s="82" t="str">
        <f>_xlfn.LET(_xlpm.var,◆관리정보!C979,IF(_xlpm.var&lt;&gt;0,_xlpm.var,""))</f>
        <v/>
      </c>
      <c r="D979" s="83"/>
      <c r="E979" s="84" t="str">
        <f t="shared" si="28"/>
        <v/>
      </c>
      <c r="F979" s="87"/>
      <c r="G979" s="229"/>
      <c r="H979" s="229"/>
      <c r="I979" s="229"/>
      <c r="J979" s="229"/>
      <c r="K979" s="218"/>
      <c r="L979" s="87"/>
      <c r="M979" s="87"/>
      <c r="N979" s="82"/>
      <c r="O979" s="82"/>
      <c r="P979" s="241"/>
      <c r="Q979" s="241"/>
      <c r="R979" s="82"/>
      <c r="S979" s="241"/>
      <c r="T979" s="82"/>
      <c r="U979" s="241"/>
      <c r="V979" s="82"/>
      <c r="W979" s="88"/>
      <c r="X979" s="82"/>
      <c r="Y979" s="89"/>
      <c r="Z979" s="82"/>
      <c r="AA979" s="90"/>
      <c r="AB979" s="241"/>
      <c r="AC979" s="241"/>
      <c r="AD979" s="241"/>
      <c r="AE979" s="82"/>
      <c r="AF979" s="82"/>
      <c r="AG979" s="90"/>
      <c r="AH979" s="90"/>
      <c r="AI979" s="90"/>
      <c r="AJ979" s="90"/>
      <c r="AK979" s="82"/>
      <c r="AL979" s="82" t="str" cm="1">
        <f t="array" aca="1" ref="AL979" ca="1">_xlfn.IFS(
 AND($AK979&lt;&gt;"", M979&lt;&gt;0, M979&lt;=EDATE(TODAY(),2)),"도래",
 AND($AK979&lt;&gt;"", M979&lt;&gt;0, M979&lt;=EDATE(TODAY(),3)),"예정",
 AND($AK979&lt;&gt;"", M979&lt;&gt;0, M979&lt;=EDATE(TODAY(),6)),"관심",
 TRUE,""
)</f>
        <v/>
      </c>
      <c r="AM979" s="86"/>
    </row>
    <row r="980" spans="1:39" ht="18" customHeight="1">
      <c r="A980" s="81"/>
      <c r="B980" s="205" t="str">
        <f>_xlfn.LET(_xlpm.var,◆관리정보!B980,IF(_xlpm.var&lt;&gt;0,_xlpm.var,""))</f>
        <v/>
      </c>
      <c r="C980" s="82" t="str">
        <f>_xlfn.LET(_xlpm.var,◆관리정보!C980,IF(_xlpm.var&lt;&gt;0,_xlpm.var,""))</f>
        <v/>
      </c>
      <c r="D980" s="83"/>
      <c r="E980" s="84" t="str">
        <f t="shared" si="28"/>
        <v/>
      </c>
      <c r="F980" s="87"/>
      <c r="G980" s="229"/>
      <c r="H980" s="229"/>
      <c r="I980" s="229"/>
      <c r="J980" s="229"/>
      <c r="K980" s="218"/>
      <c r="L980" s="87"/>
      <c r="M980" s="87"/>
      <c r="N980" s="82"/>
      <c r="O980" s="82"/>
      <c r="P980" s="241"/>
      <c r="Q980" s="241"/>
      <c r="R980" s="82"/>
      <c r="S980" s="241"/>
      <c r="T980" s="82"/>
      <c r="U980" s="241"/>
      <c r="V980" s="82"/>
      <c r="W980" s="88"/>
      <c r="X980" s="82"/>
      <c r="Y980" s="89"/>
      <c r="Z980" s="82"/>
      <c r="AA980" s="90"/>
      <c r="AB980" s="241"/>
      <c r="AC980" s="241"/>
      <c r="AD980" s="241"/>
      <c r="AE980" s="82"/>
      <c r="AF980" s="82"/>
      <c r="AG980" s="90"/>
      <c r="AH980" s="90"/>
      <c r="AI980" s="90"/>
      <c r="AJ980" s="90"/>
      <c r="AK980" s="82"/>
      <c r="AL980" s="82" t="str" cm="1">
        <f t="array" aca="1" ref="AL980" ca="1">_xlfn.IFS(
 AND($AK980&lt;&gt;"", M980&lt;&gt;0, M980&lt;=EDATE(TODAY(),2)),"도래",
 AND($AK980&lt;&gt;"", M980&lt;&gt;0, M980&lt;=EDATE(TODAY(),3)),"예정",
 AND($AK980&lt;&gt;"", M980&lt;&gt;0, M980&lt;=EDATE(TODAY(),6)),"관심",
 TRUE,""
)</f>
        <v/>
      </c>
      <c r="AM980" s="86"/>
    </row>
    <row r="981" spans="1:39" ht="18" customHeight="1">
      <c r="A981" s="81"/>
      <c r="B981" s="205" t="str">
        <f>_xlfn.LET(_xlpm.var,◆관리정보!B981,IF(_xlpm.var&lt;&gt;0,_xlpm.var,""))</f>
        <v/>
      </c>
      <c r="C981" s="82" t="str">
        <f>_xlfn.LET(_xlpm.var,◆관리정보!C981,IF(_xlpm.var&lt;&gt;0,_xlpm.var,""))</f>
        <v/>
      </c>
      <c r="D981" s="83"/>
      <c r="E981" s="84" t="str">
        <f t="shared" si="28"/>
        <v/>
      </c>
      <c r="F981" s="87"/>
      <c r="G981" s="229"/>
      <c r="H981" s="229"/>
      <c r="I981" s="229"/>
      <c r="J981" s="229"/>
      <c r="K981" s="218"/>
      <c r="L981" s="87"/>
      <c r="M981" s="87"/>
      <c r="N981" s="82"/>
      <c r="O981" s="82"/>
      <c r="P981" s="241"/>
      <c r="Q981" s="241"/>
      <c r="R981" s="82"/>
      <c r="S981" s="241"/>
      <c r="T981" s="82"/>
      <c r="U981" s="241"/>
      <c r="V981" s="82"/>
      <c r="W981" s="88"/>
      <c r="X981" s="82"/>
      <c r="Y981" s="89"/>
      <c r="Z981" s="82"/>
      <c r="AA981" s="90"/>
      <c r="AB981" s="241"/>
      <c r="AC981" s="241"/>
      <c r="AD981" s="241"/>
      <c r="AE981" s="82"/>
      <c r="AF981" s="82"/>
      <c r="AG981" s="90"/>
      <c r="AH981" s="90"/>
      <c r="AI981" s="90"/>
      <c r="AJ981" s="90"/>
      <c r="AK981" s="82"/>
      <c r="AL981" s="82" t="str" cm="1">
        <f t="array" aca="1" ref="AL981" ca="1">_xlfn.IFS(
 AND($AK981&lt;&gt;"", M981&lt;&gt;0, M981&lt;=EDATE(TODAY(),2)),"도래",
 AND($AK981&lt;&gt;"", M981&lt;&gt;0, M981&lt;=EDATE(TODAY(),3)),"예정",
 AND($AK981&lt;&gt;"", M981&lt;&gt;0, M981&lt;=EDATE(TODAY(),6)),"관심",
 TRUE,""
)</f>
        <v/>
      </c>
      <c r="AM981" s="86"/>
    </row>
    <row r="982" spans="1:39" ht="18" customHeight="1">
      <c r="A982" s="81"/>
      <c r="B982" s="205" t="str">
        <f>_xlfn.LET(_xlpm.var,◆관리정보!B982,IF(_xlpm.var&lt;&gt;0,_xlpm.var,""))</f>
        <v/>
      </c>
      <c r="C982" s="82" t="str">
        <f>_xlfn.LET(_xlpm.var,◆관리정보!C982,IF(_xlpm.var&lt;&gt;0,_xlpm.var,""))</f>
        <v/>
      </c>
      <c r="D982" s="83"/>
      <c r="E982" s="84" t="str">
        <f t="shared" si="28"/>
        <v/>
      </c>
      <c r="F982" s="87"/>
      <c r="G982" s="229"/>
      <c r="H982" s="229"/>
      <c r="I982" s="229"/>
      <c r="J982" s="229"/>
      <c r="K982" s="218"/>
      <c r="L982" s="87"/>
      <c r="M982" s="87"/>
      <c r="N982" s="82"/>
      <c r="O982" s="82"/>
      <c r="P982" s="241"/>
      <c r="Q982" s="241"/>
      <c r="R982" s="82"/>
      <c r="S982" s="241"/>
      <c r="T982" s="82"/>
      <c r="U982" s="241"/>
      <c r="V982" s="82"/>
      <c r="W982" s="88"/>
      <c r="X982" s="82"/>
      <c r="Y982" s="89"/>
      <c r="Z982" s="82"/>
      <c r="AA982" s="90"/>
      <c r="AB982" s="241"/>
      <c r="AC982" s="241"/>
      <c r="AD982" s="241"/>
      <c r="AE982" s="82"/>
      <c r="AF982" s="82"/>
      <c r="AG982" s="90"/>
      <c r="AH982" s="90"/>
      <c r="AI982" s="90"/>
      <c r="AJ982" s="90"/>
      <c r="AK982" s="82"/>
      <c r="AL982" s="82" t="str" cm="1">
        <f t="array" aca="1" ref="AL982" ca="1">_xlfn.IFS(
 AND($AK982&lt;&gt;"", M982&lt;&gt;0, M982&lt;=EDATE(TODAY(),2)),"도래",
 AND($AK982&lt;&gt;"", M982&lt;&gt;0, M982&lt;=EDATE(TODAY(),3)),"예정",
 AND($AK982&lt;&gt;"", M982&lt;&gt;0, M982&lt;=EDATE(TODAY(),6)),"관심",
 TRUE,""
)</f>
        <v/>
      </c>
      <c r="AM982" s="86"/>
    </row>
    <row r="983" spans="1:39" ht="18" customHeight="1">
      <c r="A983" s="81"/>
      <c r="B983" s="205" t="str">
        <f>_xlfn.LET(_xlpm.var,◆관리정보!B983,IF(_xlpm.var&lt;&gt;0,_xlpm.var,""))</f>
        <v/>
      </c>
      <c r="C983" s="82" t="str">
        <f>_xlfn.LET(_xlpm.var,◆관리정보!C983,IF(_xlpm.var&lt;&gt;0,_xlpm.var,""))</f>
        <v/>
      </c>
      <c r="D983" s="83"/>
      <c r="E983" s="84" t="str">
        <f t="shared" si="28"/>
        <v/>
      </c>
      <c r="F983" s="87"/>
      <c r="G983" s="229"/>
      <c r="H983" s="229"/>
      <c r="I983" s="229"/>
      <c r="J983" s="229"/>
      <c r="K983" s="218"/>
      <c r="L983" s="87"/>
      <c r="M983" s="87"/>
      <c r="N983" s="82"/>
      <c r="O983" s="82"/>
      <c r="P983" s="241"/>
      <c r="Q983" s="241"/>
      <c r="R983" s="82"/>
      <c r="S983" s="241"/>
      <c r="T983" s="82"/>
      <c r="U983" s="241"/>
      <c r="V983" s="82"/>
      <c r="W983" s="88"/>
      <c r="X983" s="82"/>
      <c r="Y983" s="89"/>
      <c r="Z983" s="82"/>
      <c r="AA983" s="90"/>
      <c r="AB983" s="241"/>
      <c r="AC983" s="241"/>
      <c r="AD983" s="241"/>
      <c r="AE983" s="82"/>
      <c r="AF983" s="82"/>
      <c r="AG983" s="90"/>
      <c r="AH983" s="90"/>
      <c r="AI983" s="90"/>
      <c r="AJ983" s="90"/>
      <c r="AK983" s="82"/>
      <c r="AL983" s="82" t="str" cm="1">
        <f t="array" aca="1" ref="AL983" ca="1">_xlfn.IFS(
 AND($AK983&lt;&gt;"", M983&lt;&gt;0, M983&lt;=EDATE(TODAY(),2)),"도래",
 AND($AK983&lt;&gt;"", M983&lt;&gt;0, M983&lt;=EDATE(TODAY(),3)),"예정",
 AND($AK983&lt;&gt;"", M983&lt;&gt;0, M983&lt;=EDATE(TODAY(),6)),"관심",
 TRUE,""
)</f>
        <v/>
      </c>
      <c r="AM983" s="86"/>
    </row>
    <row r="984" spans="1:39" ht="18" customHeight="1">
      <c r="A984" s="81"/>
      <c r="B984" s="205" t="str">
        <f>_xlfn.LET(_xlpm.var,◆관리정보!B984,IF(_xlpm.var&lt;&gt;0,_xlpm.var,""))</f>
        <v/>
      </c>
      <c r="C984" s="82" t="str">
        <f>_xlfn.LET(_xlpm.var,◆관리정보!C984,IF(_xlpm.var&lt;&gt;0,_xlpm.var,""))</f>
        <v/>
      </c>
      <c r="D984" s="83"/>
      <c r="E984" s="84" t="str">
        <f t="shared" si="28"/>
        <v/>
      </c>
      <c r="F984" s="87"/>
      <c r="G984" s="229"/>
      <c r="H984" s="229"/>
      <c r="I984" s="229"/>
      <c r="J984" s="229"/>
      <c r="K984" s="218"/>
      <c r="L984" s="87"/>
      <c r="M984" s="87"/>
      <c r="N984" s="82"/>
      <c r="O984" s="82"/>
      <c r="P984" s="241"/>
      <c r="Q984" s="241"/>
      <c r="R984" s="82"/>
      <c r="S984" s="241"/>
      <c r="T984" s="82"/>
      <c r="U984" s="241"/>
      <c r="V984" s="82"/>
      <c r="W984" s="88"/>
      <c r="X984" s="82"/>
      <c r="Y984" s="89"/>
      <c r="Z984" s="82"/>
      <c r="AA984" s="90"/>
      <c r="AB984" s="241"/>
      <c r="AC984" s="241"/>
      <c r="AD984" s="241"/>
      <c r="AE984" s="82"/>
      <c r="AF984" s="82"/>
      <c r="AG984" s="90"/>
      <c r="AH984" s="90"/>
      <c r="AI984" s="90"/>
      <c r="AJ984" s="90"/>
      <c r="AK984" s="82"/>
      <c r="AL984" s="82" t="str" cm="1">
        <f t="array" aca="1" ref="AL984" ca="1">_xlfn.IFS(
 AND($AK984&lt;&gt;"", M984&lt;&gt;0, M984&lt;=EDATE(TODAY(),2)),"도래",
 AND($AK984&lt;&gt;"", M984&lt;&gt;0, M984&lt;=EDATE(TODAY(),3)),"예정",
 AND($AK984&lt;&gt;"", M984&lt;&gt;0, M984&lt;=EDATE(TODAY(),6)),"관심",
 TRUE,""
)</f>
        <v/>
      </c>
      <c r="AM984" s="86"/>
    </row>
    <row r="985" spans="1:39" ht="18" customHeight="1">
      <c r="A985" s="81"/>
      <c r="B985" s="205" t="str">
        <f>_xlfn.LET(_xlpm.var,◆관리정보!B985,IF(_xlpm.var&lt;&gt;0,_xlpm.var,""))</f>
        <v/>
      </c>
      <c r="C985" s="82" t="str">
        <f>_xlfn.LET(_xlpm.var,◆관리정보!C985,IF(_xlpm.var&lt;&gt;0,_xlpm.var,""))</f>
        <v/>
      </c>
      <c r="D985" s="83"/>
      <c r="E985" s="84" t="str">
        <f t="shared" si="28"/>
        <v/>
      </c>
      <c r="F985" s="87"/>
      <c r="G985" s="229"/>
      <c r="H985" s="229"/>
      <c r="I985" s="229"/>
      <c r="J985" s="229"/>
      <c r="K985" s="218"/>
      <c r="L985" s="87"/>
      <c r="M985" s="87"/>
      <c r="N985" s="82"/>
      <c r="O985" s="82"/>
      <c r="P985" s="241"/>
      <c r="Q985" s="241"/>
      <c r="R985" s="82"/>
      <c r="S985" s="241"/>
      <c r="T985" s="82"/>
      <c r="U985" s="241"/>
      <c r="V985" s="82"/>
      <c r="W985" s="88"/>
      <c r="X985" s="82"/>
      <c r="Y985" s="89"/>
      <c r="Z985" s="82"/>
      <c r="AA985" s="90"/>
      <c r="AB985" s="241"/>
      <c r="AC985" s="241"/>
      <c r="AD985" s="241"/>
      <c r="AE985" s="82"/>
      <c r="AF985" s="82"/>
      <c r="AG985" s="90"/>
      <c r="AH985" s="90"/>
      <c r="AI985" s="90"/>
      <c r="AJ985" s="90"/>
      <c r="AK985" s="82"/>
      <c r="AL985" s="82" t="str" cm="1">
        <f t="array" aca="1" ref="AL985" ca="1">_xlfn.IFS(
 AND($AK985&lt;&gt;"", M985&lt;&gt;0, M985&lt;=EDATE(TODAY(),2)),"도래",
 AND($AK985&lt;&gt;"", M985&lt;&gt;0, M985&lt;=EDATE(TODAY(),3)),"예정",
 AND($AK985&lt;&gt;"", M985&lt;&gt;0, M985&lt;=EDATE(TODAY(),6)),"관심",
 TRUE,""
)</f>
        <v/>
      </c>
      <c r="AM985" s="86"/>
    </row>
    <row r="986" spans="1:39" ht="18" customHeight="1">
      <c r="A986" s="81"/>
      <c r="B986" s="205" t="str">
        <f>_xlfn.LET(_xlpm.var,◆관리정보!B986,IF(_xlpm.var&lt;&gt;0,_xlpm.var,""))</f>
        <v/>
      </c>
      <c r="C986" s="82" t="str">
        <f>_xlfn.LET(_xlpm.var,◆관리정보!C986,IF(_xlpm.var&lt;&gt;0,_xlpm.var,""))</f>
        <v/>
      </c>
      <c r="D986" s="83"/>
      <c r="E986" s="84" t="str">
        <f t="shared" si="28"/>
        <v/>
      </c>
      <c r="F986" s="87"/>
      <c r="G986" s="229"/>
      <c r="H986" s="229"/>
      <c r="I986" s="229"/>
      <c r="J986" s="229"/>
      <c r="K986" s="218"/>
      <c r="L986" s="87"/>
      <c r="M986" s="87"/>
      <c r="N986" s="82"/>
      <c r="O986" s="82"/>
      <c r="P986" s="241"/>
      <c r="Q986" s="241"/>
      <c r="R986" s="82"/>
      <c r="S986" s="241"/>
      <c r="T986" s="82"/>
      <c r="U986" s="241"/>
      <c r="V986" s="82"/>
      <c r="W986" s="88"/>
      <c r="X986" s="82"/>
      <c r="Y986" s="89"/>
      <c r="Z986" s="82"/>
      <c r="AA986" s="90"/>
      <c r="AB986" s="241"/>
      <c r="AC986" s="241"/>
      <c r="AD986" s="241"/>
      <c r="AE986" s="82"/>
      <c r="AF986" s="82"/>
      <c r="AG986" s="90"/>
      <c r="AH986" s="90"/>
      <c r="AI986" s="90"/>
      <c r="AJ986" s="90"/>
      <c r="AK986" s="82"/>
      <c r="AL986" s="82" t="str" cm="1">
        <f t="array" aca="1" ref="AL986" ca="1">_xlfn.IFS(
 AND($AK986&lt;&gt;"", M986&lt;&gt;0, M986&lt;=EDATE(TODAY(),2)),"도래",
 AND($AK986&lt;&gt;"", M986&lt;&gt;0, M986&lt;=EDATE(TODAY(),3)),"예정",
 AND($AK986&lt;&gt;"", M986&lt;&gt;0, M986&lt;=EDATE(TODAY(),6)),"관심",
 TRUE,""
)</f>
        <v/>
      </c>
      <c r="AM986" s="86"/>
    </row>
    <row r="987" spans="1:39" ht="18" customHeight="1">
      <c r="A987" s="81"/>
      <c r="B987" s="205" t="str">
        <f>_xlfn.LET(_xlpm.var,◆관리정보!B987,IF(_xlpm.var&lt;&gt;0,_xlpm.var,""))</f>
        <v/>
      </c>
      <c r="C987" s="82" t="str">
        <f>_xlfn.LET(_xlpm.var,◆관리정보!C987,IF(_xlpm.var&lt;&gt;0,_xlpm.var,""))</f>
        <v/>
      </c>
      <c r="D987" s="83"/>
      <c r="E987" s="84" t="str">
        <f t="shared" si="28"/>
        <v/>
      </c>
      <c r="F987" s="87"/>
      <c r="G987" s="229"/>
      <c r="H987" s="229"/>
      <c r="I987" s="229"/>
      <c r="J987" s="229"/>
      <c r="K987" s="218"/>
      <c r="L987" s="87"/>
      <c r="M987" s="87"/>
      <c r="N987" s="82"/>
      <c r="O987" s="82"/>
      <c r="P987" s="241"/>
      <c r="Q987" s="241"/>
      <c r="R987" s="82"/>
      <c r="S987" s="241"/>
      <c r="T987" s="82"/>
      <c r="U987" s="241"/>
      <c r="V987" s="82"/>
      <c r="W987" s="88"/>
      <c r="X987" s="82"/>
      <c r="Y987" s="89"/>
      <c r="Z987" s="82"/>
      <c r="AA987" s="90"/>
      <c r="AB987" s="241"/>
      <c r="AC987" s="241"/>
      <c r="AD987" s="241"/>
      <c r="AE987" s="82"/>
      <c r="AF987" s="82"/>
      <c r="AG987" s="90"/>
      <c r="AH987" s="90"/>
      <c r="AI987" s="90"/>
      <c r="AJ987" s="90"/>
      <c r="AK987" s="82"/>
      <c r="AL987" s="82" t="str" cm="1">
        <f t="array" aca="1" ref="AL987" ca="1">_xlfn.IFS(
 AND($AK987&lt;&gt;"", M987&lt;&gt;0, M987&lt;=EDATE(TODAY(),2)),"도래",
 AND($AK987&lt;&gt;"", M987&lt;&gt;0, M987&lt;=EDATE(TODAY(),3)),"예정",
 AND($AK987&lt;&gt;"", M987&lt;&gt;0, M987&lt;=EDATE(TODAY(),6)),"관심",
 TRUE,""
)</f>
        <v/>
      </c>
      <c r="AM987" s="86"/>
    </row>
    <row r="988" spans="1:39" ht="18" customHeight="1">
      <c r="A988" s="81"/>
      <c r="B988" s="205" t="str">
        <f>_xlfn.LET(_xlpm.var,◆관리정보!B988,IF(_xlpm.var&lt;&gt;0,_xlpm.var,""))</f>
        <v/>
      </c>
      <c r="C988" s="82" t="str">
        <f>_xlfn.LET(_xlpm.var,◆관리정보!C988,IF(_xlpm.var&lt;&gt;0,_xlpm.var,""))</f>
        <v/>
      </c>
      <c r="D988" s="83"/>
      <c r="E988" s="84" t="str">
        <f t="shared" si="28"/>
        <v/>
      </c>
      <c r="F988" s="87"/>
      <c r="G988" s="229"/>
      <c r="H988" s="229"/>
      <c r="I988" s="229"/>
      <c r="J988" s="229"/>
      <c r="K988" s="218"/>
      <c r="L988" s="87"/>
      <c r="M988" s="87"/>
      <c r="N988" s="82"/>
      <c r="O988" s="82"/>
      <c r="P988" s="241"/>
      <c r="Q988" s="241"/>
      <c r="R988" s="82"/>
      <c r="S988" s="241"/>
      <c r="T988" s="82"/>
      <c r="U988" s="241"/>
      <c r="V988" s="82"/>
      <c r="W988" s="88"/>
      <c r="X988" s="82"/>
      <c r="Y988" s="89"/>
      <c r="Z988" s="82"/>
      <c r="AA988" s="90"/>
      <c r="AB988" s="241"/>
      <c r="AC988" s="241"/>
      <c r="AD988" s="241"/>
      <c r="AE988" s="82"/>
      <c r="AF988" s="82"/>
      <c r="AG988" s="90"/>
      <c r="AH988" s="90"/>
      <c r="AI988" s="90"/>
      <c r="AJ988" s="90"/>
      <c r="AK988" s="82"/>
      <c r="AL988" s="82" t="str" cm="1">
        <f t="array" aca="1" ref="AL988" ca="1">_xlfn.IFS(
 AND($AK988&lt;&gt;"", M988&lt;&gt;0, M988&lt;=EDATE(TODAY(),2)),"도래",
 AND($AK988&lt;&gt;"", M988&lt;&gt;0, M988&lt;=EDATE(TODAY(),3)),"예정",
 AND($AK988&lt;&gt;"", M988&lt;&gt;0, M988&lt;=EDATE(TODAY(),6)),"관심",
 TRUE,""
)</f>
        <v/>
      </c>
      <c r="AM988" s="86"/>
    </row>
    <row r="989" spans="1:39" ht="18" customHeight="1">
      <c r="A989" s="81"/>
      <c r="B989" s="205" t="str">
        <f>_xlfn.LET(_xlpm.var,◆관리정보!B989,IF(_xlpm.var&lt;&gt;0,_xlpm.var,""))</f>
        <v/>
      </c>
      <c r="C989" s="82" t="str">
        <f>_xlfn.LET(_xlpm.var,◆관리정보!C989,IF(_xlpm.var&lt;&gt;0,_xlpm.var,""))</f>
        <v/>
      </c>
      <c r="D989" s="83"/>
      <c r="E989" s="84" t="str">
        <f t="shared" si="28"/>
        <v/>
      </c>
      <c r="F989" s="87"/>
      <c r="G989" s="229"/>
      <c r="H989" s="229"/>
      <c r="I989" s="229"/>
      <c r="J989" s="229"/>
      <c r="K989" s="218"/>
      <c r="L989" s="87"/>
      <c r="M989" s="87"/>
      <c r="N989" s="82"/>
      <c r="O989" s="82"/>
      <c r="P989" s="241"/>
      <c r="Q989" s="241"/>
      <c r="R989" s="82"/>
      <c r="S989" s="241"/>
      <c r="T989" s="82"/>
      <c r="U989" s="241"/>
      <c r="V989" s="82"/>
      <c r="W989" s="88"/>
      <c r="X989" s="82"/>
      <c r="Y989" s="89"/>
      <c r="Z989" s="82"/>
      <c r="AA989" s="90"/>
      <c r="AB989" s="241"/>
      <c r="AC989" s="241"/>
      <c r="AD989" s="241"/>
      <c r="AE989" s="82"/>
      <c r="AF989" s="82"/>
      <c r="AG989" s="90"/>
      <c r="AH989" s="90"/>
      <c r="AI989" s="90"/>
      <c r="AJ989" s="90"/>
      <c r="AK989" s="82"/>
      <c r="AL989" s="82" t="str" cm="1">
        <f t="array" aca="1" ref="AL989" ca="1">_xlfn.IFS(
 AND($AK989&lt;&gt;"", M989&lt;&gt;0, M989&lt;=EDATE(TODAY(),2)),"도래",
 AND($AK989&lt;&gt;"", M989&lt;&gt;0, M989&lt;=EDATE(TODAY(),3)),"예정",
 AND($AK989&lt;&gt;"", M989&lt;&gt;0, M989&lt;=EDATE(TODAY(),6)),"관심",
 TRUE,""
)</f>
        <v/>
      </c>
      <c r="AM989" s="86"/>
    </row>
    <row r="990" spans="1:39" ht="18" customHeight="1">
      <c r="A990" s="81"/>
      <c r="B990" s="205" t="str">
        <f>_xlfn.LET(_xlpm.var,◆관리정보!B990,IF(_xlpm.var&lt;&gt;0,_xlpm.var,""))</f>
        <v/>
      </c>
      <c r="C990" s="82" t="str">
        <f>_xlfn.LET(_xlpm.var,◆관리정보!C990,IF(_xlpm.var&lt;&gt;0,_xlpm.var,""))</f>
        <v/>
      </c>
      <c r="D990" s="83"/>
      <c r="E990" s="84" t="str">
        <f t="shared" si="28"/>
        <v/>
      </c>
      <c r="F990" s="87"/>
      <c r="G990" s="229"/>
      <c r="H990" s="229"/>
      <c r="I990" s="229"/>
      <c r="J990" s="229"/>
      <c r="K990" s="218"/>
      <c r="L990" s="87"/>
      <c r="M990" s="87"/>
      <c r="N990" s="82"/>
      <c r="O990" s="82"/>
      <c r="P990" s="241"/>
      <c r="Q990" s="241"/>
      <c r="R990" s="82"/>
      <c r="S990" s="241"/>
      <c r="T990" s="82"/>
      <c r="U990" s="241"/>
      <c r="V990" s="82"/>
      <c r="W990" s="88"/>
      <c r="X990" s="82"/>
      <c r="Y990" s="89"/>
      <c r="Z990" s="82"/>
      <c r="AA990" s="90"/>
      <c r="AB990" s="241"/>
      <c r="AC990" s="241"/>
      <c r="AD990" s="241"/>
      <c r="AE990" s="82"/>
      <c r="AF990" s="82"/>
      <c r="AG990" s="90"/>
      <c r="AH990" s="90"/>
      <c r="AI990" s="90"/>
      <c r="AJ990" s="90"/>
      <c r="AK990" s="82"/>
      <c r="AL990" s="82" t="str" cm="1">
        <f t="array" aca="1" ref="AL990" ca="1">_xlfn.IFS(
 AND($AK990&lt;&gt;"", M990&lt;&gt;0, M990&lt;=EDATE(TODAY(),2)),"도래",
 AND($AK990&lt;&gt;"", M990&lt;&gt;0, M990&lt;=EDATE(TODAY(),3)),"예정",
 AND($AK990&lt;&gt;"", M990&lt;&gt;0, M990&lt;=EDATE(TODAY(),6)),"관심",
 TRUE,""
)</f>
        <v/>
      </c>
      <c r="AM990" s="86"/>
    </row>
    <row r="991" spans="1:39" ht="18" customHeight="1">
      <c r="A991" s="81"/>
      <c r="B991" s="205" t="str">
        <f>_xlfn.LET(_xlpm.var,◆관리정보!B991,IF(_xlpm.var&lt;&gt;0,_xlpm.var,""))</f>
        <v/>
      </c>
      <c r="C991" s="82" t="str">
        <f>_xlfn.LET(_xlpm.var,◆관리정보!C991,IF(_xlpm.var&lt;&gt;0,_xlpm.var,""))</f>
        <v/>
      </c>
      <c r="D991" s="83"/>
      <c r="E991" s="84" t="str">
        <f t="shared" si="28"/>
        <v/>
      </c>
      <c r="F991" s="87"/>
      <c r="G991" s="229"/>
      <c r="H991" s="229"/>
      <c r="I991" s="229"/>
      <c r="J991" s="229"/>
      <c r="K991" s="218"/>
      <c r="L991" s="87"/>
      <c r="M991" s="87"/>
      <c r="N991" s="82"/>
      <c r="O991" s="82"/>
      <c r="P991" s="241"/>
      <c r="Q991" s="241"/>
      <c r="R991" s="82"/>
      <c r="S991" s="241"/>
      <c r="T991" s="82"/>
      <c r="U991" s="241"/>
      <c r="V991" s="82"/>
      <c r="W991" s="88"/>
      <c r="X991" s="82"/>
      <c r="Y991" s="89"/>
      <c r="Z991" s="82"/>
      <c r="AA991" s="90"/>
      <c r="AB991" s="241"/>
      <c r="AC991" s="241"/>
      <c r="AD991" s="241"/>
      <c r="AE991" s="82"/>
      <c r="AF991" s="82"/>
      <c r="AG991" s="90"/>
      <c r="AH991" s="90"/>
      <c r="AI991" s="90"/>
      <c r="AJ991" s="90"/>
      <c r="AK991" s="82"/>
      <c r="AL991" s="82" t="str" cm="1">
        <f t="array" aca="1" ref="AL991" ca="1">_xlfn.IFS(
 AND($AK991&lt;&gt;"", M991&lt;&gt;0, M991&lt;=EDATE(TODAY(),2)),"도래",
 AND($AK991&lt;&gt;"", M991&lt;&gt;0, M991&lt;=EDATE(TODAY(),3)),"예정",
 AND($AK991&lt;&gt;"", M991&lt;&gt;0, M991&lt;=EDATE(TODAY(),6)),"관심",
 TRUE,""
)</f>
        <v/>
      </c>
      <c r="AM991" s="86"/>
    </row>
    <row r="992" spans="1:39" ht="18" customHeight="1">
      <c r="A992" s="81"/>
      <c r="B992" s="205" t="str">
        <f>_xlfn.LET(_xlpm.var,◆관리정보!B992,IF(_xlpm.var&lt;&gt;0,_xlpm.var,""))</f>
        <v/>
      </c>
      <c r="C992" s="82" t="str">
        <f>_xlfn.LET(_xlpm.var,◆관리정보!C992,IF(_xlpm.var&lt;&gt;0,_xlpm.var,""))</f>
        <v/>
      </c>
      <c r="D992" s="83"/>
      <c r="E992" s="84" t="str">
        <f t="shared" si="28"/>
        <v/>
      </c>
      <c r="F992" s="87"/>
      <c r="G992" s="229"/>
      <c r="H992" s="229"/>
      <c r="I992" s="229"/>
      <c r="J992" s="229"/>
      <c r="K992" s="218"/>
      <c r="L992" s="87"/>
      <c r="M992" s="87"/>
      <c r="N992" s="82"/>
      <c r="O992" s="82"/>
      <c r="P992" s="241"/>
      <c r="Q992" s="241"/>
      <c r="R992" s="82"/>
      <c r="S992" s="241"/>
      <c r="T992" s="82"/>
      <c r="U992" s="241"/>
      <c r="V992" s="82"/>
      <c r="W992" s="88"/>
      <c r="X992" s="82"/>
      <c r="Y992" s="89"/>
      <c r="Z992" s="82"/>
      <c r="AA992" s="90"/>
      <c r="AB992" s="241"/>
      <c r="AC992" s="241"/>
      <c r="AD992" s="241"/>
      <c r="AE992" s="82"/>
      <c r="AF992" s="82"/>
      <c r="AG992" s="90"/>
      <c r="AH992" s="90"/>
      <c r="AI992" s="90"/>
      <c r="AJ992" s="90"/>
      <c r="AK992" s="82"/>
      <c r="AL992" s="82" t="str" cm="1">
        <f t="array" aca="1" ref="AL992" ca="1">_xlfn.IFS(
 AND($AK992&lt;&gt;"", M992&lt;&gt;0, M992&lt;=EDATE(TODAY(),2)),"도래",
 AND($AK992&lt;&gt;"", M992&lt;&gt;0, M992&lt;=EDATE(TODAY(),3)),"예정",
 AND($AK992&lt;&gt;"", M992&lt;&gt;0, M992&lt;=EDATE(TODAY(),6)),"관심",
 TRUE,""
)</f>
        <v/>
      </c>
      <c r="AM992" s="86"/>
    </row>
    <row r="993" spans="1:39" ht="18" customHeight="1">
      <c r="A993" s="81"/>
      <c r="B993" s="205" t="str">
        <f>_xlfn.LET(_xlpm.var,◆관리정보!B993,IF(_xlpm.var&lt;&gt;0,_xlpm.var,""))</f>
        <v/>
      </c>
      <c r="C993" s="82" t="str">
        <f>_xlfn.LET(_xlpm.var,◆관리정보!C993,IF(_xlpm.var&lt;&gt;0,_xlpm.var,""))</f>
        <v/>
      </c>
      <c r="D993" s="83"/>
      <c r="E993" s="84" t="str">
        <f t="shared" si="28"/>
        <v/>
      </c>
      <c r="F993" s="87"/>
      <c r="G993" s="229"/>
      <c r="H993" s="229"/>
      <c r="I993" s="229"/>
      <c r="J993" s="229"/>
      <c r="K993" s="218"/>
      <c r="L993" s="87"/>
      <c r="M993" s="87"/>
      <c r="N993" s="82"/>
      <c r="O993" s="82"/>
      <c r="P993" s="241"/>
      <c r="Q993" s="241"/>
      <c r="R993" s="82"/>
      <c r="S993" s="241"/>
      <c r="T993" s="82"/>
      <c r="U993" s="241"/>
      <c r="V993" s="82"/>
      <c r="W993" s="88"/>
      <c r="X993" s="82"/>
      <c r="Y993" s="89"/>
      <c r="Z993" s="82"/>
      <c r="AA993" s="90"/>
      <c r="AB993" s="241"/>
      <c r="AC993" s="241"/>
      <c r="AD993" s="241"/>
      <c r="AE993" s="82"/>
      <c r="AF993" s="82"/>
      <c r="AG993" s="90"/>
      <c r="AH993" s="90"/>
      <c r="AI993" s="90"/>
      <c r="AJ993" s="90"/>
      <c r="AK993" s="82"/>
      <c r="AL993" s="82" t="str" cm="1">
        <f t="array" aca="1" ref="AL993" ca="1">_xlfn.IFS(
 AND($AK993&lt;&gt;"", M993&lt;&gt;0, M993&lt;=EDATE(TODAY(),2)),"도래",
 AND($AK993&lt;&gt;"", M993&lt;&gt;0, M993&lt;=EDATE(TODAY(),3)),"예정",
 AND($AK993&lt;&gt;"", M993&lt;&gt;0, M993&lt;=EDATE(TODAY(),6)),"관심",
 TRUE,""
)</f>
        <v/>
      </c>
      <c r="AM993" s="86"/>
    </row>
    <row r="994" spans="1:39" ht="18" customHeight="1">
      <c r="A994" s="81"/>
      <c r="B994" s="205" t="str">
        <f>_xlfn.LET(_xlpm.var,◆관리정보!B994,IF(_xlpm.var&lt;&gt;0,_xlpm.var,""))</f>
        <v/>
      </c>
      <c r="C994" s="82" t="str">
        <f>_xlfn.LET(_xlpm.var,◆관리정보!C994,IF(_xlpm.var&lt;&gt;0,_xlpm.var,""))</f>
        <v/>
      </c>
      <c r="D994" s="83"/>
      <c r="E994" s="84" t="str">
        <f t="shared" si="28"/>
        <v/>
      </c>
      <c r="F994" s="87"/>
      <c r="G994" s="229"/>
      <c r="H994" s="229"/>
      <c r="I994" s="229"/>
      <c r="J994" s="229"/>
      <c r="K994" s="218"/>
      <c r="L994" s="87"/>
      <c r="M994" s="87"/>
      <c r="N994" s="82"/>
      <c r="O994" s="82"/>
      <c r="P994" s="241"/>
      <c r="Q994" s="241"/>
      <c r="R994" s="82"/>
      <c r="S994" s="241"/>
      <c r="T994" s="82"/>
      <c r="U994" s="241"/>
      <c r="V994" s="82"/>
      <c r="W994" s="88"/>
      <c r="X994" s="82"/>
      <c r="Y994" s="89"/>
      <c r="Z994" s="82"/>
      <c r="AA994" s="90"/>
      <c r="AB994" s="241"/>
      <c r="AC994" s="241"/>
      <c r="AD994" s="241"/>
      <c r="AE994" s="82"/>
      <c r="AF994" s="82"/>
      <c r="AG994" s="90"/>
      <c r="AH994" s="90"/>
      <c r="AI994" s="90"/>
      <c r="AJ994" s="90"/>
      <c r="AK994" s="82"/>
      <c r="AL994" s="82" t="str" cm="1">
        <f t="array" aca="1" ref="AL994" ca="1">_xlfn.IFS(
 AND($AK994&lt;&gt;"", M994&lt;&gt;0, M994&lt;=EDATE(TODAY(),2)),"도래",
 AND($AK994&lt;&gt;"", M994&lt;&gt;0, M994&lt;=EDATE(TODAY(),3)),"예정",
 AND($AK994&lt;&gt;"", M994&lt;&gt;0, M994&lt;=EDATE(TODAY(),6)),"관심",
 TRUE,""
)</f>
        <v/>
      </c>
      <c r="AM994" s="86"/>
    </row>
    <row r="995" spans="1:39" ht="18" customHeight="1">
      <c r="A995" s="81"/>
      <c r="B995" s="205" t="str">
        <f>_xlfn.LET(_xlpm.var,◆관리정보!B995,IF(_xlpm.var&lt;&gt;0,_xlpm.var,""))</f>
        <v/>
      </c>
      <c r="C995" s="82" t="str">
        <f>_xlfn.LET(_xlpm.var,◆관리정보!C995,IF(_xlpm.var&lt;&gt;0,_xlpm.var,""))</f>
        <v/>
      </c>
      <c r="D995" s="83"/>
      <c r="E995" s="84" t="str">
        <f t="shared" si="28"/>
        <v/>
      </c>
      <c r="F995" s="87"/>
      <c r="G995" s="229"/>
      <c r="H995" s="229"/>
      <c r="I995" s="229"/>
      <c r="J995" s="229"/>
      <c r="K995" s="218"/>
      <c r="L995" s="87"/>
      <c r="M995" s="87"/>
      <c r="N995" s="82"/>
      <c r="O995" s="82"/>
      <c r="P995" s="241"/>
      <c r="Q995" s="241"/>
      <c r="R995" s="82"/>
      <c r="S995" s="241"/>
      <c r="T995" s="82"/>
      <c r="U995" s="241"/>
      <c r="V995" s="82"/>
      <c r="W995" s="88"/>
      <c r="X995" s="82"/>
      <c r="Y995" s="89"/>
      <c r="Z995" s="82"/>
      <c r="AA995" s="90"/>
      <c r="AB995" s="241"/>
      <c r="AC995" s="241"/>
      <c r="AD995" s="241"/>
      <c r="AE995" s="82"/>
      <c r="AF995" s="82"/>
      <c r="AG995" s="90"/>
      <c r="AH995" s="90"/>
      <c r="AI995" s="90"/>
      <c r="AJ995" s="90"/>
      <c r="AK995" s="82"/>
      <c r="AL995" s="82" t="str" cm="1">
        <f t="array" aca="1" ref="AL995" ca="1">_xlfn.IFS(
 AND($AK995&lt;&gt;"", M995&lt;&gt;0, M995&lt;=EDATE(TODAY(),2)),"도래",
 AND($AK995&lt;&gt;"", M995&lt;&gt;0, M995&lt;=EDATE(TODAY(),3)),"예정",
 AND($AK995&lt;&gt;"", M995&lt;&gt;0, M995&lt;=EDATE(TODAY(),6)),"관심",
 TRUE,""
)</f>
        <v/>
      </c>
      <c r="AM995" s="86"/>
    </row>
    <row r="996" spans="1:39" ht="18" customHeight="1">
      <c r="A996" s="81"/>
      <c r="B996" s="205" t="str">
        <f>_xlfn.LET(_xlpm.var,◆관리정보!B996,IF(_xlpm.var&lt;&gt;0,_xlpm.var,""))</f>
        <v/>
      </c>
      <c r="C996" s="82" t="str">
        <f>_xlfn.LET(_xlpm.var,◆관리정보!C996,IF(_xlpm.var&lt;&gt;0,_xlpm.var,""))</f>
        <v/>
      </c>
      <c r="D996" s="83"/>
      <c r="E996" s="84" t="str">
        <f t="shared" si="28"/>
        <v/>
      </c>
      <c r="F996" s="87"/>
      <c r="G996" s="229"/>
      <c r="H996" s="229"/>
      <c r="I996" s="229"/>
      <c r="J996" s="229"/>
      <c r="K996" s="218"/>
      <c r="L996" s="87"/>
      <c r="M996" s="87"/>
      <c r="N996" s="82"/>
      <c r="O996" s="82"/>
      <c r="P996" s="241"/>
      <c r="Q996" s="241"/>
      <c r="R996" s="82"/>
      <c r="S996" s="241"/>
      <c r="T996" s="82"/>
      <c r="U996" s="241"/>
      <c r="V996" s="82"/>
      <c r="W996" s="88"/>
      <c r="X996" s="82"/>
      <c r="Y996" s="89"/>
      <c r="Z996" s="82"/>
      <c r="AA996" s="90"/>
      <c r="AB996" s="241"/>
      <c r="AC996" s="241"/>
      <c r="AD996" s="241"/>
      <c r="AE996" s="82"/>
      <c r="AF996" s="82"/>
      <c r="AG996" s="90"/>
      <c r="AH996" s="90"/>
      <c r="AI996" s="90"/>
      <c r="AJ996" s="90"/>
      <c r="AK996" s="82"/>
      <c r="AL996" s="82" t="str" cm="1">
        <f t="array" aca="1" ref="AL996" ca="1">_xlfn.IFS(
 AND($AK996&lt;&gt;"", M996&lt;&gt;0, M996&lt;=EDATE(TODAY(),2)),"도래",
 AND($AK996&lt;&gt;"", M996&lt;&gt;0, M996&lt;=EDATE(TODAY(),3)),"예정",
 AND($AK996&lt;&gt;"", M996&lt;&gt;0, M996&lt;=EDATE(TODAY(),6)),"관심",
 TRUE,""
)</f>
        <v/>
      </c>
      <c r="AM996" s="86"/>
    </row>
    <row r="997" spans="1:39" ht="18" customHeight="1">
      <c r="A997" s="81"/>
      <c r="B997" s="205" t="str">
        <f>_xlfn.LET(_xlpm.var,◆관리정보!B997,IF(_xlpm.var&lt;&gt;0,_xlpm.var,""))</f>
        <v/>
      </c>
      <c r="C997" s="82" t="str">
        <f>_xlfn.LET(_xlpm.var,◆관리정보!C997,IF(_xlpm.var&lt;&gt;0,_xlpm.var,""))</f>
        <v/>
      </c>
      <c r="D997" s="83"/>
      <c r="E997" s="84" t="str">
        <f t="shared" si="28"/>
        <v/>
      </c>
      <c r="F997" s="87"/>
      <c r="G997" s="229"/>
      <c r="H997" s="229"/>
      <c r="I997" s="229"/>
      <c r="J997" s="229"/>
      <c r="K997" s="218"/>
      <c r="L997" s="87"/>
      <c r="M997" s="87"/>
      <c r="N997" s="82"/>
      <c r="O997" s="82"/>
      <c r="P997" s="241"/>
      <c r="Q997" s="241"/>
      <c r="R997" s="82"/>
      <c r="S997" s="241"/>
      <c r="T997" s="82"/>
      <c r="U997" s="241"/>
      <c r="V997" s="82"/>
      <c r="W997" s="88"/>
      <c r="X997" s="82"/>
      <c r="Y997" s="89"/>
      <c r="Z997" s="82"/>
      <c r="AA997" s="90"/>
      <c r="AB997" s="241"/>
      <c r="AC997" s="241"/>
      <c r="AD997" s="241"/>
      <c r="AE997" s="82"/>
      <c r="AF997" s="82"/>
      <c r="AG997" s="90"/>
      <c r="AH997" s="90"/>
      <c r="AI997" s="90"/>
      <c r="AJ997" s="90"/>
      <c r="AK997" s="82"/>
      <c r="AL997" s="82" t="str" cm="1">
        <f t="array" aca="1" ref="AL997" ca="1">_xlfn.IFS(
 AND($AK997&lt;&gt;"", M997&lt;&gt;0, M997&lt;=EDATE(TODAY(),2)),"도래",
 AND($AK997&lt;&gt;"", M997&lt;&gt;0, M997&lt;=EDATE(TODAY(),3)),"예정",
 AND($AK997&lt;&gt;"", M997&lt;&gt;0, M997&lt;=EDATE(TODAY(),6)),"관심",
 TRUE,""
)</f>
        <v/>
      </c>
      <c r="AM997" s="86"/>
    </row>
    <row r="998" spans="1:39" ht="18" customHeight="1">
      <c r="A998" s="81"/>
      <c r="B998" s="205" t="str">
        <f>_xlfn.LET(_xlpm.var,◆관리정보!B998,IF(_xlpm.var&lt;&gt;0,_xlpm.var,""))</f>
        <v/>
      </c>
      <c r="C998" s="82" t="str">
        <f>_xlfn.LET(_xlpm.var,◆관리정보!C998,IF(_xlpm.var&lt;&gt;0,_xlpm.var,""))</f>
        <v/>
      </c>
      <c r="D998" s="83"/>
      <c r="E998" s="84" t="str">
        <f t="shared" si="28"/>
        <v/>
      </c>
      <c r="F998" s="87"/>
      <c r="G998" s="229"/>
      <c r="H998" s="229"/>
      <c r="I998" s="229"/>
      <c r="J998" s="229"/>
      <c r="K998" s="218"/>
      <c r="L998" s="87"/>
      <c r="M998" s="87"/>
      <c r="N998" s="82"/>
      <c r="O998" s="82"/>
      <c r="P998" s="241"/>
      <c r="Q998" s="241"/>
      <c r="R998" s="82"/>
      <c r="S998" s="241"/>
      <c r="T998" s="82"/>
      <c r="U998" s="241"/>
      <c r="V998" s="82"/>
      <c r="W998" s="88"/>
      <c r="X998" s="82"/>
      <c r="Y998" s="89"/>
      <c r="Z998" s="82"/>
      <c r="AA998" s="90"/>
      <c r="AB998" s="241"/>
      <c r="AC998" s="241"/>
      <c r="AD998" s="241"/>
      <c r="AE998" s="82"/>
      <c r="AF998" s="82"/>
      <c r="AG998" s="90"/>
      <c r="AH998" s="90"/>
      <c r="AI998" s="90"/>
      <c r="AJ998" s="90"/>
      <c r="AK998" s="82"/>
      <c r="AL998" s="82" t="str" cm="1">
        <f t="array" aca="1" ref="AL998" ca="1">_xlfn.IFS(
 AND($AK998&lt;&gt;"", M998&lt;&gt;0, M998&lt;=EDATE(TODAY(),2)),"도래",
 AND($AK998&lt;&gt;"", M998&lt;&gt;0, M998&lt;=EDATE(TODAY(),3)),"예정",
 AND($AK998&lt;&gt;"", M998&lt;&gt;0, M998&lt;=EDATE(TODAY(),6)),"관심",
 TRUE,""
)</f>
        <v/>
      </c>
      <c r="AM998" s="86"/>
    </row>
    <row r="999" spans="1:39" ht="18" customHeight="1">
      <c r="A999" s="81"/>
      <c r="B999" s="205" t="str">
        <f>_xlfn.LET(_xlpm.var,◆관리정보!B999,IF(_xlpm.var&lt;&gt;0,_xlpm.var,""))</f>
        <v/>
      </c>
      <c r="C999" s="82" t="str">
        <f>_xlfn.LET(_xlpm.var,◆관리정보!C999,IF(_xlpm.var&lt;&gt;0,_xlpm.var,""))</f>
        <v/>
      </c>
      <c r="D999" s="83"/>
      <c r="E999" s="84" t="str">
        <f t="shared" si="28"/>
        <v/>
      </c>
      <c r="F999" s="87"/>
      <c r="G999" s="229"/>
      <c r="H999" s="229"/>
      <c r="I999" s="229"/>
      <c r="J999" s="229"/>
      <c r="K999" s="218"/>
      <c r="L999" s="87"/>
      <c r="M999" s="87"/>
      <c r="N999" s="82"/>
      <c r="O999" s="82"/>
      <c r="P999" s="241"/>
      <c r="Q999" s="241"/>
      <c r="R999" s="82"/>
      <c r="S999" s="241"/>
      <c r="T999" s="82"/>
      <c r="U999" s="241"/>
      <c r="V999" s="82"/>
      <c r="W999" s="88"/>
      <c r="X999" s="82"/>
      <c r="Y999" s="89"/>
      <c r="Z999" s="82"/>
      <c r="AA999" s="90"/>
      <c r="AB999" s="241"/>
      <c r="AC999" s="241"/>
      <c r="AD999" s="241"/>
      <c r="AE999" s="82"/>
      <c r="AF999" s="82"/>
      <c r="AG999" s="90"/>
      <c r="AH999" s="90"/>
      <c r="AI999" s="90"/>
      <c r="AJ999" s="90"/>
      <c r="AK999" s="82"/>
      <c r="AL999" s="82" t="str" cm="1">
        <f t="array" aca="1" ref="AL999" ca="1">_xlfn.IFS(
 AND($AK999&lt;&gt;"", M999&lt;&gt;0, M999&lt;=EDATE(TODAY(),2)),"도래",
 AND($AK999&lt;&gt;"", M999&lt;&gt;0, M999&lt;=EDATE(TODAY(),3)),"예정",
 AND($AK999&lt;&gt;"", M999&lt;&gt;0, M999&lt;=EDATE(TODAY(),6)),"관심",
 TRUE,""
)</f>
        <v/>
      </c>
      <c r="AM999" s="86"/>
    </row>
    <row r="1000" spans="1:39" ht="18" customHeight="1">
      <c r="A1000" s="81"/>
      <c r="B1000" s="205" t="str">
        <f>_xlfn.LET(_xlpm.var,◆관리정보!B1000,IF(_xlpm.var&lt;&gt;0,_xlpm.var,""))</f>
        <v/>
      </c>
      <c r="C1000" s="82" t="str">
        <f>_xlfn.LET(_xlpm.var,◆관리정보!C1000,IF(_xlpm.var&lt;&gt;0,_xlpm.var,""))</f>
        <v/>
      </c>
      <c r="D1000" s="83"/>
      <c r="E1000" s="84" t="str">
        <f t="shared" si="28"/>
        <v/>
      </c>
      <c r="F1000" s="87"/>
      <c r="G1000" s="229"/>
      <c r="H1000" s="229"/>
      <c r="I1000" s="229"/>
      <c r="J1000" s="229"/>
      <c r="K1000" s="218"/>
      <c r="L1000" s="87"/>
      <c r="M1000" s="87"/>
      <c r="N1000" s="82"/>
      <c r="O1000" s="82"/>
      <c r="P1000" s="241"/>
      <c r="Q1000" s="241"/>
      <c r="R1000" s="82"/>
      <c r="S1000" s="241"/>
      <c r="T1000" s="82"/>
      <c r="U1000" s="241"/>
      <c r="V1000" s="82"/>
      <c r="W1000" s="88"/>
      <c r="X1000" s="82"/>
      <c r="Y1000" s="89"/>
      <c r="Z1000" s="82"/>
      <c r="AA1000" s="90"/>
      <c r="AB1000" s="241"/>
      <c r="AC1000" s="241"/>
      <c r="AD1000" s="241"/>
      <c r="AE1000" s="82"/>
      <c r="AF1000" s="82"/>
      <c r="AG1000" s="90"/>
      <c r="AH1000" s="90"/>
      <c r="AI1000" s="90"/>
      <c r="AJ1000" s="90"/>
      <c r="AK1000" s="82"/>
      <c r="AL1000" s="82" t="str" cm="1">
        <f t="array" aca="1" ref="AL1000" ca="1">_xlfn.IFS(
 AND($AK1000&lt;&gt;"", M1000&lt;&gt;0, M1000&lt;=EDATE(TODAY(),2)),"도래",
 AND($AK1000&lt;&gt;"", M1000&lt;&gt;0, M1000&lt;=EDATE(TODAY(),3)),"예정",
 AND($AK1000&lt;&gt;"", M1000&lt;&gt;0, M1000&lt;=EDATE(TODAY(),6)),"관심",
 TRUE,""
)</f>
        <v/>
      </c>
      <c r="AM1000" s="86"/>
    </row>
  </sheetData>
  <sheetProtection algorithmName="SHA-512" hashValue="ypRFA4Pwza2eCkZAAQBYAntuPcFtY7K6Qj1x+0/a0anQrOTn5NcSO0g9C0eFzsppJbt1DNsNX2Iedq3ENsJYNA==" saltValue="oPR8hMHnvWdM/yYKvl0mzw==" spinCount="100000" sheet="1" objects="1" scenarios="1" formatCells="0" sort="0" autoFilter="0"/>
  <protectedRanges>
    <protectedRange sqref="G1:AK1048576" name="통합장부"/>
    <protectedRange sqref="D1:D1048576" name="입주자"/>
    <protectedRange sqref="F1:F1048576" name="납부기한"/>
    <protectedRange sqref="AM1:AM1048576" name="범위4"/>
  </protectedRanges>
  <autoFilter ref="A3:AM1000" xr:uid="{43FF58C9-DA00-4F3D-8CA7-4AF4F96CB3A3}"/>
  <mergeCells count="26">
    <mergeCell ref="AL1:AL2"/>
    <mergeCell ref="AE1:AE2"/>
    <mergeCell ref="AG1:AG2"/>
    <mergeCell ref="AI1:AI2"/>
    <mergeCell ref="AJ1:AJ2"/>
    <mergeCell ref="W1:X1"/>
    <mergeCell ref="Y1:Z1"/>
    <mergeCell ref="AA1:AA2"/>
    <mergeCell ref="AB1:AB2"/>
    <mergeCell ref="AK1:AK2"/>
    <mergeCell ref="AM1:AM2"/>
    <mergeCell ref="E1:E2"/>
    <mergeCell ref="B1:B2"/>
    <mergeCell ref="F1:F2"/>
    <mergeCell ref="Q1:R1"/>
    <mergeCell ref="S1:T1"/>
    <mergeCell ref="C1:C2"/>
    <mergeCell ref="K1:K2"/>
    <mergeCell ref="M1:M2"/>
    <mergeCell ref="P1:P2"/>
    <mergeCell ref="O1:O2"/>
    <mergeCell ref="L1:L2"/>
    <mergeCell ref="D1:D2"/>
    <mergeCell ref="N1:N2"/>
    <mergeCell ref="AC1:AD1"/>
    <mergeCell ref="U1:V1"/>
  </mergeCells>
  <phoneticPr fontId="2" type="noConversion"/>
  <conditionalFormatting sqref="B1:AM1000">
    <cfRule type="expression" dxfId="12" priority="4">
      <formula>$B1=$B2</formula>
    </cfRule>
  </conditionalFormatting>
  <conditionalFormatting sqref="F4:F1000">
    <cfRule type="cellIs" dxfId="11" priority="7" operator="greaterThanOrEqual">
      <formula>TODAY()</formula>
    </cfRule>
    <cfRule type="expression" dxfId="10" priority="8">
      <formula>AND(F4&lt;&gt;"",F4&lt;TODAY())</formula>
    </cfRule>
  </conditionalFormatting>
  <conditionalFormatting sqref="AM4:AM100">
    <cfRule type="cellIs" dxfId="9" priority="1" operator="notEqual">
      <formula>DAY(F4)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565D-32B9-467C-833C-99A7B33F8ADC}">
  <sheetPr>
    <tabColor rgb="FFFFC000"/>
  </sheetPr>
  <dimension ref="A1:AD530"/>
  <sheetViews>
    <sheetView tabSelected="1" workbookViewId="0">
      <pane ySplit="5" topLeftCell="A6" activePane="bottomLeft" state="frozen"/>
      <selection pane="bottomLeft" activeCell="E7" sqref="E7"/>
      <selection activeCell="V1" sqref="V1"/>
    </sheetView>
  </sheetViews>
  <sheetFormatPr defaultColWidth="9" defaultRowHeight="15" customHeight="1"/>
  <cols>
    <col min="1" max="2" width="4.625" style="12" customWidth="1"/>
    <col min="3" max="3" width="13.625" style="12" customWidth="1"/>
    <col min="4" max="4" width="5.625" style="12" customWidth="1"/>
    <col min="5" max="5" width="12.625" style="12" customWidth="1"/>
    <col min="6" max="13" width="5.625" style="12" customWidth="1"/>
    <col min="14" max="14" width="2.125" style="12" customWidth="1"/>
    <col min="15" max="15" width="16.125" style="12" customWidth="1"/>
    <col min="16" max="16" width="2.125" style="12" customWidth="1"/>
    <col min="17" max="17" width="12.25" style="203" bestFit="1" customWidth="1"/>
    <col min="18" max="18" width="11.125" style="203" bestFit="1" customWidth="1"/>
    <col min="19" max="19" width="2.125" style="203" customWidth="1"/>
    <col min="20" max="21" width="5.625" style="203" customWidth="1"/>
    <col min="22" max="22" width="20.625" style="203" customWidth="1"/>
    <col min="23" max="30" width="9" style="203"/>
    <col min="31" max="16384" width="9" style="12"/>
  </cols>
  <sheetData>
    <row r="1" spans="1:30" ht="24.95" customHeight="1">
      <c r="A1" s="436" t="s">
        <v>1961</v>
      </c>
      <c r="B1" s="436"/>
      <c r="C1" s="436"/>
      <c r="D1" s="438"/>
      <c r="E1" s="438"/>
      <c r="F1" s="438"/>
      <c r="G1" s="442">
        <f ca="1">TODAY()</f>
        <v>46099</v>
      </c>
      <c r="H1" s="442"/>
      <c r="I1" s="442"/>
      <c r="J1" s="442"/>
      <c r="K1" s="442"/>
      <c r="L1" s="442"/>
      <c r="M1" s="442"/>
      <c r="Q1" s="314" t="s">
        <v>1962</v>
      </c>
      <c r="R1" s="314">
        <v>5500</v>
      </c>
    </row>
    <row r="2" spans="1:30" ht="15" customHeight="1">
      <c r="A2" s="436"/>
      <c r="B2" s="436"/>
      <c r="C2" s="436"/>
      <c r="D2" s="438"/>
      <c r="E2" s="438"/>
      <c r="F2" s="438"/>
      <c r="G2" s="397" t="s">
        <v>1963</v>
      </c>
      <c r="H2" s="397" t="s">
        <v>1964</v>
      </c>
      <c r="I2" s="397" t="s">
        <v>1965</v>
      </c>
      <c r="J2" s="397" t="s">
        <v>1966</v>
      </c>
      <c r="K2" s="416" t="s">
        <v>1967</v>
      </c>
      <c r="L2" s="440">
        <f>COUNTA(C6:C50)</f>
        <v>22</v>
      </c>
      <c r="M2" s="440"/>
      <c r="Q2" s="314" t="s">
        <v>1968</v>
      </c>
      <c r="R2" s="314">
        <v>9216</v>
      </c>
      <c r="T2" s="446" t="s">
        <v>1969</v>
      </c>
      <c r="U2" s="446"/>
      <c r="V2" s="446"/>
    </row>
    <row r="3" spans="1:30" ht="15" customHeight="1">
      <c r="A3" s="437"/>
      <c r="B3" s="437"/>
      <c r="C3" s="437"/>
      <c r="D3" s="439"/>
      <c r="E3" s="439"/>
      <c r="F3" s="439"/>
      <c r="G3" s="235">
        <f>COUNTIF($N$6:$N$50,G2)</f>
        <v>10</v>
      </c>
      <c r="H3" s="235">
        <f>COUNTIF($N$6:$N$50,"상가")</f>
        <v>5</v>
      </c>
      <c r="I3" s="235">
        <f t="shared" ref="I3" si="0">COUNTIF($N$6:$N$50,I2)</f>
        <v>6</v>
      </c>
      <c r="J3" s="235">
        <f>COUNTA($O$6:$O$50)</f>
        <v>8</v>
      </c>
      <c r="K3" s="416"/>
      <c r="L3" s="440"/>
      <c r="M3" s="441"/>
      <c r="Q3" s="314" t="s">
        <v>1970</v>
      </c>
      <c r="R3" s="314">
        <v>1235</v>
      </c>
      <c r="T3" s="446"/>
      <c r="U3" s="446"/>
      <c r="V3" s="446"/>
    </row>
    <row r="4" spans="1:30" ht="20.100000000000001" customHeight="1">
      <c r="A4" s="433" t="s">
        <v>20</v>
      </c>
      <c r="B4" s="433"/>
      <c r="C4" s="434" t="s">
        <v>0</v>
      </c>
      <c r="D4" s="434" t="s">
        <v>1971</v>
      </c>
      <c r="E4" s="434" t="s">
        <v>1972</v>
      </c>
      <c r="F4" s="433" t="s">
        <v>12</v>
      </c>
      <c r="G4" s="433" t="s">
        <v>1973</v>
      </c>
      <c r="H4" s="435" t="s">
        <v>1974</v>
      </c>
      <c r="I4" s="433" t="s">
        <v>14</v>
      </c>
      <c r="J4" s="433" t="s">
        <v>15</v>
      </c>
      <c r="K4" s="433" t="s">
        <v>16</v>
      </c>
      <c r="L4" s="432" t="s">
        <v>1975</v>
      </c>
      <c r="M4" s="221" t="s">
        <v>1967</v>
      </c>
      <c r="N4" s="92"/>
      <c r="O4" s="434" t="str">
        <f>"미노출 (" &amp; COUNTA(O6:O50) &amp; ")"</f>
        <v>미노출 (8)</v>
      </c>
      <c r="Q4" s="445" t="s">
        <v>1976</v>
      </c>
      <c r="R4" s="445"/>
      <c r="T4" s="447" t="s">
        <v>20</v>
      </c>
      <c r="U4" s="447"/>
      <c r="V4" s="430" t="s">
        <v>0</v>
      </c>
      <c r="W4" s="430" t="s">
        <v>12</v>
      </c>
      <c r="X4" s="430" t="s">
        <v>1973</v>
      </c>
      <c r="Y4" s="443" t="s">
        <v>1974</v>
      </c>
      <c r="Z4" s="430" t="s">
        <v>14</v>
      </c>
      <c r="AA4" s="430" t="s">
        <v>15</v>
      </c>
      <c r="AB4" s="430" t="s">
        <v>16</v>
      </c>
      <c r="AC4" s="430" t="s">
        <v>1977</v>
      </c>
      <c r="AD4" s="430" t="s">
        <v>1978</v>
      </c>
    </row>
    <row r="5" spans="1:30" ht="20.100000000000001" customHeight="1">
      <c r="A5" s="233" t="s">
        <v>1979</v>
      </c>
      <c r="B5" s="233" t="s">
        <v>34</v>
      </c>
      <c r="C5" s="434"/>
      <c r="D5" s="434"/>
      <c r="E5" s="434"/>
      <c r="F5" s="433"/>
      <c r="G5" s="433"/>
      <c r="H5" s="435"/>
      <c r="I5" s="433"/>
      <c r="J5" s="433"/>
      <c r="K5" s="433"/>
      <c r="L5" s="432"/>
      <c r="M5" s="222" t="s">
        <v>1980</v>
      </c>
      <c r="N5" s="92"/>
      <c r="O5" s="434"/>
      <c r="Q5" s="445"/>
      <c r="R5" s="445"/>
      <c r="T5" s="402" t="s">
        <v>1979</v>
      </c>
      <c r="U5" s="402" t="s">
        <v>34</v>
      </c>
      <c r="V5" s="431"/>
      <c r="W5" s="431"/>
      <c r="X5" s="431"/>
      <c r="Y5" s="444"/>
      <c r="Z5" s="431"/>
      <c r="AA5" s="431"/>
      <c r="AB5" s="431"/>
      <c r="AC5" s="431"/>
      <c r="AD5" s="431"/>
    </row>
    <row r="6" spans="1:30" ht="15" customHeight="1">
      <c r="A6" s="94" t="str">
        <f t="shared" ref="A6:A50" si="1">IF($C6="","",_xlfn.XLOOKUP(_xlfn.CONCAT($C6,$D6),$V:$V,T:T,"",0))</f>
        <v/>
      </c>
      <c r="B6" s="94">
        <f t="shared" ref="B6:B50" si="2">IF($C6="","",_xlfn.XLOOKUP(_xlfn.CONCAT($C6,$D6),$V:$V,U:U,"",0))</f>
        <v>10</v>
      </c>
      <c r="C6" s="94" t="str" cm="1">
        <f t="array" ref="C6:C27">_xlfn._xlws.FILTER(■입주정보!B4:B1000,(■입주정보!$D4:$D1000="퇴실") + (■입주정보!$AJ4:$AJ1000="연결"))</f>
        <v>다존하우스</v>
      </c>
      <c r="D6" s="94" cm="1">
        <f t="array" ref="D6:D27">_xlfn._xlws.FILTER(■입주정보!C4:C1000,(■입주정보!$D4:$D1000="퇴실") + (■입주정보!$AJ4:$AJ1000="연결"))</f>
        <v>202</v>
      </c>
      <c r="E6" s="94" t="str">
        <f t="shared" ref="E6:E50" si="3">IF(C6="","",_xlfn.XLOOKUP(C6,$Q$6:$Q$100,$R$6:$R$100,"",0))</f>
        <v>731024#</v>
      </c>
      <c r="F6" s="94">
        <f t="shared" ref="F6:F50" si="4">IF($C6="","",_xlfn.XLOOKUP(_xlfn.CONCAT($C6,$D6),$V:$V,W:W,"",0))</f>
        <v>50</v>
      </c>
      <c r="G6" s="94">
        <f t="shared" ref="G6:G50" si="5">IF($C6="","",_xlfn.XLOOKUP(_xlfn.CONCAT($C6,$D6),$V:$V,X:X,"",0))</f>
        <v>50</v>
      </c>
      <c r="H6" s="96">
        <f t="shared" ref="H6:H50" si="6">IF($C6="","",_xlfn.XLOOKUP(_xlfn.CONCAT($C6,$D6),$V:$V,Y:Y,"",0))</f>
        <v>50</v>
      </c>
      <c r="I6" s="94">
        <f t="shared" ref="I6:I50" si="7">IF($C6="","",_xlfn.XLOOKUP(_xlfn.CONCAT($C6,$D6),$V:$V,Z:Z,"",0))</f>
        <v>7</v>
      </c>
      <c r="J6" s="94" t="str">
        <f t="shared" ref="J6:J50" si="8">IF($C6="","",_xlfn.XLOOKUP(_xlfn.CONCAT($C6,$D6),$V:$V,AA:AA,"",0))</f>
        <v>포함</v>
      </c>
      <c r="K6" s="94" t="str">
        <f t="shared" ref="K6:K50" si="9">IF($C6="","",_xlfn.XLOOKUP(_xlfn.CONCAT($C6,$D6),$V:$V,AB:AB,"",0))</f>
        <v>포함</v>
      </c>
      <c r="L6" s="94">
        <f t="shared" ref="L6:L50" si="10">IF($C6="","",_xlfn.XLOOKUP(_xlfn.CONCAT($C6,$D6),$V:$V,AC:AC,"",0))</f>
        <v>8</v>
      </c>
      <c r="M6" s="312" cm="1">
        <f t="array" aca="1" ref="M6" ca="1">_xlfn.LET(_xlpm.퇴실일, _xlfn.XLOOKUP(_xlfn.CONCAT(C6,D6),■퇴실정보!$B$4:$B$1000&amp;■퇴실정보!$C$4:$C$1000,■퇴실정보!$E$4:$E$1000,0,0,-1),IF(TODAY()-_xlpm.퇴실일&gt;1000,0,TODAY()-_xlpm.퇴실일))</f>
        <v>0</v>
      </c>
      <c r="N6" s="95" t="str" cm="1">
        <f t="array" ref="N6">IF($C6="","",_xlfn.XLOOKUP(_xlfn.CONCAT($C6,$D6),◆관리정보!$B:$B &amp; ◆관리정보!$C:$C,◆관리정보!$J:$J))</f>
        <v>단기</v>
      </c>
      <c r="O6" s="93" t="str" cm="1">
        <f t="array" ref="O6:O13">_xlfn._xlws.FILTER(■입주정보!B4:B1000 &amp; " " &amp; ■입주정보!C4:C1000,(■입주정보!$D4:$D1000="미노출"))</f>
        <v>다존하우스 205</v>
      </c>
      <c r="Q6" s="204" t="s">
        <v>1981</v>
      </c>
      <c r="R6" s="204" t="s">
        <v>1982</v>
      </c>
      <c r="T6" s="11" t="s">
        <v>1983</v>
      </c>
      <c r="U6" s="11">
        <v>10</v>
      </c>
      <c r="V6" s="11" t="s">
        <v>1984</v>
      </c>
      <c r="W6" s="11">
        <v>70</v>
      </c>
      <c r="X6" s="11">
        <v>70</v>
      </c>
      <c r="Y6" s="67">
        <v>65</v>
      </c>
      <c r="Z6" s="11">
        <v>7</v>
      </c>
      <c r="AA6" s="11">
        <v>2.5</v>
      </c>
      <c r="AB6" s="11">
        <v>2.5</v>
      </c>
      <c r="AC6" s="11">
        <v>10</v>
      </c>
      <c r="AD6" s="11" t="s">
        <v>1985</v>
      </c>
    </row>
    <row r="7" spans="1:30" ht="15" customHeight="1">
      <c r="A7" s="94" t="str">
        <f t="shared" si="1"/>
        <v/>
      </c>
      <c r="B7" s="94">
        <f t="shared" si="2"/>
        <v>10</v>
      </c>
      <c r="C7" s="94" t="str">
        <v>다존하우스</v>
      </c>
      <c r="D7" s="94">
        <v>509</v>
      </c>
      <c r="E7" s="94" t="str">
        <f t="shared" si="3"/>
        <v>731024#</v>
      </c>
      <c r="F7" s="94">
        <f t="shared" si="4"/>
        <v>55</v>
      </c>
      <c r="G7" s="94">
        <f t="shared" si="5"/>
        <v>55</v>
      </c>
      <c r="H7" s="96">
        <f t="shared" si="6"/>
        <v>55</v>
      </c>
      <c r="I7" s="94">
        <f t="shared" si="7"/>
        <v>7</v>
      </c>
      <c r="J7" s="94" t="str">
        <f t="shared" si="8"/>
        <v>포함</v>
      </c>
      <c r="K7" s="94" t="str">
        <f t="shared" si="9"/>
        <v>포함</v>
      </c>
      <c r="L7" s="94">
        <f t="shared" si="10"/>
        <v>8</v>
      </c>
      <c r="M7" s="312" cm="1">
        <f t="array" aca="1" ref="M7" ca="1">_xlfn.LET(_xlpm.퇴실일, _xlfn.XLOOKUP(_xlfn.CONCAT(C7,D7),■퇴실정보!$B$4:$B$1000&amp;■퇴실정보!$C$4:$C$1000,■퇴실정보!$E$4:$E$1000,0,0,-1),IF(TODAY()-_xlpm.퇴실일&gt;1000,"",TODAY()-_xlpm.퇴실일))</f>
        <v>24</v>
      </c>
      <c r="N7" s="95" t="str" cm="1">
        <f t="array" ref="N7">IF($C7="","",_xlfn.XLOOKUP(_xlfn.CONCAT($C7,$D7),◆관리정보!$B:$B &amp; ◆관리정보!$C:$C,◆관리정보!$J:$J))</f>
        <v>단기</v>
      </c>
      <c r="O7" s="93" t="str">
        <v>다존하우스 208</v>
      </c>
      <c r="Q7" s="204" t="s">
        <v>1986</v>
      </c>
      <c r="R7" s="204" t="s">
        <v>1987</v>
      </c>
      <c r="T7" s="11" t="s">
        <v>1983</v>
      </c>
      <c r="U7" s="11" t="s">
        <v>1983</v>
      </c>
      <c r="V7" s="11" t="s">
        <v>1988</v>
      </c>
      <c r="W7" s="11"/>
      <c r="X7" s="11" t="s">
        <v>1983</v>
      </c>
      <c r="Y7" s="67">
        <v>75</v>
      </c>
      <c r="Z7" s="11" t="s">
        <v>1983</v>
      </c>
      <c r="AA7" s="11" t="s">
        <v>1983</v>
      </c>
      <c r="AB7" s="11" t="s">
        <v>1983</v>
      </c>
      <c r="AC7" s="11" t="s">
        <v>1983</v>
      </c>
      <c r="AD7" s="11" t="s">
        <v>1989</v>
      </c>
    </row>
    <row r="8" spans="1:30" ht="15" customHeight="1">
      <c r="A8" s="94" t="str">
        <f t="shared" si="1"/>
        <v/>
      </c>
      <c r="B8" s="94">
        <f t="shared" si="2"/>
        <v>10</v>
      </c>
      <c r="C8" s="94" t="str">
        <v>다존하우스</v>
      </c>
      <c r="D8" s="94">
        <v>605</v>
      </c>
      <c r="E8" s="94" t="str">
        <f t="shared" si="3"/>
        <v>731024#</v>
      </c>
      <c r="F8" s="94">
        <f t="shared" si="4"/>
        <v>50</v>
      </c>
      <c r="G8" s="94">
        <f t="shared" si="5"/>
        <v>50</v>
      </c>
      <c r="H8" s="96">
        <f t="shared" si="6"/>
        <v>50</v>
      </c>
      <c r="I8" s="94">
        <f t="shared" si="7"/>
        <v>7</v>
      </c>
      <c r="J8" s="94" t="str">
        <f t="shared" si="8"/>
        <v>포함</v>
      </c>
      <c r="K8" s="94" t="str">
        <f t="shared" si="9"/>
        <v>포함</v>
      </c>
      <c r="L8" s="94">
        <f t="shared" si="10"/>
        <v>8</v>
      </c>
      <c r="M8" s="312" cm="1">
        <f t="array" aca="1" ref="M8" ca="1">_xlfn.LET(_xlpm.퇴실일, _xlfn.XLOOKUP(_xlfn.CONCAT(C8,D8),■퇴실정보!$B$4:$B$1000&amp;■퇴실정보!$C$4:$C$1000,■퇴실정보!$E$4:$E$1000,0,0,-1),IF(TODAY()-_xlpm.퇴실일&gt;1000,"",TODAY()-_xlpm.퇴실일))</f>
        <v>3</v>
      </c>
      <c r="N8" s="95" t="str" cm="1">
        <f t="array" ref="N8">IF($C8="","",_xlfn.XLOOKUP(_xlfn.CONCAT($C8,$D8),◆관리정보!$B:$B &amp; ◆관리정보!$C:$C,◆관리정보!$J:$J))</f>
        <v>단기</v>
      </c>
      <c r="O8" s="93" t="str">
        <v>미래홈 102</v>
      </c>
      <c r="Q8" s="204" t="s">
        <v>1990</v>
      </c>
      <c r="R8" s="204" t="s">
        <v>1991</v>
      </c>
      <c r="T8" s="11" t="s">
        <v>1983</v>
      </c>
      <c r="U8" s="11">
        <v>15</v>
      </c>
      <c r="V8" s="11" t="s">
        <v>1992</v>
      </c>
      <c r="W8" s="11">
        <v>165</v>
      </c>
      <c r="X8" s="11">
        <v>165</v>
      </c>
      <c r="Y8" s="67">
        <v>160</v>
      </c>
      <c r="Z8" s="11">
        <v>12</v>
      </c>
      <c r="AA8" s="11">
        <v>2.5</v>
      </c>
      <c r="AB8" s="11">
        <v>2.5</v>
      </c>
      <c r="AC8" s="11">
        <v>20</v>
      </c>
      <c r="AD8" s="11" t="s">
        <v>1993</v>
      </c>
    </row>
    <row r="9" spans="1:30" ht="15" customHeight="1">
      <c r="A9" s="94" t="str">
        <f t="shared" si="1"/>
        <v/>
      </c>
      <c r="B9" s="94">
        <f t="shared" si="2"/>
        <v>11</v>
      </c>
      <c r="C9" s="94" t="str">
        <v>미래홈</v>
      </c>
      <c r="D9" s="94">
        <v>203</v>
      </c>
      <c r="E9" s="94" t="str">
        <f t="shared" si="3"/>
        <v>#4150#</v>
      </c>
      <c r="F9" s="94">
        <f t="shared" si="4"/>
        <v>70</v>
      </c>
      <c r="G9" s="94">
        <f t="shared" si="5"/>
        <v>50</v>
      </c>
      <c r="H9" s="96">
        <f t="shared" si="6"/>
        <v>50</v>
      </c>
      <c r="I9" s="94">
        <f t="shared" si="7"/>
        <v>7</v>
      </c>
      <c r="J9" s="94" t="str">
        <f t="shared" si="8"/>
        <v>포함</v>
      </c>
      <c r="K9" s="94" t="str">
        <f t="shared" si="9"/>
        <v>포함</v>
      </c>
      <c r="L9" s="94">
        <f t="shared" si="10"/>
        <v>10</v>
      </c>
      <c r="M9" s="312" cm="1">
        <f t="array" aca="1" ref="M9" ca="1">_xlfn.LET(_xlpm.퇴실일, _xlfn.XLOOKUP(_xlfn.CONCAT(C9,D9),■퇴실정보!$B$4:$B$1000&amp;■퇴실정보!$C$4:$C$1000,■퇴실정보!$E$4:$E$1000,0,0,-1),IF(TODAY()-_xlpm.퇴실일&gt;1000,"",TODAY()-_xlpm.퇴실일))</f>
        <v>13</v>
      </c>
      <c r="N9" s="95" t="str" cm="1">
        <f t="array" ref="N9">IF($C9="","",_xlfn.XLOOKUP(_xlfn.CONCAT($C9,$D9),◆관리정보!$B:$B &amp; ◆관리정보!$C:$C,◆관리정보!$J:$J))</f>
        <v>단기</v>
      </c>
      <c r="O9" s="93" t="str">
        <v>미래홈 107</v>
      </c>
      <c r="Q9" s="204" t="s">
        <v>1968</v>
      </c>
      <c r="R9" s="204" t="s">
        <v>1994</v>
      </c>
      <c r="T9" s="11" t="s">
        <v>1983</v>
      </c>
      <c r="U9" s="11">
        <v>20</v>
      </c>
      <c r="V9" s="11" t="s">
        <v>1995</v>
      </c>
      <c r="W9" s="11">
        <v>165</v>
      </c>
      <c r="X9" s="11">
        <v>165</v>
      </c>
      <c r="Y9" s="67">
        <v>160</v>
      </c>
      <c r="Z9" s="11">
        <v>12</v>
      </c>
      <c r="AA9" s="11">
        <v>2.5</v>
      </c>
      <c r="AB9" s="11">
        <v>2.5</v>
      </c>
      <c r="AC9" s="11">
        <v>20</v>
      </c>
      <c r="AD9" s="11" t="s">
        <v>1993</v>
      </c>
    </row>
    <row r="10" spans="1:30" ht="15" customHeight="1">
      <c r="A10" s="94" t="str">
        <f t="shared" si="1"/>
        <v/>
      </c>
      <c r="B10" s="94">
        <f t="shared" si="2"/>
        <v>15</v>
      </c>
      <c r="C10" s="94" t="str">
        <v>굿모닝빌</v>
      </c>
      <c r="D10" s="94">
        <v>203</v>
      </c>
      <c r="E10" s="94" t="str">
        <f t="shared" si="3"/>
        <v>OPEN</v>
      </c>
      <c r="F10" s="94">
        <f t="shared" si="4"/>
        <v>120</v>
      </c>
      <c r="G10" s="94">
        <f t="shared" si="5"/>
        <v>115</v>
      </c>
      <c r="H10" s="96">
        <f t="shared" si="6"/>
        <v>110</v>
      </c>
      <c r="I10" s="94">
        <f t="shared" si="7"/>
        <v>8</v>
      </c>
      <c r="J10" s="94">
        <f t="shared" si="8"/>
        <v>2.5</v>
      </c>
      <c r="K10" s="94">
        <f t="shared" si="9"/>
        <v>2.5</v>
      </c>
      <c r="L10" s="94">
        <f t="shared" si="10"/>
        <v>18</v>
      </c>
      <c r="M10" s="312" cm="1">
        <f t="array" aca="1" ref="M10" ca="1">_xlfn.LET(_xlpm.퇴실일, _xlfn.XLOOKUP(_xlfn.CONCAT(C10,D10),■퇴실정보!$B$4:$B$1000&amp;■퇴실정보!$C$4:$C$1000,■퇴실정보!$E$4:$E$1000,0,0,-1),IF(TODAY()-_xlpm.퇴실일&gt;1000,"",TODAY()-_xlpm.퇴실일))</f>
        <v>20</v>
      </c>
      <c r="N10" s="95" t="str" cm="1">
        <f t="array" ref="N10">IF($C10="","",_xlfn.XLOOKUP(_xlfn.CONCAT($C10,$D10),◆관리정보!$B:$B &amp; ◆관리정보!$C:$C,◆관리정보!$J:$J))</f>
        <v>단기</v>
      </c>
      <c r="O10" s="93" t="str">
        <v>굿모닝빌 301</v>
      </c>
      <c r="Q10" s="204" t="s">
        <v>1996</v>
      </c>
      <c r="R10" s="204" t="s">
        <v>1997</v>
      </c>
      <c r="T10" s="11" t="s">
        <v>1983</v>
      </c>
      <c r="U10" s="11">
        <v>25</v>
      </c>
      <c r="V10" s="11" t="s">
        <v>1998</v>
      </c>
      <c r="W10" s="11">
        <v>200</v>
      </c>
      <c r="X10" s="11">
        <v>200</v>
      </c>
      <c r="Y10" s="67">
        <v>195</v>
      </c>
      <c r="Z10" s="11">
        <v>15</v>
      </c>
      <c r="AA10" s="11">
        <v>3</v>
      </c>
      <c r="AB10" s="11">
        <v>2.5</v>
      </c>
      <c r="AC10" s="11">
        <v>20</v>
      </c>
      <c r="AD10" s="11" t="s">
        <v>1999</v>
      </c>
    </row>
    <row r="11" spans="1:30" ht="15" customHeight="1">
      <c r="A11" s="94" t="str">
        <f t="shared" si="1"/>
        <v/>
      </c>
      <c r="B11" s="94">
        <f t="shared" si="2"/>
        <v>15</v>
      </c>
      <c r="C11" s="94" t="str">
        <v>와이원빈티지</v>
      </c>
      <c r="D11" s="94">
        <v>202</v>
      </c>
      <c r="E11" s="94" t="str">
        <f t="shared" si="3"/>
        <v>종3435</v>
      </c>
      <c r="F11" s="94">
        <f t="shared" si="4"/>
        <v>110</v>
      </c>
      <c r="G11" s="94">
        <f t="shared" si="5"/>
        <v>105</v>
      </c>
      <c r="H11" s="96">
        <f t="shared" si="6"/>
        <v>100</v>
      </c>
      <c r="I11" s="94">
        <f t="shared" si="7"/>
        <v>8</v>
      </c>
      <c r="J11" s="94">
        <f t="shared" si="8"/>
        <v>2.5</v>
      </c>
      <c r="K11" s="94">
        <f t="shared" si="9"/>
        <v>2.5</v>
      </c>
      <c r="L11" s="94">
        <f t="shared" si="10"/>
        <v>18</v>
      </c>
      <c r="M11" s="312" cm="1">
        <f t="array" aca="1" ref="M11" ca="1">_xlfn.LET(_xlpm.퇴실일, _xlfn.XLOOKUP(_xlfn.CONCAT(C11,D11),■퇴실정보!$B$4:$B$1000&amp;■퇴실정보!$C$4:$C$1000,■퇴실정보!$E$4:$E$1000,0,0,-1),IF(TODAY()-_xlpm.퇴실일&gt;1000,"",TODAY()-_xlpm.퇴실일))</f>
        <v>8</v>
      </c>
      <c r="N11" s="95" t="str" cm="1">
        <f t="array" ref="N11">IF($C11="","",_xlfn.XLOOKUP(_xlfn.CONCAT($C11,$D11),◆관리정보!$B:$B &amp; ◆관리정보!$C:$C,◆관리정보!$J:$J))</f>
        <v>단기</v>
      </c>
      <c r="O11" s="93" t="str">
        <v>굿모닝빌 402</v>
      </c>
      <c r="Q11" s="204" t="s">
        <v>2000</v>
      </c>
      <c r="R11" s="204" t="s">
        <v>1987</v>
      </c>
      <c r="T11" s="11" t="s">
        <v>1983</v>
      </c>
      <c r="U11" s="11">
        <v>10</v>
      </c>
      <c r="V11" s="11" t="s">
        <v>2001</v>
      </c>
      <c r="W11" s="11">
        <v>70</v>
      </c>
      <c r="X11" s="11">
        <v>70</v>
      </c>
      <c r="Y11" s="67">
        <v>65</v>
      </c>
      <c r="Z11" s="11">
        <v>8</v>
      </c>
      <c r="AA11" s="11">
        <v>2.5</v>
      </c>
      <c r="AB11" s="11">
        <v>2.5</v>
      </c>
      <c r="AC11" s="11">
        <v>10</v>
      </c>
      <c r="AD11" s="11" t="s">
        <v>1985</v>
      </c>
    </row>
    <row r="12" spans="1:30" ht="15" customHeight="1">
      <c r="A12" s="94" t="str">
        <f t="shared" si="1"/>
        <v/>
      </c>
      <c r="B12" s="94">
        <f t="shared" si="2"/>
        <v>15</v>
      </c>
      <c r="C12" s="94" t="str">
        <v>와이원빈티지</v>
      </c>
      <c r="D12" s="94">
        <v>303</v>
      </c>
      <c r="E12" s="94" t="str">
        <f t="shared" si="3"/>
        <v>종3435</v>
      </c>
      <c r="F12" s="94">
        <f t="shared" si="4"/>
        <v>110</v>
      </c>
      <c r="G12" s="94">
        <f t="shared" si="5"/>
        <v>105</v>
      </c>
      <c r="H12" s="96">
        <f t="shared" si="6"/>
        <v>100</v>
      </c>
      <c r="I12" s="94">
        <f t="shared" si="7"/>
        <v>8</v>
      </c>
      <c r="J12" s="94">
        <f t="shared" si="8"/>
        <v>2.5</v>
      </c>
      <c r="K12" s="94">
        <f t="shared" si="9"/>
        <v>2.5</v>
      </c>
      <c r="L12" s="94">
        <f t="shared" si="10"/>
        <v>18</v>
      </c>
      <c r="M12" s="312" cm="1">
        <f t="array" aca="1" ref="M12" ca="1">_xlfn.LET(_xlpm.퇴실일, _xlfn.XLOOKUP(_xlfn.CONCAT(C12,D12),■퇴실정보!$B$4:$B$1000&amp;■퇴실정보!$C$4:$C$1000,■퇴실정보!$E$4:$E$1000,0,0,-1),IF(TODAY()-_xlpm.퇴실일&gt;1000,"",TODAY()-_xlpm.퇴실일))</f>
        <v>46</v>
      </c>
      <c r="N12" s="95" t="str" cm="1">
        <f t="array" ref="N12">IF($C12="","",_xlfn.XLOOKUP(_xlfn.CONCAT($C12,$D12),◆관리정보!$B:$B &amp; ◆관리정보!$C:$C,◆관리정보!$J:$J))</f>
        <v>단기</v>
      </c>
      <c r="O12" s="93" t="str">
        <v>모던하우스 501</v>
      </c>
      <c r="Q12" s="204" t="s">
        <v>2002</v>
      </c>
      <c r="R12" s="204" t="s">
        <v>1997</v>
      </c>
      <c r="T12" s="11" t="s">
        <v>1983</v>
      </c>
      <c r="U12" s="11">
        <v>10</v>
      </c>
      <c r="V12" s="11" t="s">
        <v>2003</v>
      </c>
      <c r="W12" s="11">
        <v>70</v>
      </c>
      <c r="X12" s="11">
        <v>70</v>
      </c>
      <c r="Y12" s="67">
        <v>65</v>
      </c>
      <c r="Z12" s="11">
        <v>8</v>
      </c>
      <c r="AA12" s="11">
        <v>2.5</v>
      </c>
      <c r="AB12" s="11">
        <v>2.5</v>
      </c>
      <c r="AC12" s="11">
        <v>10</v>
      </c>
      <c r="AD12" s="11" t="s">
        <v>1985</v>
      </c>
    </row>
    <row r="13" spans="1:30" ht="15" customHeight="1">
      <c r="A13" s="94" t="str">
        <f t="shared" si="1"/>
        <v/>
      </c>
      <c r="B13" s="94">
        <f t="shared" si="2"/>
        <v>15</v>
      </c>
      <c r="C13" s="94" t="str">
        <v>모던하우스</v>
      </c>
      <c r="D13" s="94">
        <v>405</v>
      </c>
      <c r="E13" s="94" t="str">
        <f t="shared" si="3"/>
        <v>#3754#</v>
      </c>
      <c r="F13" s="94">
        <f t="shared" si="4"/>
        <v>125</v>
      </c>
      <c r="G13" s="94">
        <f t="shared" si="5"/>
        <v>125</v>
      </c>
      <c r="H13" s="96">
        <f t="shared" si="6"/>
        <v>120</v>
      </c>
      <c r="I13" s="94">
        <f t="shared" si="7"/>
        <v>8</v>
      </c>
      <c r="J13" s="94">
        <f t="shared" si="8"/>
        <v>2.5</v>
      </c>
      <c r="K13" s="94">
        <f t="shared" si="9"/>
        <v>2.5</v>
      </c>
      <c r="L13" s="94">
        <f t="shared" si="10"/>
        <v>20</v>
      </c>
      <c r="M13" s="312" cm="1">
        <f t="array" aca="1" ref="M13" ca="1">_xlfn.LET(_xlpm.퇴실일, _xlfn.XLOOKUP(_xlfn.CONCAT(C13,D13),■퇴실정보!$B$4:$B$1000&amp;■퇴실정보!$C$4:$C$1000,■퇴실정보!$E$4:$E$1000,0,0,-1),IF(TODAY()-_xlpm.퇴실일&gt;1000,"",TODAY()-_xlpm.퇴실일))</f>
        <v>21</v>
      </c>
      <c r="N13" s="95" t="str" cm="1">
        <f t="array" ref="N13">IF($C13="","",_xlfn.XLOOKUP(_xlfn.CONCAT($C13,$D13),◆관리정보!$B:$B &amp; ◆관리정보!$C:$C,◆관리정보!$J:$J))</f>
        <v>단기</v>
      </c>
      <c r="O13" s="93" t="str">
        <v>제이드하우스 103</v>
      </c>
      <c r="Q13" s="204" t="s">
        <v>2004</v>
      </c>
      <c r="R13" s="204" t="s">
        <v>1982</v>
      </c>
      <c r="T13" s="11" t="s">
        <v>1983</v>
      </c>
      <c r="U13" s="11">
        <v>10</v>
      </c>
      <c r="V13" s="11" t="s">
        <v>2005</v>
      </c>
      <c r="W13" s="11">
        <v>70</v>
      </c>
      <c r="X13" s="11">
        <v>70</v>
      </c>
      <c r="Y13" s="67">
        <v>65</v>
      </c>
      <c r="Z13" s="11">
        <v>8</v>
      </c>
      <c r="AA13" s="11">
        <v>2.5</v>
      </c>
      <c r="AB13" s="11">
        <v>2.5</v>
      </c>
      <c r="AC13" s="11">
        <v>10</v>
      </c>
      <c r="AD13" s="11" t="s">
        <v>1985</v>
      </c>
    </row>
    <row r="14" spans="1:30" ht="15" customHeight="1">
      <c r="A14" s="94" t="str">
        <f t="shared" si="1"/>
        <v/>
      </c>
      <c r="B14" s="94">
        <f t="shared" si="2"/>
        <v>20</v>
      </c>
      <c r="C14" s="94" t="str">
        <v>모던라이프</v>
      </c>
      <c r="D14" s="94">
        <v>301</v>
      </c>
      <c r="E14" s="94" t="str">
        <f t="shared" si="3"/>
        <v>종6819</v>
      </c>
      <c r="F14" s="94">
        <f t="shared" si="4"/>
        <v>185</v>
      </c>
      <c r="G14" s="94">
        <f t="shared" si="5"/>
        <v>185</v>
      </c>
      <c r="H14" s="96">
        <f t="shared" si="6"/>
        <v>180</v>
      </c>
      <c r="I14" s="94">
        <f t="shared" si="7"/>
        <v>10</v>
      </c>
      <c r="J14" s="94">
        <f t="shared" si="8"/>
        <v>3</v>
      </c>
      <c r="K14" s="94">
        <f t="shared" si="9"/>
        <v>2.5</v>
      </c>
      <c r="L14" s="94">
        <f t="shared" si="10"/>
        <v>25</v>
      </c>
      <c r="M14" s="312" cm="1">
        <f t="array" aca="1" ref="M14" ca="1">_xlfn.LET(_xlpm.퇴실일, _xlfn.XLOOKUP(_xlfn.CONCAT(C14,D14),■퇴실정보!$B$4:$B$1000&amp;■퇴실정보!$C$4:$C$1000,■퇴실정보!$E$4:$E$1000,0,0,-1),IF(TODAY()-_xlpm.퇴실일&gt;1000,"",TODAY()-_xlpm.퇴실일))</f>
        <v>6</v>
      </c>
      <c r="N14" s="95" t="str" cm="1">
        <f t="array" ref="N14">IF($C14="","",_xlfn.XLOOKUP(_xlfn.CONCAT($C14,$D14),◆관리정보!$B:$B &amp; ◆관리정보!$C:$C,◆관리정보!$J:$J))</f>
        <v>단기</v>
      </c>
      <c r="O14" s="93"/>
      <c r="Q14" s="204" t="s">
        <v>2006</v>
      </c>
      <c r="R14" s="204" t="s">
        <v>2007</v>
      </c>
      <c r="T14" s="11" t="s">
        <v>1983</v>
      </c>
      <c r="U14" s="11">
        <v>10</v>
      </c>
      <c r="V14" s="11" t="s">
        <v>2008</v>
      </c>
      <c r="W14" s="11">
        <v>70</v>
      </c>
      <c r="X14" s="11">
        <v>70</v>
      </c>
      <c r="Y14" s="67">
        <v>65</v>
      </c>
      <c r="Z14" s="11">
        <v>8</v>
      </c>
      <c r="AA14" s="11">
        <v>2.5</v>
      </c>
      <c r="AB14" s="11">
        <v>2.5</v>
      </c>
      <c r="AC14" s="11">
        <v>10</v>
      </c>
      <c r="AD14" s="11" t="s">
        <v>1985</v>
      </c>
    </row>
    <row r="15" spans="1:30" ht="15" customHeight="1">
      <c r="A15" s="94" t="str">
        <f t="shared" si="1"/>
        <v/>
      </c>
      <c r="B15" s="94">
        <f t="shared" si="2"/>
        <v>20</v>
      </c>
      <c r="C15" s="94" t="str">
        <v>모던라이프</v>
      </c>
      <c r="D15" s="94">
        <v>303</v>
      </c>
      <c r="E15" s="94" t="str">
        <f t="shared" si="3"/>
        <v>종6819</v>
      </c>
      <c r="F15" s="94">
        <f t="shared" si="4"/>
        <v>175</v>
      </c>
      <c r="G15" s="94">
        <f t="shared" si="5"/>
        <v>175</v>
      </c>
      <c r="H15" s="96">
        <f t="shared" si="6"/>
        <v>175</v>
      </c>
      <c r="I15" s="94">
        <f t="shared" si="7"/>
        <v>10</v>
      </c>
      <c r="J15" s="94">
        <f t="shared" si="8"/>
        <v>3</v>
      </c>
      <c r="K15" s="94">
        <f t="shared" si="9"/>
        <v>2.5</v>
      </c>
      <c r="L15" s="94">
        <f t="shared" si="10"/>
        <v>25</v>
      </c>
      <c r="M15" s="312" cm="1">
        <f t="array" aca="1" ref="M15" ca="1">_xlfn.LET(_xlpm.퇴실일, _xlfn.XLOOKUP(_xlfn.CONCAT(C15,D15),■퇴실정보!$B$4:$B$1000&amp;■퇴실정보!$C$4:$C$1000,■퇴실정보!$E$4:$E$1000,0,0,-1),IF(TODAY()-_xlpm.퇴실일&gt;1000,"",TODAY()-_xlpm.퇴실일))</f>
        <v>58</v>
      </c>
      <c r="N15" s="95" t="str" cm="1">
        <f t="array" ref="N15">IF($C15="","",_xlfn.XLOOKUP(_xlfn.CONCAT($C15,$D15),◆관리정보!$B:$B &amp; ◆관리정보!$C:$C,◆관리정보!$J:$J))</f>
        <v>단기</v>
      </c>
      <c r="O15" s="93"/>
      <c r="Q15" s="204" t="s">
        <v>2009</v>
      </c>
      <c r="R15" s="204" t="s">
        <v>2010</v>
      </c>
      <c r="T15" s="11" t="s">
        <v>1983</v>
      </c>
      <c r="U15" s="11">
        <v>10</v>
      </c>
      <c r="V15" s="11" t="s">
        <v>2011</v>
      </c>
      <c r="W15" s="11">
        <v>75</v>
      </c>
      <c r="X15" s="11">
        <v>75</v>
      </c>
      <c r="Y15" s="67">
        <v>70</v>
      </c>
      <c r="Z15" s="11">
        <v>8</v>
      </c>
      <c r="AA15" s="11">
        <v>2.5</v>
      </c>
      <c r="AB15" s="11">
        <v>2.5</v>
      </c>
      <c r="AC15" s="11">
        <v>10</v>
      </c>
      <c r="AD15" s="11" t="s">
        <v>1985</v>
      </c>
    </row>
    <row r="16" spans="1:30" ht="15" customHeight="1">
      <c r="A16" s="94" t="str">
        <f t="shared" si="1"/>
        <v/>
      </c>
      <c r="B16" s="94">
        <f t="shared" si="2"/>
        <v>0.6</v>
      </c>
      <c r="C16" s="94" t="str">
        <v>우영빌딩</v>
      </c>
      <c r="D16" s="94" t="str">
        <v>2층</v>
      </c>
      <c r="E16" s="94">
        <f t="shared" si="3"/>
        <v>1104</v>
      </c>
      <c r="F16" s="94">
        <f t="shared" si="4"/>
        <v>10000</v>
      </c>
      <c r="G16" s="94">
        <f t="shared" si="5"/>
        <v>550</v>
      </c>
      <c r="H16" s="96">
        <f t="shared" si="6"/>
        <v>550</v>
      </c>
      <c r="I16" s="94">
        <f t="shared" si="7"/>
        <v>100</v>
      </c>
      <c r="J16" s="94" t="str">
        <f t="shared" si="8"/>
        <v>별도</v>
      </c>
      <c r="K16" s="94" t="str">
        <f t="shared" si="9"/>
        <v/>
      </c>
      <c r="L16" s="94" t="str">
        <f t="shared" si="10"/>
        <v/>
      </c>
      <c r="M16" s="312" t="str" cm="1">
        <f t="array" aca="1" ref="M16" ca="1">_xlfn.LET(_xlpm.퇴실일, _xlfn.XLOOKUP(_xlfn.CONCAT(C16,D16),■퇴실정보!$B$4:$B$1000&amp;■퇴실정보!$C$4:$C$1000,■퇴실정보!$E$4:$E$1000,0,0,-1),IF(TODAY()-_xlpm.퇴실일&gt;1000,"",TODAY()-_xlpm.퇴실일))</f>
        <v/>
      </c>
      <c r="N16" s="95" t="str" cm="1">
        <f t="array" ref="N16">IF($C16="","",_xlfn.XLOOKUP(_xlfn.CONCAT($C16,$D16),◆관리정보!$B:$B &amp; ◆관리정보!$C:$C,◆관리정보!$J:$J))</f>
        <v>일반</v>
      </c>
      <c r="O16" s="93"/>
      <c r="Q16" s="204" t="s">
        <v>2012</v>
      </c>
      <c r="R16" s="204" t="s">
        <v>2013</v>
      </c>
      <c r="T16" s="11" t="s">
        <v>1983</v>
      </c>
      <c r="U16" s="11">
        <v>10</v>
      </c>
      <c r="V16" s="11" t="s">
        <v>2014</v>
      </c>
      <c r="W16" s="11">
        <v>75</v>
      </c>
      <c r="X16" s="11">
        <v>75</v>
      </c>
      <c r="Y16" s="67">
        <v>70</v>
      </c>
      <c r="Z16" s="11">
        <v>8</v>
      </c>
      <c r="AA16" s="11">
        <v>2.5</v>
      </c>
      <c r="AB16" s="11">
        <v>2.5</v>
      </c>
      <c r="AC16" s="11">
        <v>10</v>
      </c>
      <c r="AD16" s="11" t="s">
        <v>1985</v>
      </c>
    </row>
    <row r="17" spans="1:30" ht="15" customHeight="1">
      <c r="A17" s="94" t="str">
        <f t="shared" si="1"/>
        <v/>
      </c>
      <c r="B17" s="94">
        <f t="shared" si="2"/>
        <v>0.6</v>
      </c>
      <c r="C17" s="94" t="str">
        <v>우영빌딩</v>
      </c>
      <c r="D17" s="94" t="str">
        <v>4층</v>
      </c>
      <c r="E17" s="94">
        <f t="shared" si="3"/>
        <v>1104</v>
      </c>
      <c r="F17" s="94">
        <f t="shared" si="4"/>
        <v>7000</v>
      </c>
      <c r="G17" s="94">
        <f t="shared" si="5"/>
        <v>320</v>
      </c>
      <c r="H17" s="96">
        <f t="shared" si="6"/>
        <v>320</v>
      </c>
      <c r="I17" s="94">
        <f t="shared" si="7"/>
        <v>50</v>
      </c>
      <c r="J17" s="94" t="str">
        <f t="shared" si="8"/>
        <v>별도</v>
      </c>
      <c r="K17" s="94" t="str">
        <f t="shared" si="9"/>
        <v/>
      </c>
      <c r="L17" s="94" t="str">
        <f t="shared" si="10"/>
        <v/>
      </c>
      <c r="M17" s="312" t="str" cm="1">
        <f t="array" aca="1" ref="M17" ca="1">_xlfn.LET(_xlpm.퇴실일, _xlfn.XLOOKUP(_xlfn.CONCAT(C17,D17),■퇴실정보!$B$4:$B$1000&amp;■퇴실정보!$C$4:$C$1000,■퇴실정보!$E$4:$E$1000,0,0,-1),IF(TODAY()-_xlpm.퇴실일&gt;1000,"",TODAY()-_xlpm.퇴실일))</f>
        <v/>
      </c>
      <c r="N17" s="95" t="str" cm="1">
        <f t="array" ref="N17">IF($C17="","",_xlfn.XLOOKUP(_xlfn.CONCAT($C17,$D17),◆관리정보!$B:$B &amp; ◆관리정보!$C:$C,◆관리정보!$J:$J))</f>
        <v>일반</v>
      </c>
      <c r="O17" s="93"/>
      <c r="Q17" s="204" t="s">
        <v>2015</v>
      </c>
      <c r="R17" s="204" t="s">
        <v>2013</v>
      </c>
      <c r="T17" s="11" t="s">
        <v>1983</v>
      </c>
      <c r="U17" s="11">
        <v>10</v>
      </c>
      <c r="V17" s="11" t="s">
        <v>2016</v>
      </c>
      <c r="W17" s="11">
        <v>75</v>
      </c>
      <c r="X17" s="11">
        <v>75</v>
      </c>
      <c r="Y17" s="67">
        <v>70</v>
      </c>
      <c r="Z17" s="11">
        <v>8</v>
      </c>
      <c r="AA17" s="11">
        <v>2.5</v>
      </c>
      <c r="AB17" s="11">
        <v>2.5</v>
      </c>
      <c r="AC17" s="11">
        <v>10</v>
      </c>
      <c r="AD17" s="11" t="s">
        <v>1985</v>
      </c>
    </row>
    <row r="18" spans="1:30" ht="15" customHeight="1">
      <c r="A18" s="94" t="str">
        <f t="shared" si="1"/>
        <v/>
      </c>
      <c r="B18" s="94">
        <f t="shared" si="2"/>
        <v>0.6</v>
      </c>
      <c r="C18" s="94" t="str">
        <v>문화빌딩</v>
      </c>
      <c r="D18" s="94" t="str">
        <v>B01</v>
      </c>
      <c r="E18" s="94" t="str">
        <f t="shared" si="3"/>
        <v>OPEN</v>
      </c>
      <c r="F18" s="94">
        <f t="shared" si="4"/>
        <v>4000</v>
      </c>
      <c r="G18" s="94">
        <f t="shared" si="5"/>
        <v>330</v>
      </c>
      <c r="H18" s="96">
        <f t="shared" si="6"/>
        <v>330</v>
      </c>
      <c r="I18" s="94">
        <f t="shared" si="7"/>
        <v>40</v>
      </c>
      <c r="J18" s="94" t="str">
        <f t="shared" si="8"/>
        <v>별도</v>
      </c>
      <c r="K18" s="94" t="str">
        <f t="shared" si="9"/>
        <v/>
      </c>
      <c r="L18" s="94" t="str">
        <f t="shared" si="10"/>
        <v/>
      </c>
      <c r="M18" s="312" t="str" cm="1">
        <f t="array" aca="1" ref="M18" ca="1">_xlfn.LET(_xlpm.퇴실일, _xlfn.XLOOKUP(_xlfn.CONCAT(C18,D18),■퇴실정보!$B$4:$B$1000&amp;■퇴실정보!$C$4:$C$1000,■퇴실정보!$E$4:$E$1000,0,0,-1),IF(TODAY()-_xlpm.퇴실일&gt;1000,"",TODAY()-_xlpm.퇴실일))</f>
        <v/>
      </c>
      <c r="N18" s="95" t="str" cm="1">
        <f t="array" ref="N18">IF($C18="","",_xlfn.XLOOKUP(_xlfn.CONCAT($C18,$D18),◆관리정보!$B:$B &amp; ◆관리정보!$C:$C,◆관리정보!$J:$J))</f>
        <v>상가</v>
      </c>
      <c r="O18" s="93"/>
      <c r="Q18" s="204" t="s">
        <v>2017</v>
      </c>
      <c r="R18" s="204" t="s">
        <v>1982</v>
      </c>
      <c r="T18" s="11" t="s">
        <v>1983</v>
      </c>
      <c r="U18" s="11">
        <v>10</v>
      </c>
      <c r="V18" s="11" t="s">
        <v>2018</v>
      </c>
      <c r="W18" s="11">
        <v>75</v>
      </c>
      <c r="X18" s="11">
        <v>75</v>
      </c>
      <c r="Y18" s="67">
        <v>70</v>
      </c>
      <c r="Z18" s="11">
        <v>8</v>
      </c>
      <c r="AA18" s="11">
        <v>2.5</v>
      </c>
      <c r="AB18" s="11">
        <v>2.5</v>
      </c>
      <c r="AC18" s="11">
        <v>10</v>
      </c>
      <c r="AD18" s="11" t="s">
        <v>1985</v>
      </c>
    </row>
    <row r="19" spans="1:30" ht="15" customHeight="1">
      <c r="A19" s="94" t="str">
        <f t="shared" si="1"/>
        <v/>
      </c>
      <c r="B19" s="94">
        <f t="shared" si="2"/>
        <v>0.6</v>
      </c>
      <c r="C19" s="94" t="str">
        <v>문화빌딩</v>
      </c>
      <c r="D19" s="94" t="str">
        <v>2층</v>
      </c>
      <c r="E19" s="94" t="str">
        <f t="shared" si="3"/>
        <v>OPEN</v>
      </c>
      <c r="F19" s="94">
        <f t="shared" si="4"/>
        <v>12000</v>
      </c>
      <c r="G19" s="94">
        <f t="shared" si="5"/>
        <v>650</v>
      </c>
      <c r="H19" s="96">
        <f t="shared" si="6"/>
        <v>650</v>
      </c>
      <c r="I19" s="94">
        <f t="shared" si="7"/>
        <v>40</v>
      </c>
      <c r="J19" s="94" t="str">
        <f t="shared" si="8"/>
        <v>별도</v>
      </c>
      <c r="K19" s="94" t="str">
        <f t="shared" si="9"/>
        <v/>
      </c>
      <c r="L19" s="94" t="str">
        <f t="shared" si="10"/>
        <v/>
      </c>
      <c r="M19" s="312" t="str" cm="1">
        <f t="array" aca="1" ref="M19" ca="1">_xlfn.LET(_xlpm.퇴실일, _xlfn.XLOOKUP(_xlfn.CONCAT(C19,D19),■퇴실정보!$B$4:$B$1000&amp;■퇴실정보!$C$4:$C$1000,■퇴실정보!$E$4:$E$1000,0,0,-1),IF(TODAY()-_xlpm.퇴실일&gt;1000,"",TODAY()-_xlpm.퇴실일))</f>
        <v/>
      </c>
      <c r="N19" s="95" t="str" cm="1">
        <f t="array" ref="N19">IF($C19="","",_xlfn.XLOOKUP(_xlfn.CONCAT($C19,$D19),◆관리정보!$B:$B &amp; ◆관리정보!$C:$C,◆관리정보!$J:$J))</f>
        <v>상가</v>
      </c>
      <c r="O19" s="93"/>
      <c r="Q19" s="204" t="s">
        <v>2019</v>
      </c>
      <c r="R19" s="204" t="s">
        <v>2020</v>
      </c>
      <c r="T19" s="11" t="s">
        <v>1983</v>
      </c>
      <c r="U19" s="11">
        <v>10</v>
      </c>
      <c r="V19" s="11" t="s">
        <v>2021</v>
      </c>
      <c r="W19" s="11">
        <v>75</v>
      </c>
      <c r="X19" s="11">
        <v>75</v>
      </c>
      <c r="Y19" s="67">
        <v>70</v>
      </c>
      <c r="Z19" s="11">
        <v>8</v>
      </c>
      <c r="AA19" s="11">
        <v>2.5</v>
      </c>
      <c r="AB19" s="11">
        <v>2.5</v>
      </c>
      <c r="AC19" s="11">
        <v>10</v>
      </c>
      <c r="AD19" s="11" t="s">
        <v>1985</v>
      </c>
    </row>
    <row r="20" spans="1:30" ht="15" customHeight="1">
      <c r="A20" s="94" t="str">
        <f t="shared" si="1"/>
        <v/>
      </c>
      <c r="B20" s="94">
        <f t="shared" si="2"/>
        <v>0.9</v>
      </c>
      <c r="C20" s="94" t="str">
        <v>어반그레이</v>
      </c>
      <c r="D20" s="94" t="str">
        <v>B01</v>
      </c>
      <c r="E20" s="94">
        <f t="shared" si="3"/>
        <v>4150</v>
      </c>
      <c r="F20" s="94">
        <f t="shared" si="4"/>
        <v>6000</v>
      </c>
      <c r="G20" s="94">
        <f t="shared" si="5"/>
        <v>400</v>
      </c>
      <c r="H20" s="96">
        <f t="shared" si="6"/>
        <v>400</v>
      </c>
      <c r="I20" s="94">
        <f t="shared" si="7"/>
        <v>50</v>
      </c>
      <c r="J20" s="94" t="str">
        <f t="shared" si="8"/>
        <v/>
      </c>
      <c r="K20" s="94" t="str">
        <f t="shared" si="9"/>
        <v/>
      </c>
      <c r="L20" s="94" t="str">
        <f t="shared" si="10"/>
        <v/>
      </c>
      <c r="M20" s="312" t="str" cm="1">
        <f t="array" aca="1" ref="M20" ca="1">_xlfn.LET(_xlpm.퇴실일, _xlfn.XLOOKUP(_xlfn.CONCAT(C20,D20),■퇴실정보!$B$4:$B$1000&amp;■퇴실정보!$C$4:$C$1000,■퇴실정보!$E$4:$E$1000,0,0,-1),IF(TODAY()-_xlpm.퇴실일&gt;1000,"",TODAY()-_xlpm.퇴실일))</f>
        <v/>
      </c>
      <c r="N20" s="95" t="str" cm="1">
        <f t="array" ref="N20">IF($C20="","",_xlfn.XLOOKUP(_xlfn.CONCAT($C20,$D20),◆관리정보!$B:$B &amp; ◆관리정보!$C:$C,◆관리정보!$J:$J))</f>
        <v>상가</v>
      </c>
      <c r="O20" s="93"/>
      <c r="Q20" s="204" t="s">
        <v>2022</v>
      </c>
      <c r="R20" s="204" t="s">
        <v>2023</v>
      </c>
      <c r="T20" s="11" t="s">
        <v>1983</v>
      </c>
      <c r="U20" s="11">
        <v>10</v>
      </c>
      <c r="V20" s="11" t="s">
        <v>2024</v>
      </c>
      <c r="W20" s="11">
        <v>75</v>
      </c>
      <c r="X20" s="11">
        <v>75</v>
      </c>
      <c r="Y20" s="67">
        <v>70</v>
      </c>
      <c r="Z20" s="11">
        <v>8</v>
      </c>
      <c r="AA20" s="11">
        <v>2.5</v>
      </c>
      <c r="AB20" s="11">
        <v>2.5</v>
      </c>
      <c r="AC20" s="11">
        <v>10</v>
      </c>
      <c r="AD20" s="11" t="s">
        <v>1985</v>
      </c>
    </row>
    <row r="21" spans="1:30" ht="15" customHeight="1">
      <c r="A21" s="94" t="str">
        <f t="shared" si="1"/>
        <v/>
      </c>
      <c r="B21" s="94">
        <f t="shared" si="2"/>
        <v>0.9</v>
      </c>
      <c r="C21" s="94" t="str">
        <v>어반그레이</v>
      </c>
      <c r="D21" s="94" t="str">
        <v>1층</v>
      </c>
      <c r="E21" s="94">
        <f t="shared" si="3"/>
        <v>4150</v>
      </c>
      <c r="F21" s="94">
        <f t="shared" si="4"/>
        <v>7000</v>
      </c>
      <c r="G21" s="94">
        <f t="shared" si="5"/>
        <v>490</v>
      </c>
      <c r="H21" s="96">
        <f t="shared" si="6"/>
        <v>490</v>
      </c>
      <c r="I21" s="94">
        <f t="shared" si="7"/>
        <v>50</v>
      </c>
      <c r="J21" s="94" t="str">
        <f t="shared" si="8"/>
        <v/>
      </c>
      <c r="K21" s="94" t="str">
        <f t="shared" si="9"/>
        <v/>
      </c>
      <c r="L21" s="94" t="str">
        <f t="shared" si="10"/>
        <v/>
      </c>
      <c r="M21" s="312" t="str" cm="1">
        <f t="array" aca="1" ref="M21" ca="1">_xlfn.LET(_xlpm.퇴실일, _xlfn.XLOOKUP(_xlfn.CONCAT(C21,D21),■퇴실정보!$B$4:$B$1000&amp;■퇴실정보!$C$4:$C$1000,■퇴실정보!$E$4:$E$1000,0,0,-1),IF(TODAY()-_xlpm.퇴실일&gt;1000,"",TODAY()-_xlpm.퇴실일))</f>
        <v/>
      </c>
      <c r="N21" s="95" t="str" cm="1">
        <f t="array" ref="N21">IF($C21="","",_xlfn.XLOOKUP(_xlfn.CONCAT($C21,$D21),◆관리정보!$B:$B &amp; ◆관리정보!$C:$C,◆관리정보!$J:$J))</f>
        <v>상가</v>
      </c>
      <c r="O21" s="93"/>
      <c r="Q21" s="204" t="s">
        <v>2025</v>
      </c>
      <c r="R21" s="204" t="s">
        <v>1982</v>
      </c>
      <c r="T21" s="11" t="s">
        <v>1983</v>
      </c>
      <c r="U21" s="11">
        <v>10</v>
      </c>
      <c r="V21" s="11" t="s">
        <v>2026</v>
      </c>
      <c r="W21" s="11">
        <v>75</v>
      </c>
      <c r="X21" s="11">
        <v>75</v>
      </c>
      <c r="Y21" s="67">
        <v>70</v>
      </c>
      <c r="Z21" s="11">
        <v>8</v>
      </c>
      <c r="AA21" s="11">
        <v>2.5</v>
      </c>
      <c r="AB21" s="11">
        <v>2.5</v>
      </c>
      <c r="AC21" s="11">
        <v>10</v>
      </c>
      <c r="AD21" s="11" t="s">
        <v>1985</v>
      </c>
    </row>
    <row r="22" spans="1:30" ht="15" customHeight="1">
      <c r="A22" s="94" t="str">
        <f t="shared" si="1"/>
        <v/>
      </c>
      <c r="B22" s="94">
        <f t="shared" si="2"/>
        <v>0.9</v>
      </c>
      <c r="C22" s="94" t="str">
        <v>어반그레이</v>
      </c>
      <c r="D22" s="94" t="str">
        <v>2층</v>
      </c>
      <c r="E22" s="94">
        <f t="shared" si="3"/>
        <v>4150</v>
      </c>
      <c r="F22" s="94">
        <f t="shared" si="4"/>
        <v>5000</v>
      </c>
      <c r="G22" s="94">
        <f t="shared" si="5"/>
        <v>360</v>
      </c>
      <c r="H22" s="96">
        <f t="shared" si="6"/>
        <v>360</v>
      </c>
      <c r="I22" s="94">
        <f t="shared" si="7"/>
        <v>50</v>
      </c>
      <c r="J22" s="94" t="str">
        <f t="shared" si="8"/>
        <v/>
      </c>
      <c r="K22" s="94" t="str">
        <f t="shared" si="9"/>
        <v/>
      </c>
      <c r="L22" s="94" t="str">
        <f t="shared" si="10"/>
        <v/>
      </c>
      <c r="M22" s="312" t="str" cm="1">
        <f t="array" aca="1" ref="M22" ca="1">_xlfn.LET(_xlpm.퇴실일, _xlfn.XLOOKUP(_xlfn.CONCAT(C22,D22),■퇴실정보!$B$4:$B$1000&amp;■퇴실정보!$C$4:$C$1000,■퇴실정보!$E$4:$E$1000,0,0,-1),IF(TODAY()-_xlpm.퇴실일&gt;1000,"",TODAY()-_xlpm.퇴실일))</f>
        <v/>
      </c>
      <c r="N22" s="95" t="str" cm="1">
        <f t="array" ref="N22">IF($C22="","",_xlfn.XLOOKUP(_xlfn.CONCAT($C22,$D22),◆관리정보!$B:$B &amp; ◆관리정보!$C:$C,◆관리정보!$J:$J))</f>
        <v>상가</v>
      </c>
      <c r="O22" s="93"/>
      <c r="Q22" s="204" t="s">
        <v>2027</v>
      </c>
      <c r="R22" s="204" t="s">
        <v>2028</v>
      </c>
      <c r="T22" s="11" t="s">
        <v>1983</v>
      </c>
      <c r="U22" s="11">
        <v>10</v>
      </c>
      <c r="V22" s="11" t="s">
        <v>2029</v>
      </c>
      <c r="W22" s="11">
        <v>75</v>
      </c>
      <c r="X22" s="11">
        <v>75</v>
      </c>
      <c r="Y22" s="67">
        <v>70</v>
      </c>
      <c r="Z22" s="11">
        <v>8</v>
      </c>
      <c r="AA22" s="11">
        <v>2.5</v>
      </c>
      <c r="AB22" s="11">
        <v>2.5</v>
      </c>
      <c r="AC22" s="11">
        <v>10</v>
      </c>
      <c r="AD22" s="11" t="s">
        <v>1985</v>
      </c>
    </row>
    <row r="23" spans="1:30" ht="15" customHeight="1">
      <c r="A23" s="94">
        <f t="shared" ref="A23:B28" si="11">IF($C23="","",_xlfn.XLOOKUP(_xlfn.CONCAT($C23,$D23),$V:$V,T:T,"",0))</f>
        <v>10</v>
      </c>
      <c r="B23" s="94">
        <f t="shared" si="11"/>
        <v>15</v>
      </c>
      <c r="C23" s="94" t="str">
        <v>제이드하우스</v>
      </c>
      <c r="D23" s="94">
        <v>202</v>
      </c>
      <c r="E23" s="94" t="str">
        <f t="shared" ref="E23:E28" si="12">IF(C23="","",_xlfn.XLOOKUP(C23,$Q$6:$Q$100,$R$6:$R$100,"",0))</f>
        <v>종 5323</v>
      </c>
      <c r="F23" s="94">
        <f t="shared" ref="F23:L28" si="13">IF($C23="","",_xlfn.XLOOKUP(_xlfn.CONCAT($C23,$D23),$V:$V,W:W,"",0))</f>
        <v>125</v>
      </c>
      <c r="G23" s="94">
        <f t="shared" si="13"/>
        <v>125</v>
      </c>
      <c r="H23" s="96">
        <f t="shared" si="13"/>
        <v>120</v>
      </c>
      <c r="I23" s="94">
        <f t="shared" si="13"/>
        <v>10</v>
      </c>
      <c r="J23" s="94">
        <f t="shared" si="13"/>
        <v>2.5</v>
      </c>
      <c r="K23" s="94">
        <f t="shared" si="13"/>
        <v>2.5</v>
      </c>
      <c r="L23" s="94">
        <f t="shared" si="13"/>
        <v>20</v>
      </c>
      <c r="M23" s="312" t="str" cm="1">
        <f t="array" aca="1" ref="M23" ca="1">_xlfn.LET(_xlpm.퇴실일, _xlfn.XLOOKUP(_xlfn.CONCAT(C23,D23),■퇴실정보!$B$4:$B$1000&amp;■퇴실정보!$C$4:$C$1000,■퇴실정보!$E$4:$E$1000,0,0,-1),IF(TODAY()-_xlpm.퇴실일&gt;1000,"",TODAY()-_xlpm.퇴실일))</f>
        <v/>
      </c>
      <c r="N23" s="95" cm="1">
        <f t="array" ref="N23">IF($C23="","",_xlfn.XLOOKUP(_xlfn.CONCAT($C23,$D23),◆관리정보!$B:$B &amp; ◆관리정보!$C:$C,◆관리정보!$J:$J))</f>
        <v>0</v>
      </c>
      <c r="O23" s="93"/>
      <c r="Q23" s="204" t="s">
        <v>2030</v>
      </c>
      <c r="R23" s="204">
        <v>4150</v>
      </c>
      <c r="T23" s="11" t="s">
        <v>1983</v>
      </c>
      <c r="U23" s="11">
        <v>10</v>
      </c>
      <c r="V23" s="11" t="s">
        <v>2031</v>
      </c>
      <c r="W23" s="11">
        <v>75</v>
      </c>
      <c r="X23" s="11">
        <v>75</v>
      </c>
      <c r="Y23" s="67">
        <v>70</v>
      </c>
      <c r="Z23" s="11">
        <v>8</v>
      </c>
      <c r="AA23" s="11">
        <v>2.5</v>
      </c>
      <c r="AB23" s="11">
        <v>2.5</v>
      </c>
      <c r="AC23" s="11">
        <v>10</v>
      </c>
      <c r="AD23" s="11" t="s">
        <v>1985</v>
      </c>
    </row>
    <row r="24" spans="1:30" ht="15" customHeight="1">
      <c r="A24" s="94" t="str">
        <f t="shared" si="11"/>
        <v/>
      </c>
      <c r="B24" s="94">
        <f t="shared" si="11"/>
        <v>0.6</v>
      </c>
      <c r="C24" s="94" t="str">
        <v>상건빌딩</v>
      </c>
      <c r="D24" s="94">
        <v>301</v>
      </c>
      <c r="E24" s="94" t="str">
        <f t="shared" si="12"/>
        <v/>
      </c>
      <c r="F24" s="94">
        <f t="shared" si="13"/>
        <v>10000</v>
      </c>
      <c r="G24" s="94">
        <f t="shared" si="13"/>
        <v>650</v>
      </c>
      <c r="H24" s="96">
        <f t="shared" si="13"/>
        <v>650</v>
      </c>
      <c r="I24" s="94">
        <f t="shared" si="13"/>
        <v>80</v>
      </c>
      <c r="J24" s="94" t="str">
        <f t="shared" si="13"/>
        <v>별도</v>
      </c>
      <c r="K24" s="94" t="str">
        <f t="shared" si="13"/>
        <v/>
      </c>
      <c r="L24" s="94" t="str">
        <f t="shared" si="13"/>
        <v/>
      </c>
      <c r="M24" s="312" t="str" cm="1">
        <f t="array" aca="1" ref="M24" ca="1">_xlfn.LET(_xlpm.퇴실일, _xlfn.XLOOKUP(_xlfn.CONCAT(C24,D24),■퇴실정보!$B$4:$B$1000&amp;■퇴실정보!$C$4:$C$1000,■퇴실정보!$E$4:$E$1000,0,0,-1),IF(TODAY()-_xlpm.퇴실일&gt;1000,"",TODAY()-_xlpm.퇴실일))</f>
        <v/>
      </c>
      <c r="N24" s="95" t="str" cm="1">
        <f t="array" ref="N24">IF($C24="","",_xlfn.XLOOKUP(_xlfn.CONCAT($C24,$D24),◆관리정보!$B:$B &amp; ◆관리정보!$C:$C,◆관리정보!$J:$J))</f>
        <v>일반</v>
      </c>
      <c r="O24" s="93"/>
      <c r="Q24" s="204" t="s">
        <v>2032</v>
      </c>
      <c r="R24" s="204" t="s">
        <v>1982</v>
      </c>
      <c r="T24" s="11" t="s">
        <v>1983</v>
      </c>
      <c r="U24" s="11">
        <v>10</v>
      </c>
      <c r="V24" s="11" t="s">
        <v>2033</v>
      </c>
      <c r="W24" s="11">
        <v>75</v>
      </c>
      <c r="X24" s="11">
        <v>75</v>
      </c>
      <c r="Y24" s="67">
        <v>70</v>
      </c>
      <c r="Z24" s="11">
        <v>8</v>
      </c>
      <c r="AA24" s="11">
        <v>2.5</v>
      </c>
      <c r="AB24" s="11">
        <v>2.5</v>
      </c>
      <c r="AC24" s="11">
        <v>10</v>
      </c>
      <c r="AD24" s="11" t="s">
        <v>1985</v>
      </c>
    </row>
    <row r="25" spans="1:30" ht="15" customHeight="1">
      <c r="A25" s="94" t="str">
        <f t="shared" si="11"/>
        <v/>
      </c>
      <c r="B25" s="94">
        <f t="shared" si="11"/>
        <v>0.6</v>
      </c>
      <c r="C25" s="94" t="str">
        <v>상건빌딩</v>
      </c>
      <c r="D25" s="94">
        <v>302</v>
      </c>
      <c r="E25" s="94" t="str">
        <f t="shared" si="12"/>
        <v/>
      </c>
      <c r="F25" s="94">
        <f t="shared" si="13"/>
        <v>6000</v>
      </c>
      <c r="G25" s="94">
        <f t="shared" si="13"/>
        <v>500</v>
      </c>
      <c r="H25" s="96">
        <f t="shared" si="13"/>
        <v>500</v>
      </c>
      <c r="I25" s="94">
        <f t="shared" si="13"/>
        <v>80</v>
      </c>
      <c r="J25" s="94" t="str">
        <f t="shared" si="13"/>
        <v>별도</v>
      </c>
      <c r="K25" s="94" t="str">
        <f t="shared" si="13"/>
        <v/>
      </c>
      <c r="L25" s="94" t="str">
        <f t="shared" si="13"/>
        <v/>
      </c>
      <c r="M25" s="312" t="str" cm="1">
        <f t="array" aca="1" ref="M25" ca="1">_xlfn.LET(_xlpm.퇴실일, _xlfn.XLOOKUP(_xlfn.CONCAT(C25,D25),■퇴실정보!$B$4:$B$1000&amp;■퇴실정보!$C$4:$C$1000,■퇴실정보!$E$4:$E$1000,0,0,-1),IF(TODAY()-_xlpm.퇴실일&gt;1000,"",TODAY()-_xlpm.퇴실일))</f>
        <v/>
      </c>
      <c r="N25" s="95" t="str" cm="1">
        <f t="array" ref="N25">IF($C25="","",_xlfn.XLOOKUP(_xlfn.CONCAT($C25,$D25),◆관리정보!$B:$B &amp; ◆관리정보!$C:$C,◆관리정보!$J:$J))</f>
        <v>일반</v>
      </c>
      <c r="O25" s="93"/>
      <c r="Q25" s="204" t="s">
        <v>2034</v>
      </c>
      <c r="R25" s="204" t="s">
        <v>1982</v>
      </c>
      <c r="T25" s="11" t="s">
        <v>1983</v>
      </c>
      <c r="U25" s="11">
        <v>10</v>
      </c>
      <c r="V25" s="11" t="s">
        <v>2035</v>
      </c>
      <c r="W25" s="11">
        <v>75</v>
      </c>
      <c r="X25" s="11">
        <v>75</v>
      </c>
      <c r="Y25" s="67">
        <v>70</v>
      </c>
      <c r="Z25" s="11">
        <v>8</v>
      </c>
      <c r="AA25" s="11">
        <v>2.5</v>
      </c>
      <c r="AB25" s="11">
        <v>2.5</v>
      </c>
      <c r="AC25" s="11">
        <v>10</v>
      </c>
      <c r="AD25" s="11" t="s">
        <v>1985</v>
      </c>
    </row>
    <row r="26" spans="1:30" ht="15" customHeight="1">
      <c r="A26" s="94" t="str">
        <f t="shared" si="11"/>
        <v/>
      </c>
      <c r="B26" s="94">
        <f t="shared" si="11"/>
        <v>0.6</v>
      </c>
      <c r="C26" s="94" t="str">
        <v>미진빌딩</v>
      </c>
      <c r="D26" s="94" t="str">
        <v>5층</v>
      </c>
      <c r="E26" s="94" t="str">
        <f t="shared" si="12"/>
        <v/>
      </c>
      <c r="F26" s="94">
        <f t="shared" si="13"/>
        <v>10000</v>
      </c>
      <c r="G26" s="94">
        <f t="shared" si="13"/>
        <v>550</v>
      </c>
      <c r="H26" s="96">
        <f t="shared" si="13"/>
        <v>550</v>
      </c>
      <c r="I26" s="94">
        <f t="shared" si="13"/>
        <v>80</v>
      </c>
      <c r="J26" s="94" t="str">
        <f t="shared" si="13"/>
        <v/>
      </c>
      <c r="K26" s="94" t="str">
        <f t="shared" si="13"/>
        <v/>
      </c>
      <c r="L26" s="94" t="str">
        <f t="shared" si="13"/>
        <v/>
      </c>
      <c r="M26" s="312" t="str" cm="1">
        <f t="array" aca="1" ref="M26" ca="1">_xlfn.LET(_xlpm.퇴실일, _xlfn.XLOOKUP(_xlfn.CONCAT(C26,D26),■퇴실정보!$B$4:$B$1000&amp;■퇴실정보!$C$4:$C$1000,■퇴실정보!$E$4:$E$1000,0,0,-1),IF(TODAY()-_xlpm.퇴실일&gt;1000,"",TODAY()-_xlpm.퇴실일))</f>
        <v/>
      </c>
      <c r="N26" s="95" t="str" cm="1">
        <f t="array" ref="N26">IF($C26="","",_xlfn.XLOOKUP(_xlfn.CONCAT($C26,$D26),◆관리정보!$B:$B &amp; ◆관리정보!$C:$C,◆관리정보!$J:$J))</f>
        <v>일반</v>
      </c>
      <c r="O26" s="93"/>
      <c r="Q26" s="204" t="s">
        <v>2036</v>
      </c>
      <c r="R26" s="204" t="s">
        <v>1982</v>
      </c>
      <c r="T26" s="11" t="s">
        <v>1983</v>
      </c>
      <c r="U26" s="11">
        <v>10</v>
      </c>
      <c r="V26" s="11" t="s">
        <v>2037</v>
      </c>
      <c r="W26" s="11">
        <v>75</v>
      </c>
      <c r="X26" s="11">
        <v>75</v>
      </c>
      <c r="Y26" s="67">
        <v>70</v>
      </c>
      <c r="Z26" s="11">
        <v>8</v>
      </c>
      <c r="AA26" s="11">
        <v>2.5</v>
      </c>
      <c r="AB26" s="11">
        <v>2.5</v>
      </c>
      <c r="AC26" s="11">
        <v>10</v>
      </c>
      <c r="AD26" s="11" t="s">
        <v>1985</v>
      </c>
    </row>
    <row r="27" spans="1:30" ht="15" customHeight="1">
      <c r="A27" s="94" t="str">
        <f t="shared" si="11"/>
        <v/>
      </c>
      <c r="B27" s="94">
        <f t="shared" si="11"/>
        <v>0.6</v>
      </c>
      <c r="C27" s="94" t="str">
        <v>유석빌딩</v>
      </c>
      <c r="D27" s="94">
        <v>402</v>
      </c>
      <c r="E27" s="94" t="str">
        <f t="shared" si="12"/>
        <v>1565*</v>
      </c>
      <c r="F27" s="94">
        <f t="shared" si="13"/>
        <v>1000</v>
      </c>
      <c r="G27" s="94">
        <f t="shared" si="13"/>
        <v>50</v>
      </c>
      <c r="H27" s="96">
        <f t="shared" si="13"/>
        <v>50</v>
      </c>
      <c r="I27" s="94" t="str">
        <f t="shared" si="13"/>
        <v/>
      </c>
      <c r="J27" s="94" t="str">
        <f t="shared" si="13"/>
        <v>별도</v>
      </c>
      <c r="K27" s="94" t="str">
        <f t="shared" si="13"/>
        <v>별도</v>
      </c>
      <c r="L27" s="94" t="str">
        <f t="shared" si="13"/>
        <v/>
      </c>
      <c r="M27" s="312" t="str" cm="1">
        <f t="array" aca="1" ref="M27" ca="1">_xlfn.LET(_xlpm.퇴실일, _xlfn.XLOOKUP(_xlfn.CONCAT(C27,D27),■퇴실정보!$B$4:$B$1000&amp;■퇴실정보!$C$4:$C$1000,■퇴실정보!$E$4:$E$1000,0,0,-1),IF(TODAY()-_xlpm.퇴실일&gt;1000,"",TODAY()-_xlpm.퇴실일))</f>
        <v/>
      </c>
      <c r="N27" s="95" t="str" cm="1">
        <f t="array" ref="N27">IF($C27="","",_xlfn.XLOOKUP(_xlfn.CONCAT($C27,$D27),◆관리정보!$B:$B &amp; ◆관리정보!$C:$C,◆관리정보!$J:$J))</f>
        <v>일반</v>
      </c>
      <c r="O27" s="93"/>
      <c r="Q27" s="204" t="s">
        <v>2038</v>
      </c>
      <c r="R27" s="204">
        <v>1104</v>
      </c>
      <c r="T27" s="11" t="s">
        <v>1983</v>
      </c>
      <c r="U27" s="11">
        <v>20</v>
      </c>
      <c r="V27" s="11" t="s">
        <v>2039</v>
      </c>
      <c r="W27" s="11">
        <v>125</v>
      </c>
      <c r="X27" s="11">
        <v>125</v>
      </c>
      <c r="Y27" s="67">
        <v>120</v>
      </c>
      <c r="Z27" s="11">
        <v>8</v>
      </c>
      <c r="AA27" s="11">
        <v>2.5</v>
      </c>
      <c r="AB27" s="11">
        <v>2.5</v>
      </c>
      <c r="AC27" s="11">
        <v>18</v>
      </c>
      <c r="AD27" s="11" t="s">
        <v>1985</v>
      </c>
    </row>
    <row r="28" spans="1:30" ht="15" customHeight="1">
      <c r="A28" s="94" t="str">
        <f t="shared" si="11"/>
        <v/>
      </c>
      <c r="B28" s="94" t="str">
        <f t="shared" si="11"/>
        <v/>
      </c>
      <c r="C28" s="94"/>
      <c r="D28" s="94"/>
      <c r="E28" s="94" t="str">
        <f t="shared" si="12"/>
        <v/>
      </c>
      <c r="F28" s="94" t="str">
        <f t="shared" si="13"/>
        <v/>
      </c>
      <c r="G28" s="94" t="str">
        <f t="shared" si="13"/>
        <v/>
      </c>
      <c r="H28" s="96" t="str">
        <f t="shared" si="13"/>
        <v/>
      </c>
      <c r="I28" s="94" t="str">
        <f t="shared" si="13"/>
        <v/>
      </c>
      <c r="J28" s="94" t="str">
        <f t="shared" si="13"/>
        <v/>
      </c>
      <c r="K28" s="94" t="str">
        <f t="shared" si="13"/>
        <v/>
      </c>
      <c r="L28" s="94" t="str">
        <f t="shared" si="13"/>
        <v/>
      </c>
      <c r="M28" s="312" t="str" cm="1">
        <f t="array" aca="1" ref="M28" ca="1">_xlfn.LET(_xlpm.퇴실일, _xlfn.XLOOKUP(_xlfn.CONCAT(C28,D28),■퇴실정보!$B$4:$B$1000&amp;■퇴실정보!$C$4:$C$1000,■퇴실정보!$E$4:$E$1000,0,0,-1),IF(TODAY()-_xlpm.퇴실일&gt;1000,"",TODAY()-_xlpm.퇴실일))</f>
        <v/>
      </c>
      <c r="N28" s="95" t="str" cm="1">
        <f t="array" ref="N28">IF($C28="","",_xlfn.XLOOKUP(_xlfn.CONCAT($C28,$D28),◆관리정보!$B:$B &amp; ◆관리정보!$C:$C,◆관리정보!$J:$J))</f>
        <v/>
      </c>
      <c r="O28" s="93"/>
      <c r="Q28" s="204" t="s">
        <v>2040</v>
      </c>
      <c r="R28" s="204" t="s">
        <v>2041</v>
      </c>
      <c r="T28" s="11" t="s">
        <v>1983</v>
      </c>
      <c r="U28" s="11">
        <v>20</v>
      </c>
      <c r="V28" s="11" t="s">
        <v>2042</v>
      </c>
      <c r="W28" s="11">
        <v>125</v>
      </c>
      <c r="X28" s="11">
        <v>125</v>
      </c>
      <c r="Y28" s="67">
        <v>120</v>
      </c>
      <c r="Z28" s="11">
        <v>8</v>
      </c>
      <c r="AA28" s="11">
        <v>2.5</v>
      </c>
      <c r="AB28" s="11">
        <v>2.5</v>
      </c>
      <c r="AC28" s="11">
        <v>18</v>
      </c>
      <c r="AD28" s="11" t="s">
        <v>1985</v>
      </c>
    </row>
    <row r="29" spans="1:30" ht="15" customHeight="1">
      <c r="A29" s="94" t="str">
        <f t="shared" si="1"/>
        <v/>
      </c>
      <c r="B29" s="94" t="str">
        <f t="shared" si="2"/>
        <v/>
      </c>
      <c r="C29" s="94"/>
      <c r="D29" s="94"/>
      <c r="E29" s="94" t="str">
        <f t="shared" si="3"/>
        <v/>
      </c>
      <c r="F29" s="94" t="str">
        <f t="shared" si="4"/>
        <v/>
      </c>
      <c r="G29" s="94" t="str">
        <f t="shared" si="5"/>
        <v/>
      </c>
      <c r="H29" s="96" t="str">
        <f t="shared" si="6"/>
        <v/>
      </c>
      <c r="I29" s="94" t="str">
        <f t="shared" si="7"/>
        <v/>
      </c>
      <c r="J29" s="94" t="str">
        <f t="shared" si="8"/>
        <v/>
      </c>
      <c r="K29" s="94" t="str">
        <f t="shared" si="9"/>
        <v/>
      </c>
      <c r="L29" s="94" t="str">
        <f t="shared" si="10"/>
        <v/>
      </c>
      <c r="M29" s="312" t="str" cm="1">
        <f t="array" aca="1" ref="M29" ca="1">_xlfn.LET(_xlpm.퇴실일, _xlfn.XLOOKUP(_xlfn.CONCAT(C29,D29),■퇴실정보!$B$4:$B$1000&amp;■퇴실정보!$C$4:$C$1000,■퇴실정보!$E$4:$E$1000,0,0,-1),IF(TODAY()-_xlpm.퇴실일&gt;1000,"",TODAY()-_xlpm.퇴실일))</f>
        <v/>
      </c>
      <c r="N29" s="95" t="str" cm="1">
        <f t="array" ref="N29">IF($C29="","",_xlfn.XLOOKUP(_xlfn.CONCAT($C29,$D29),◆관리정보!$B:$B &amp; ◆관리정보!$C:$C,◆관리정보!$J:$J))</f>
        <v/>
      </c>
      <c r="O29" s="93"/>
      <c r="Q29" s="204" t="s">
        <v>2043</v>
      </c>
      <c r="R29" s="204">
        <v>3333</v>
      </c>
      <c r="T29" s="11" t="s">
        <v>1983</v>
      </c>
      <c r="U29" s="11">
        <v>20</v>
      </c>
      <c r="V29" s="11" t="s">
        <v>2044</v>
      </c>
      <c r="W29" s="11">
        <v>125</v>
      </c>
      <c r="X29" s="11">
        <v>125</v>
      </c>
      <c r="Y29" s="67">
        <v>120</v>
      </c>
      <c r="Z29" s="11">
        <v>8</v>
      </c>
      <c r="AA29" s="11">
        <v>2.5</v>
      </c>
      <c r="AB29" s="11">
        <v>2.5</v>
      </c>
      <c r="AC29" s="11">
        <v>18</v>
      </c>
      <c r="AD29" s="11" t="s">
        <v>1985</v>
      </c>
    </row>
    <row r="30" spans="1:30" ht="15" customHeight="1">
      <c r="A30" s="94" t="str">
        <f t="shared" si="1"/>
        <v/>
      </c>
      <c r="B30" s="94" t="str">
        <f t="shared" si="2"/>
        <v/>
      </c>
      <c r="C30" s="94"/>
      <c r="D30" s="94"/>
      <c r="E30" s="94" t="str">
        <f t="shared" si="3"/>
        <v/>
      </c>
      <c r="F30" s="94" t="str">
        <f t="shared" si="4"/>
        <v/>
      </c>
      <c r="G30" s="94" t="str">
        <f t="shared" si="5"/>
        <v/>
      </c>
      <c r="H30" s="96" t="str">
        <f t="shared" si="6"/>
        <v/>
      </c>
      <c r="I30" s="94" t="str">
        <f t="shared" si="7"/>
        <v/>
      </c>
      <c r="J30" s="94" t="str">
        <f t="shared" si="8"/>
        <v/>
      </c>
      <c r="K30" s="94" t="str">
        <f t="shared" si="9"/>
        <v/>
      </c>
      <c r="L30" s="94" t="str">
        <f t="shared" si="10"/>
        <v/>
      </c>
      <c r="M30" s="312" t="str" cm="1">
        <f t="array" aca="1" ref="M30" ca="1">_xlfn.LET(_xlpm.퇴실일, _xlfn.XLOOKUP(_xlfn.CONCAT(C30,D30),■퇴실정보!$B$4:$B$1000&amp;■퇴실정보!$C$4:$C$1000,■퇴실정보!$E$4:$E$1000,0,0,-1),IF(TODAY()-_xlpm.퇴실일&gt;1000,"",TODAY()-_xlpm.퇴실일))</f>
        <v/>
      </c>
      <c r="N30" s="95" t="str" cm="1">
        <f t="array" ref="N30">IF($C30="","",_xlfn.XLOOKUP(_xlfn.CONCAT($C30,$D30),◆관리정보!$B:$B &amp; ◆관리정보!$C:$C,◆관리정보!$J:$J))</f>
        <v/>
      </c>
      <c r="O30" s="93"/>
      <c r="Q30" s="204" t="s">
        <v>2045</v>
      </c>
      <c r="R30" s="204">
        <v>4150</v>
      </c>
      <c r="T30" s="11" t="s">
        <v>1983</v>
      </c>
      <c r="U30" s="11">
        <v>20</v>
      </c>
      <c r="V30" s="11" t="s">
        <v>2046</v>
      </c>
      <c r="W30" s="11">
        <v>125</v>
      </c>
      <c r="X30" s="11">
        <v>125</v>
      </c>
      <c r="Y30" s="67">
        <v>120</v>
      </c>
      <c r="Z30" s="11">
        <v>8</v>
      </c>
      <c r="AA30" s="11">
        <v>2.5</v>
      </c>
      <c r="AB30" s="11">
        <v>2.5</v>
      </c>
      <c r="AC30" s="11">
        <v>18</v>
      </c>
      <c r="AD30" s="11" t="s">
        <v>1985</v>
      </c>
    </row>
    <row r="31" spans="1:30" ht="15" customHeight="1">
      <c r="A31" s="94" t="str">
        <f t="shared" si="1"/>
        <v/>
      </c>
      <c r="B31" s="94" t="str">
        <f t="shared" si="2"/>
        <v/>
      </c>
      <c r="C31" s="94"/>
      <c r="D31" s="94"/>
      <c r="E31" s="94" t="str">
        <f t="shared" si="3"/>
        <v/>
      </c>
      <c r="F31" s="94" t="str">
        <f t="shared" si="4"/>
        <v/>
      </c>
      <c r="G31" s="94" t="str">
        <f t="shared" si="5"/>
        <v/>
      </c>
      <c r="H31" s="96" t="str">
        <f t="shared" si="6"/>
        <v/>
      </c>
      <c r="I31" s="94" t="str">
        <f t="shared" si="7"/>
        <v/>
      </c>
      <c r="J31" s="94" t="str">
        <f t="shared" si="8"/>
        <v/>
      </c>
      <c r="K31" s="94" t="str">
        <f t="shared" si="9"/>
        <v/>
      </c>
      <c r="L31" s="94" t="str">
        <f t="shared" si="10"/>
        <v/>
      </c>
      <c r="M31" s="312" t="str" cm="1">
        <f t="array" aca="1" ref="M31" ca="1">_xlfn.LET(_xlpm.퇴실일, _xlfn.XLOOKUP(_xlfn.CONCAT(C31,D31),■퇴실정보!$B$4:$B$1000&amp;■퇴실정보!$C$4:$C$1000,■퇴실정보!$E$4:$E$1000,0,0,-1),IF(TODAY()-_xlpm.퇴실일&gt;1000,"",TODAY()-_xlpm.퇴실일))</f>
        <v/>
      </c>
      <c r="N31" s="95" t="str" cm="1">
        <f t="array" ref="N31">IF($C31="","",_xlfn.XLOOKUP(_xlfn.CONCAT($C31,$D31),◆관리정보!$B:$B &amp; ◆관리정보!$C:$C,◆관리정보!$J:$J))</f>
        <v/>
      </c>
      <c r="O31" s="93"/>
      <c r="Q31" s="204" t="s">
        <v>2047</v>
      </c>
      <c r="R31" s="204" t="s">
        <v>1982</v>
      </c>
      <c r="T31" s="11" t="s">
        <v>1983</v>
      </c>
      <c r="U31" s="11">
        <v>20</v>
      </c>
      <c r="V31" s="11" t="s">
        <v>2048</v>
      </c>
      <c r="W31" s="11">
        <v>125</v>
      </c>
      <c r="X31" s="11">
        <v>125</v>
      </c>
      <c r="Y31" s="67">
        <v>120</v>
      </c>
      <c r="Z31" s="11">
        <v>8</v>
      </c>
      <c r="AA31" s="11">
        <v>2.5</v>
      </c>
      <c r="AB31" s="11">
        <v>2.5</v>
      </c>
      <c r="AC31" s="11">
        <v>18</v>
      </c>
      <c r="AD31" s="11" t="s">
        <v>1985</v>
      </c>
    </row>
    <row r="32" spans="1:30" ht="15" customHeight="1">
      <c r="A32" s="94" t="str">
        <f t="shared" si="1"/>
        <v/>
      </c>
      <c r="B32" s="94" t="str">
        <f t="shared" si="2"/>
        <v/>
      </c>
      <c r="C32" s="94"/>
      <c r="D32" s="94"/>
      <c r="E32" s="94" t="str">
        <f t="shared" si="3"/>
        <v/>
      </c>
      <c r="F32" s="94" t="str">
        <f t="shared" si="4"/>
        <v/>
      </c>
      <c r="G32" s="94" t="str">
        <f t="shared" si="5"/>
        <v/>
      </c>
      <c r="H32" s="96" t="str">
        <f t="shared" si="6"/>
        <v/>
      </c>
      <c r="I32" s="94" t="str">
        <f t="shared" si="7"/>
        <v/>
      </c>
      <c r="J32" s="94" t="str">
        <f t="shared" si="8"/>
        <v/>
      </c>
      <c r="K32" s="94" t="str">
        <f t="shared" si="9"/>
        <v/>
      </c>
      <c r="L32" s="94" t="str">
        <f t="shared" si="10"/>
        <v/>
      </c>
      <c r="M32" s="312" t="str" cm="1">
        <f t="array" aca="1" ref="M32" ca="1">_xlfn.LET(_xlpm.퇴실일, _xlfn.XLOOKUP(_xlfn.CONCAT(C32,D32),■퇴실정보!$B$4:$B$1000&amp;■퇴실정보!$C$4:$C$1000,■퇴실정보!$E$4:$E$1000,0,0,-1),IF(TODAY()-_xlpm.퇴실일&gt;1000,"",TODAY()-_xlpm.퇴실일))</f>
        <v/>
      </c>
      <c r="N32" s="95" t="str" cm="1">
        <f t="array" ref="N32">IF($C32="","",_xlfn.XLOOKUP(_xlfn.CONCAT($C32,$D32),◆관리정보!$B:$B &amp; ◆관리정보!$C:$C,◆관리정보!$J:$J))</f>
        <v/>
      </c>
      <c r="O32" s="93"/>
      <c r="Q32" s="204" t="s">
        <v>2049</v>
      </c>
      <c r="R32" s="204" t="s">
        <v>1982</v>
      </c>
      <c r="T32" s="11" t="s">
        <v>1983</v>
      </c>
      <c r="U32" s="11">
        <v>20</v>
      </c>
      <c r="V32" s="11" t="s">
        <v>2050</v>
      </c>
      <c r="W32" s="11">
        <v>125</v>
      </c>
      <c r="X32" s="11">
        <v>125</v>
      </c>
      <c r="Y32" s="67">
        <v>120</v>
      </c>
      <c r="Z32" s="11">
        <v>8</v>
      </c>
      <c r="AA32" s="11">
        <v>2.5</v>
      </c>
      <c r="AB32" s="11">
        <v>2.5</v>
      </c>
      <c r="AC32" s="11">
        <v>18</v>
      </c>
      <c r="AD32" s="11" t="s">
        <v>1985</v>
      </c>
    </row>
    <row r="33" spans="1:30" ht="15" customHeight="1">
      <c r="A33" s="94" t="str">
        <f t="shared" si="1"/>
        <v/>
      </c>
      <c r="B33" s="94" t="str">
        <f t="shared" si="2"/>
        <v/>
      </c>
      <c r="C33" s="94"/>
      <c r="D33" s="94"/>
      <c r="E33" s="94" t="str">
        <f t="shared" si="3"/>
        <v/>
      </c>
      <c r="F33" s="94" t="str">
        <f t="shared" si="4"/>
        <v/>
      </c>
      <c r="G33" s="94" t="str">
        <f t="shared" si="5"/>
        <v/>
      </c>
      <c r="H33" s="96" t="str">
        <f t="shared" si="6"/>
        <v/>
      </c>
      <c r="I33" s="94" t="str">
        <f t="shared" si="7"/>
        <v/>
      </c>
      <c r="J33" s="94" t="str">
        <f t="shared" si="8"/>
        <v/>
      </c>
      <c r="K33" s="94" t="str">
        <f t="shared" si="9"/>
        <v/>
      </c>
      <c r="L33" s="94" t="str">
        <f t="shared" si="10"/>
        <v/>
      </c>
      <c r="M33" s="312" t="str" cm="1">
        <f t="array" aca="1" ref="M33" ca="1">_xlfn.LET(_xlpm.퇴실일, _xlfn.XLOOKUP(_xlfn.CONCAT(C33,D33),■퇴실정보!$B$4:$B$1000&amp;■퇴실정보!$C$4:$C$1000,■퇴실정보!$E$4:$E$1000,0,0,-1),IF(TODAY()-_xlpm.퇴실일&gt;1000,"",TODAY()-_xlpm.퇴실일))</f>
        <v/>
      </c>
      <c r="N33" s="95" t="str" cm="1">
        <f t="array" ref="N33">IF($C33="","",_xlfn.XLOOKUP(_xlfn.CONCAT($C33,$D33),◆관리정보!$B:$B &amp; ◆관리정보!$C:$C,◆관리정보!$J:$J))</f>
        <v/>
      </c>
      <c r="O33" s="93"/>
      <c r="Q33" s="204" t="s">
        <v>2051</v>
      </c>
      <c r="R33" s="204" t="s">
        <v>1982</v>
      </c>
      <c r="T33" s="11" t="s">
        <v>1983</v>
      </c>
      <c r="U33" s="11">
        <v>20</v>
      </c>
      <c r="V33" s="11" t="s">
        <v>2052</v>
      </c>
      <c r="W33" s="11">
        <v>125</v>
      </c>
      <c r="X33" s="11">
        <v>125</v>
      </c>
      <c r="Y33" s="67">
        <v>120</v>
      </c>
      <c r="Z33" s="11">
        <v>8</v>
      </c>
      <c r="AA33" s="11">
        <v>2.5</v>
      </c>
      <c r="AB33" s="11">
        <v>2.5</v>
      </c>
      <c r="AC33" s="11">
        <v>18</v>
      </c>
      <c r="AD33" s="11" t="s">
        <v>1985</v>
      </c>
    </row>
    <row r="34" spans="1:30" ht="15" customHeight="1">
      <c r="A34" s="94" t="str">
        <f t="shared" si="1"/>
        <v/>
      </c>
      <c r="B34" s="94" t="str">
        <f t="shared" si="2"/>
        <v/>
      </c>
      <c r="C34" s="94"/>
      <c r="D34" s="94"/>
      <c r="E34" s="94" t="str">
        <f t="shared" si="3"/>
        <v/>
      </c>
      <c r="F34" s="94" t="str">
        <f t="shared" si="4"/>
        <v/>
      </c>
      <c r="G34" s="94" t="str">
        <f t="shared" si="5"/>
        <v/>
      </c>
      <c r="H34" s="96" t="str">
        <f t="shared" si="6"/>
        <v/>
      </c>
      <c r="I34" s="94" t="str">
        <f t="shared" si="7"/>
        <v/>
      </c>
      <c r="J34" s="94" t="str">
        <f t="shared" si="8"/>
        <v/>
      </c>
      <c r="K34" s="94" t="str">
        <f t="shared" si="9"/>
        <v/>
      </c>
      <c r="L34" s="94" t="str">
        <f t="shared" si="10"/>
        <v/>
      </c>
      <c r="M34" s="312" t="str" cm="1">
        <f t="array" aca="1" ref="M34" ca="1">_xlfn.LET(_xlpm.퇴실일, _xlfn.XLOOKUP(_xlfn.CONCAT(C34,D34),■퇴실정보!$B$4:$B$1000&amp;■퇴실정보!$C$4:$C$1000,■퇴실정보!$E$4:$E$1000,0,0,-1),IF(TODAY()-_xlpm.퇴실일&gt;1000,"",TODAY()-_xlpm.퇴실일))</f>
        <v/>
      </c>
      <c r="N34" s="95" t="str" cm="1">
        <f t="array" ref="N34">IF($C34="","",_xlfn.XLOOKUP(_xlfn.CONCAT($C34,$D34),◆관리정보!$B:$B &amp; ◆관리정보!$C:$C,◆관리정보!$J:$J))</f>
        <v/>
      </c>
      <c r="O34" s="93"/>
      <c r="Q34" s="204" t="s">
        <v>2053</v>
      </c>
      <c r="R34" s="204" t="s">
        <v>1982</v>
      </c>
      <c r="T34" s="11" t="s">
        <v>1983</v>
      </c>
      <c r="U34" s="11">
        <v>20</v>
      </c>
      <c r="V34" s="11" t="s">
        <v>2054</v>
      </c>
      <c r="W34" s="11">
        <v>125</v>
      </c>
      <c r="X34" s="11">
        <v>125</v>
      </c>
      <c r="Y34" s="67">
        <v>120</v>
      </c>
      <c r="Z34" s="11">
        <v>8</v>
      </c>
      <c r="AA34" s="11">
        <v>2.5</v>
      </c>
      <c r="AB34" s="11">
        <v>2.5</v>
      </c>
      <c r="AC34" s="11">
        <v>18</v>
      </c>
      <c r="AD34" s="11" t="s">
        <v>1985</v>
      </c>
    </row>
    <row r="35" spans="1:30" ht="15" customHeight="1">
      <c r="A35" s="94" t="str">
        <f t="shared" si="1"/>
        <v/>
      </c>
      <c r="B35" s="94" t="str">
        <f t="shared" si="2"/>
        <v/>
      </c>
      <c r="C35" s="94"/>
      <c r="D35" s="94"/>
      <c r="E35" s="94" t="str">
        <f t="shared" si="3"/>
        <v/>
      </c>
      <c r="F35" s="94" t="str">
        <f t="shared" si="4"/>
        <v/>
      </c>
      <c r="G35" s="94" t="str">
        <f t="shared" si="5"/>
        <v/>
      </c>
      <c r="H35" s="96" t="str">
        <f t="shared" si="6"/>
        <v/>
      </c>
      <c r="I35" s="94" t="str">
        <f t="shared" si="7"/>
        <v/>
      </c>
      <c r="J35" s="94" t="str">
        <f t="shared" si="8"/>
        <v/>
      </c>
      <c r="K35" s="94" t="str">
        <f t="shared" si="9"/>
        <v/>
      </c>
      <c r="L35" s="94" t="str">
        <f t="shared" si="10"/>
        <v/>
      </c>
      <c r="M35" s="312" t="str" cm="1">
        <f t="array" aca="1" ref="M35" ca="1">_xlfn.LET(_xlpm.퇴실일, _xlfn.XLOOKUP(_xlfn.CONCAT(C35,D35),■퇴실정보!$B$4:$B$1000&amp;■퇴실정보!$C$4:$C$1000,■퇴실정보!$E$4:$E$1000,0,0,-1),IF(TODAY()-_xlpm.퇴실일&gt;1000,"",TODAY()-_xlpm.퇴실일))</f>
        <v/>
      </c>
      <c r="N35" s="95" t="str" cm="1">
        <f t="array" ref="N35">IF($C35="","",_xlfn.XLOOKUP(_xlfn.CONCAT($C35,$D35),◆관리정보!$B:$B &amp; ◆관리정보!$C:$C,◆관리정보!$J:$J))</f>
        <v/>
      </c>
      <c r="O35" s="93"/>
      <c r="Q35" s="204" t="s">
        <v>2055</v>
      </c>
      <c r="R35" s="204" t="s">
        <v>2056</v>
      </c>
      <c r="T35" s="11" t="s">
        <v>1983</v>
      </c>
      <c r="U35" s="11">
        <v>20</v>
      </c>
      <c r="V35" s="11" t="s">
        <v>2057</v>
      </c>
      <c r="W35" s="11">
        <v>125</v>
      </c>
      <c r="X35" s="11">
        <v>125</v>
      </c>
      <c r="Y35" s="67">
        <v>120</v>
      </c>
      <c r="Z35" s="11">
        <v>8</v>
      </c>
      <c r="AA35" s="11">
        <v>2.5</v>
      </c>
      <c r="AB35" s="11">
        <v>2.5</v>
      </c>
      <c r="AC35" s="11">
        <v>18</v>
      </c>
      <c r="AD35" s="11" t="s">
        <v>1985</v>
      </c>
    </row>
    <row r="36" spans="1:30" ht="15" customHeight="1">
      <c r="A36" s="94" t="str">
        <f t="shared" si="1"/>
        <v/>
      </c>
      <c r="B36" s="94" t="str">
        <f t="shared" si="2"/>
        <v/>
      </c>
      <c r="C36" s="94"/>
      <c r="D36" s="94"/>
      <c r="E36" s="94" t="str">
        <f t="shared" si="3"/>
        <v/>
      </c>
      <c r="F36" s="94" t="str">
        <f t="shared" si="4"/>
        <v/>
      </c>
      <c r="G36" s="94" t="str">
        <f t="shared" si="5"/>
        <v/>
      </c>
      <c r="H36" s="96" t="str">
        <f t="shared" si="6"/>
        <v/>
      </c>
      <c r="I36" s="94" t="str">
        <f t="shared" si="7"/>
        <v/>
      </c>
      <c r="J36" s="94" t="str">
        <f t="shared" si="8"/>
        <v/>
      </c>
      <c r="K36" s="94" t="str">
        <f t="shared" si="9"/>
        <v/>
      </c>
      <c r="L36" s="94" t="str">
        <f t="shared" si="10"/>
        <v/>
      </c>
      <c r="M36" s="312" t="str" cm="1">
        <f t="array" aca="1" ref="M36" ca="1">_xlfn.LET(_xlpm.퇴실일, _xlfn.XLOOKUP(_xlfn.CONCAT(C36,D36),■퇴실정보!$B$4:$B$1000&amp;■퇴실정보!$C$4:$C$1000,■퇴실정보!$E$4:$E$1000,0,0,-1),IF(TODAY()-_xlpm.퇴실일&gt;1000,"",TODAY()-_xlpm.퇴실일))</f>
        <v/>
      </c>
      <c r="N36" s="95" t="str" cm="1">
        <f t="array" ref="N36">IF($C36="","",_xlfn.XLOOKUP(_xlfn.CONCAT($C36,$D36),◆관리정보!$B:$B &amp; ◆관리정보!$C:$C,◆관리정보!$J:$J))</f>
        <v/>
      </c>
      <c r="O36" s="93"/>
      <c r="Q36" s="204" t="s">
        <v>2058</v>
      </c>
      <c r="R36" s="204" t="s">
        <v>2059</v>
      </c>
      <c r="T36" s="11" t="s">
        <v>1983</v>
      </c>
      <c r="U36" s="11">
        <v>20</v>
      </c>
      <c r="V36" s="11" t="s">
        <v>2060</v>
      </c>
      <c r="W36" s="11">
        <v>125</v>
      </c>
      <c r="X36" s="11">
        <v>125</v>
      </c>
      <c r="Y36" s="67">
        <v>120</v>
      </c>
      <c r="Z36" s="11">
        <v>8</v>
      </c>
      <c r="AA36" s="11">
        <v>2.5</v>
      </c>
      <c r="AB36" s="11">
        <v>2.5</v>
      </c>
      <c r="AC36" s="11">
        <v>18</v>
      </c>
      <c r="AD36" s="11" t="s">
        <v>1985</v>
      </c>
    </row>
    <row r="37" spans="1:30" ht="15" customHeight="1">
      <c r="A37" s="94" t="str">
        <f t="shared" si="1"/>
        <v/>
      </c>
      <c r="B37" s="94" t="str">
        <f t="shared" si="2"/>
        <v/>
      </c>
      <c r="C37" s="94"/>
      <c r="D37" s="94"/>
      <c r="E37" s="94" t="str">
        <f t="shared" si="3"/>
        <v/>
      </c>
      <c r="F37" s="94" t="str">
        <f t="shared" si="4"/>
        <v/>
      </c>
      <c r="G37" s="94" t="str">
        <f t="shared" si="5"/>
        <v/>
      </c>
      <c r="H37" s="96" t="str">
        <f t="shared" si="6"/>
        <v/>
      </c>
      <c r="I37" s="94" t="str">
        <f t="shared" si="7"/>
        <v/>
      </c>
      <c r="J37" s="94" t="str">
        <f t="shared" si="8"/>
        <v/>
      </c>
      <c r="K37" s="94" t="str">
        <f t="shared" si="9"/>
        <v/>
      </c>
      <c r="L37" s="94" t="str">
        <f t="shared" si="10"/>
        <v/>
      </c>
      <c r="M37" s="312" t="str" cm="1">
        <f t="array" aca="1" ref="M37" ca="1">_xlfn.LET(_xlpm.퇴실일, _xlfn.XLOOKUP(_xlfn.CONCAT(C37,D37),■퇴실정보!$B$4:$B$1000&amp;■퇴실정보!$C$4:$C$1000,■퇴실정보!$E$4:$E$1000,0,0,-1),IF(TODAY()-_xlpm.퇴실일&gt;1000,"",TODAY()-_xlpm.퇴실일))</f>
        <v/>
      </c>
      <c r="N37" s="95" t="str" cm="1">
        <f t="array" ref="N37">IF($C37="","",_xlfn.XLOOKUP(_xlfn.CONCAT($C37,$D37),◆관리정보!$B:$B &amp; ◆관리정보!$C:$C,◆관리정보!$J:$J))</f>
        <v/>
      </c>
      <c r="O37" s="93"/>
      <c r="Q37" s="204"/>
      <c r="R37" s="204"/>
      <c r="T37" s="11" t="s">
        <v>1983</v>
      </c>
      <c r="U37" s="11">
        <v>10</v>
      </c>
      <c r="V37" s="11" t="s">
        <v>2061</v>
      </c>
      <c r="W37" s="11">
        <v>50</v>
      </c>
      <c r="X37" s="11">
        <v>50</v>
      </c>
      <c r="Y37" s="67">
        <v>50</v>
      </c>
      <c r="Z37" s="11">
        <v>7</v>
      </c>
      <c r="AA37" s="11" t="s">
        <v>1499</v>
      </c>
      <c r="AB37" s="11" t="s">
        <v>1499</v>
      </c>
      <c r="AC37" s="11">
        <v>8</v>
      </c>
      <c r="AD37" s="11" t="s">
        <v>1985</v>
      </c>
    </row>
    <row r="38" spans="1:30" ht="15" customHeight="1">
      <c r="A38" s="94" t="str">
        <f t="shared" si="1"/>
        <v/>
      </c>
      <c r="B38" s="94" t="str">
        <f t="shared" si="2"/>
        <v/>
      </c>
      <c r="C38" s="94"/>
      <c r="D38" s="94"/>
      <c r="E38" s="94" t="str">
        <f t="shared" si="3"/>
        <v/>
      </c>
      <c r="F38" s="94" t="str">
        <f t="shared" si="4"/>
        <v/>
      </c>
      <c r="G38" s="94" t="str">
        <f t="shared" si="5"/>
        <v/>
      </c>
      <c r="H38" s="96" t="str">
        <f t="shared" si="6"/>
        <v/>
      </c>
      <c r="I38" s="94" t="str">
        <f t="shared" si="7"/>
        <v/>
      </c>
      <c r="J38" s="94" t="str">
        <f t="shared" si="8"/>
        <v/>
      </c>
      <c r="K38" s="94" t="str">
        <f t="shared" si="9"/>
        <v/>
      </c>
      <c r="L38" s="94" t="str">
        <f t="shared" si="10"/>
        <v/>
      </c>
      <c r="M38" s="312" t="str" cm="1">
        <f t="array" aca="1" ref="M38" ca="1">_xlfn.LET(_xlpm.퇴실일, _xlfn.XLOOKUP(_xlfn.CONCAT(C38,D38),■퇴실정보!$B$4:$B$1000&amp;■퇴실정보!$C$4:$C$1000,■퇴실정보!$E$4:$E$1000,0,0,-1),IF(TODAY()-_xlpm.퇴실일&gt;1000,"",TODAY()-_xlpm.퇴실일))</f>
        <v/>
      </c>
      <c r="N38" s="95" t="str" cm="1">
        <f t="array" ref="N38">IF($C38="","",_xlfn.XLOOKUP(_xlfn.CONCAT($C38,$D38),◆관리정보!$B:$B &amp; ◆관리정보!$C:$C,◆관리정보!$J:$J))</f>
        <v/>
      </c>
      <c r="O38" s="93"/>
      <c r="Q38" s="204"/>
      <c r="R38" s="204"/>
      <c r="T38" s="11" t="s">
        <v>1983</v>
      </c>
      <c r="U38" s="11">
        <v>10</v>
      </c>
      <c r="V38" s="11" t="s">
        <v>2062</v>
      </c>
      <c r="W38" s="11">
        <v>50</v>
      </c>
      <c r="X38" s="11">
        <v>50</v>
      </c>
      <c r="Y38" s="67">
        <v>50</v>
      </c>
      <c r="Z38" s="11">
        <v>7</v>
      </c>
      <c r="AA38" s="11" t="s">
        <v>1499</v>
      </c>
      <c r="AB38" s="11" t="s">
        <v>1499</v>
      </c>
      <c r="AC38" s="11">
        <v>8</v>
      </c>
      <c r="AD38" s="11" t="s">
        <v>1985</v>
      </c>
    </row>
    <row r="39" spans="1:30" ht="15" customHeight="1">
      <c r="A39" s="94" t="str">
        <f t="shared" si="1"/>
        <v/>
      </c>
      <c r="B39" s="94" t="str">
        <f t="shared" si="2"/>
        <v/>
      </c>
      <c r="C39" s="94"/>
      <c r="D39" s="94"/>
      <c r="E39" s="94" t="str">
        <f t="shared" si="3"/>
        <v/>
      </c>
      <c r="F39" s="94" t="str">
        <f t="shared" si="4"/>
        <v/>
      </c>
      <c r="G39" s="94" t="str">
        <f t="shared" si="5"/>
        <v/>
      </c>
      <c r="H39" s="96" t="str">
        <f t="shared" si="6"/>
        <v/>
      </c>
      <c r="I39" s="94" t="str">
        <f t="shared" si="7"/>
        <v/>
      </c>
      <c r="J39" s="94" t="str">
        <f t="shared" si="8"/>
        <v/>
      </c>
      <c r="K39" s="94" t="str">
        <f t="shared" si="9"/>
        <v/>
      </c>
      <c r="L39" s="94" t="str">
        <f t="shared" si="10"/>
        <v/>
      </c>
      <c r="M39" s="312" t="str" cm="1">
        <f t="array" aca="1" ref="M39" ca="1">_xlfn.LET(_xlpm.퇴실일, _xlfn.XLOOKUP(_xlfn.CONCAT(C39,D39),■퇴실정보!$B$4:$B$1000&amp;■퇴실정보!$C$4:$C$1000,■퇴실정보!$E$4:$E$1000,0,0,-1),IF(TODAY()-_xlpm.퇴실일&gt;1000,"",TODAY()-_xlpm.퇴실일))</f>
        <v/>
      </c>
      <c r="N39" s="95" t="str" cm="1">
        <f t="array" ref="N39">IF($C39="","",_xlfn.XLOOKUP(_xlfn.CONCAT($C39,$D39),◆관리정보!$B:$B &amp; ◆관리정보!$C:$C,◆관리정보!$J:$J))</f>
        <v/>
      </c>
      <c r="O39" s="93"/>
      <c r="Q39" s="204"/>
      <c r="R39" s="204"/>
      <c r="T39" s="11" t="s">
        <v>1983</v>
      </c>
      <c r="U39" s="11">
        <v>10</v>
      </c>
      <c r="V39" s="11" t="s">
        <v>2063</v>
      </c>
      <c r="W39" s="11">
        <v>50</v>
      </c>
      <c r="X39" s="11">
        <v>50</v>
      </c>
      <c r="Y39" s="67">
        <v>50</v>
      </c>
      <c r="Z39" s="11">
        <v>7</v>
      </c>
      <c r="AA39" s="11" t="s">
        <v>1499</v>
      </c>
      <c r="AB39" s="11" t="s">
        <v>1499</v>
      </c>
      <c r="AC39" s="11">
        <v>8</v>
      </c>
      <c r="AD39" s="11" t="s">
        <v>1985</v>
      </c>
    </row>
    <row r="40" spans="1:30" ht="15" customHeight="1">
      <c r="A40" s="94" t="str">
        <f t="shared" si="1"/>
        <v/>
      </c>
      <c r="B40" s="94" t="str">
        <f t="shared" si="2"/>
        <v/>
      </c>
      <c r="C40" s="94"/>
      <c r="D40" s="94"/>
      <c r="E40" s="94" t="str">
        <f t="shared" si="3"/>
        <v/>
      </c>
      <c r="F40" s="94" t="str">
        <f t="shared" si="4"/>
        <v/>
      </c>
      <c r="G40" s="94" t="str">
        <f t="shared" si="5"/>
        <v/>
      </c>
      <c r="H40" s="96" t="str">
        <f t="shared" si="6"/>
        <v/>
      </c>
      <c r="I40" s="94" t="str">
        <f t="shared" si="7"/>
        <v/>
      </c>
      <c r="J40" s="94" t="str">
        <f t="shared" si="8"/>
        <v/>
      </c>
      <c r="K40" s="94" t="str">
        <f t="shared" si="9"/>
        <v/>
      </c>
      <c r="L40" s="94" t="str">
        <f t="shared" si="10"/>
        <v/>
      </c>
      <c r="M40" s="312" t="str" cm="1">
        <f t="array" aca="1" ref="M40" ca="1">_xlfn.LET(_xlpm.퇴실일, _xlfn.XLOOKUP(_xlfn.CONCAT(C40,D40),■퇴실정보!$B$4:$B$1000&amp;■퇴실정보!$C$4:$C$1000,■퇴실정보!$E$4:$E$1000,0,0,-1),IF(TODAY()-_xlpm.퇴실일&gt;1000,"",TODAY()-_xlpm.퇴실일))</f>
        <v/>
      </c>
      <c r="N40" s="95" t="str" cm="1">
        <f t="array" ref="N40">IF($C40="","",_xlfn.XLOOKUP(_xlfn.CONCAT($C40,$D40),◆관리정보!$B:$B &amp; ◆관리정보!$C:$C,◆관리정보!$J:$J))</f>
        <v/>
      </c>
      <c r="O40" s="93"/>
      <c r="Q40" s="204"/>
      <c r="R40" s="204"/>
      <c r="T40" s="11" t="s">
        <v>1983</v>
      </c>
      <c r="U40" s="11">
        <v>10</v>
      </c>
      <c r="V40" s="11" t="s">
        <v>2064</v>
      </c>
      <c r="W40" s="11">
        <v>50</v>
      </c>
      <c r="X40" s="11">
        <v>50</v>
      </c>
      <c r="Y40" s="67">
        <v>50</v>
      </c>
      <c r="Z40" s="11">
        <v>7</v>
      </c>
      <c r="AA40" s="11" t="s">
        <v>1499</v>
      </c>
      <c r="AB40" s="11" t="s">
        <v>1499</v>
      </c>
      <c r="AC40" s="11">
        <v>8</v>
      </c>
      <c r="AD40" s="11" t="s">
        <v>1985</v>
      </c>
    </row>
    <row r="41" spans="1:30" ht="15" customHeight="1">
      <c r="A41" s="94" t="str">
        <f t="shared" si="1"/>
        <v/>
      </c>
      <c r="B41" s="94" t="str">
        <f t="shared" si="2"/>
        <v/>
      </c>
      <c r="C41" s="94"/>
      <c r="D41" s="94"/>
      <c r="E41" s="94" t="str">
        <f t="shared" si="3"/>
        <v/>
      </c>
      <c r="F41" s="94" t="str">
        <f t="shared" si="4"/>
        <v/>
      </c>
      <c r="G41" s="94" t="str">
        <f t="shared" si="5"/>
        <v/>
      </c>
      <c r="H41" s="96" t="str">
        <f t="shared" si="6"/>
        <v/>
      </c>
      <c r="I41" s="94" t="str">
        <f t="shared" si="7"/>
        <v/>
      </c>
      <c r="J41" s="94" t="str">
        <f t="shared" si="8"/>
        <v/>
      </c>
      <c r="K41" s="94" t="str">
        <f t="shared" si="9"/>
        <v/>
      </c>
      <c r="L41" s="94" t="str">
        <f t="shared" si="10"/>
        <v/>
      </c>
      <c r="M41" s="312" t="str" cm="1">
        <f t="array" aca="1" ref="M41" ca="1">_xlfn.LET(_xlpm.퇴실일, _xlfn.XLOOKUP(_xlfn.CONCAT(C41,D41),■퇴실정보!$B$4:$B$1000&amp;■퇴실정보!$C$4:$C$1000,■퇴실정보!$E$4:$E$1000,0,0,-1),IF(TODAY()-_xlpm.퇴실일&gt;1000,"",TODAY()-_xlpm.퇴실일))</f>
        <v/>
      </c>
      <c r="N41" s="95" t="str" cm="1">
        <f t="array" ref="N41">IF($C41="","",_xlfn.XLOOKUP(_xlfn.CONCAT($C41,$D41),◆관리정보!$B:$B &amp; ◆관리정보!$C:$C,◆관리정보!$J:$J))</f>
        <v/>
      </c>
      <c r="O41" s="93"/>
      <c r="Q41" s="204"/>
      <c r="R41" s="204"/>
      <c r="T41" s="11" t="s">
        <v>1983</v>
      </c>
      <c r="U41" s="11">
        <v>10</v>
      </c>
      <c r="V41" s="11" t="s">
        <v>2065</v>
      </c>
      <c r="W41" s="11">
        <v>50</v>
      </c>
      <c r="X41" s="11">
        <v>50</v>
      </c>
      <c r="Y41" s="67">
        <v>50</v>
      </c>
      <c r="Z41" s="11">
        <v>7</v>
      </c>
      <c r="AA41" s="11" t="s">
        <v>1499</v>
      </c>
      <c r="AB41" s="11" t="s">
        <v>1499</v>
      </c>
      <c r="AC41" s="11">
        <v>8</v>
      </c>
      <c r="AD41" s="11" t="s">
        <v>1985</v>
      </c>
    </row>
    <row r="42" spans="1:30" ht="15" customHeight="1">
      <c r="A42" s="94" t="str">
        <f t="shared" si="1"/>
        <v/>
      </c>
      <c r="B42" s="94" t="str">
        <f t="shared" si="2"/>
        <v/>
      </c>
      <c r="C42" s="94"/>
      <c r="D42" s="94"/>
      <c r="E42" s="94" t="str">
        <f t="shared" si="3"/>
        <v/>
      </c>
      <c r="F42" s="94" t="str">
        <f t="shared" si="4"/>
        <v/>
      </c>
      <c r="G42" s="94" t="str">
        <f t="shared" si="5"/>
        <v/>
      </c>
      <c r="H42" s="96" t="str">
        <f t="shared" si="6"/>
        <v/>
      </c>
      <c r="I42" s="94" t="str">
        <f t="shared" si="7"/>
        <v/>
      </c>
      <c r="J42" s="94" t="str">
        <f t="shared" si="8"/>
        <v/>
      </c>
      <c r="K42" s="94" t="str">
        <f t="shared" si="9"/>
        <v/>
      </c>
      <c r="L42" s="94" t="str">
        <f t="shared" si="10"/>
        <v/>
      </c>
      <c r="M42" s="312" t="str" cm="1">
        <f t="array" aca="1" ref="M42" ca="1">_xlfn.LET(_xlpm.퇴실일, _xlfn.XLOOKUP(_xlfn.CONCAT(C42,D42),■퇴실정보!$B$4:$B$1000&amp;■퇴실정보!$C$4:$C$1000,■퇴실정보!$E$4:$E$1000,0,0,-1),IF(TODAY()-_xlpm.퇴실일&gt;1000,"",TODAY()-_xlpm.퇴실일))</f>
        <v/>
      </c>
      <c r="N42" s="95" t="str" cm="1">
        <f t="array" ref="N42">IF($C42="","",_xlfn.XLOOKUP(_xlfn.CONCAT($C42,$D42),◆관리정보!$B:$B &amp; ◆관리정보!$C:$C,◆관리정보!$J:$J))</f>
        <v/>
      </c>
      <c r="O42" s="93"/>
      <c r="Q42" s="204"/>
      <c r="R42" s="204"/>
      <c r="T42" s="234"/>
      <c r="U42" s="234"/>
      <c r="V42" s="234" t="s">
        <v>2066</v>
      </c>
      <c r="W42" s="234"/>
      <c r="X42" s="234"/>
      <c r="Y42" s="234"/>
      <c r="Z42" s="234"/>
      <c r="AA42" s="234"/>
      <c r="AB42" s="234"/>
      <c r="AC42" s="234"/>
      <c r="AD42" s="234" t="s">
        <v>1985</v>
      </c>
    </row>
    <row r="43" spans="1:30" ht="15" customHeight="1">
      <c r="A43" s="94" t="str">
        <f t="shared" si="1"/>
        <v/>
      </c>
      <c r="B43" s="94" t="str">
        <f t="shared" si="2"/>
        <v/>
      </c>
      <c r="C43" s="94"/>
      <c r="D43" s="94"/>
      <c r="E43" s="94" t="str">
        <f t="shared" si="3"/>
        <v/>
      </c>
      <c r="F43" s="94" t="str">
        <f t="shared" si="4"/>
        <v/>
      </c>
      <c r="G43" s="94" t="str">
        <f t="shared" si="5"/>
        <v/>
      </c>
      <c r="H43" s="96" t="str">
        <f t="shared" si="6"/>
        <v/>
      </c>
      <c r="I43" s="94" t="str">
        <f t="shared" si="7"/>
        <v/>
      </c>
      <c r="J43" s="94" t="str">
        <f t="shared" si="8"/>
        <v/>
      </c>
      <c r="K43" s="94" t="str">
        <f t="shared" si="9"/>
        <v/>
      </c>
      <c r="L43" s="94" t="str">
        <f t="shared" si="10"/>
        <v/>
      </c>
      <c r="M43" s="312" t="str" cm="1">
        <f t="array" aca="1" ref="M43" ca="1">_xlfn.LET(_xlpm.퇴실일, _xlfn.XLOOKUP(_xlfn.CONCAT(C43,D43),■퇴실정보!$B$4:$B$1000&amp;■퇴실정보!$C$4:$C$1000,■퇴실정보!$E$4:$E$1000,0,0,-1),IF(TODAY()-_xlpm.퇴실일&gt;1000,"",TODAY()-_xlpm.퇴실일))</f>
        <v/>
      </c>
      <c r="N43" s="95" t="str" cm="1">
        <f t="array" ref="N43">IF($C43="","",_xlfn.XLOOKUP(_xlfn.CONCAT($C43,$D43),◆관리정보!$B:$B &amp; ◆관리정보!$C:$C,◆관리정보!$J:$J))</f>
        <v/>
      </c>
      <c r="O43" s="93"/>
      <c r="Q43" s="204"/>
      <c r="R43" s="204"/>
      <c r="T43" s="11" t="s">
        <v>1983</v>
      </c>
      <c r="U43" s="11">
        <v>10</v>
      </c>
      <c r="V43" s="11" t="s">
        <v>2067</v>
      </c>
      <c r="W43" s="11">
        <v>50</v>
      </c>
      <c r="X43" s="11">
        <v>50</v>
      </c>
      <c r="Y43" s="67">
        <v>50</v>
      </c>
      <c r="Z43" s="11">
        <v>7</v>
      </c>
      <c r="AA43" s="11" t="s">
        <v>1499</v>
      </c>
      <c r="AB43" s="11" t="s">
        <v>1499</v>
      </c>
      <c r="AC43" s="11">
        <v>8</v>
      </c>
      <c r="AD43" s="11" t="s">
        <v>1985</v>
      </c>
    </row>
    <row r="44" spans="1:30" ht="15" customHeight="1">
      <c r="A44" s="94" t="str">
        <f t="shared" si="1"/>
        <v/>
      </c>
      <c r="B44" s="94" t="str">
        <f t="shared" si="2"/>
        <v/>
      </c>
      <c r="C44" s="94"/>
      <c r="D44" s="94"/>
      <c r="E44" s="94" t="str">
        <f t="shared" si="3"/>
        <v/>
      </c>
      <c r="F44" s="94" t="str">
        <f t="shared" si="4"/>
        <v/>
      </c>
      <c r="G44" s="94" t="str">
        <f t="shared" si="5"/>
        <v/>
      </c>
      <c r="H44" s="96" t="str">
        <f t="shared" si="6"/>
        <v/>
      </c>
      <c r="I44" s="94" t="str">
        <f t="shared" si="7"/>
        <v/>
      </c>
      <c r="J44" s="94" t="str">
        <f t="shared" si="8"/>
        <v/>
      </c>
      <c r="K44" s="94" t="str">
        <f t="shared" si="9"/>
        <v/>
      </c>
      <c r="L44" s="94" t="str">
        <f t="shared" si="10"/>
        <v/>
      </c>
      <c r="M44" s="312" t="str" cm="1">
        <f t="array" aca="1" ref="M44" ca="1">_xlfn.LET(_xlpm.퇴실일, _xlfn.XLOOKUP(_xlfn.CONCAT(C44,D44),■퇴실정보!$B$4:$B$1000&amp;■퇴실정보!$C$4:$C$1000,■퇴실정보!$E$4:$E$1000,0,0,-1),IF(TODAY()-_xlpm.퇴실일&gt;1000,"",TODAY()-_xlpm.퇴실일))</f>
        <v/>
      </c>
      <c r="N44" s="95" t="str" cm="1">
        <f t="array" ref="N44">IF($C44="","",_xlfn.XLOOKUP(_xlfn.CONCAT($C44,$D44),◆관리정보!$B:$B &amp; ◆관리정보!$C:$C,◆관리정보!$J:$J))</f>
        <v/>
      </c>
      <c r="O44" s="93"/>
      <c r="Q44" s="204"/>
      <c r="R44" s="204"/>
      <c r="T44" s="11" t="s">
        <v>1983</v>
      </c>
      <c r="U44" s="11">
        <v>10</v>
      </c>
      <c r="V44" s="11" t="s">
        <v>2068</v>
      </c>
      <c r="W44" s="11">
        <v>50</v>
      </c>
      <c r="X44" s="11">
        <v>50</v>
      </c>
      <c r="Y44" s="67">
        <v>50</v>
      </c>
      <c r="Z44" s="11">
        <v>7</v>
      </c>
      <c r="AA44" s="11" t="s">
        <v>1499</v>
      </c>
      <c r="AB44" s="11" t="s">
        <v>1499</v>
      </c>
      <c r="AC44" s="11">
        <v>8</v>
      </c>
      <c r="AD44" s="11" t="s">
        <v>1985</v>
      </c>
    </row>
    <row r="45" spans="1:30" ht="15" customHeight="1">
      <c r="A45" s="94" t="str">
        <f t="shared" si="1"/>
        <v/>
      </c>
      <c r="B45" s="94" t="str">
        <f t="shared" si="2"/>
        <v/>
      </c>
      <c r="C45" s="94"/>
      <c r="D45" s="94"/>
      <c r="E45" s="94" t="str">
        <f t="shared" si="3"/>
        <v/>
      </c>
      <c r="F45" s="94" t="str">
        <f t="shared" si="4"/>
        <v/>
      </c>
      <c r="G45" s="94" t="str">
        <f t="shared" si="5"/>
        <v/>
      </c>
      <c r="H45" s="96" t="str">
        <f t="shared" si="6"/>
        <v/>
      </c>
      <c r="I45" s="94" t="str">
        <f t="shared" si="7"/>
        <v/>
      </c>
      <c r="J45" s="94" t="str">
        <f t="shared" si="8"/>
        <v/>
      </c>
      <c r="K45" s="94" t="str">
        <f t="shared" si="9"/>
        <v/>
      </c>
      <c r="L45" s="94" t="str">
        <f t="shared" si="10"/>
        <v/>
      </c>
      <c r="M45" s="312" t="str" cm="1">
        <f t="array" aca="1" ref="M45" ca="1">_xlfn.LET(_xlpm.퇴실일, _xlfn.XLOOKUP(_xlfn.CONCAT(C45,D45),■퇴실정보!$B$4:$B$1000&amp;■퇴실정보!$C$4:$C$1000,■퇴실정보!$E$4:$E$1000,0,0,-1),IF(TODAY()-_xlpm.퇴실일&gt;1000,"",TODAY()-_xlpm.퇴실일))</f>
        <v/>
      </c>
      <c r="N45" s="95" t="str" cm="1">
        <f t="array" ref="N45">IF($C45="","",_xlfn.XLOOKUP(_xlfn.CONCAT($C45,$D45),◆관리정보!$B:$B &amp; ◆관리정보!$C:$C,◆관리정보!$J:$J))</f>
        <v/>
      </c>
      <c r="O45" s="93"/>
      <c r="Q45" s="204"/>
      <c r="R45" s="204"/>
      <c r="T45" s="234" t="s">
        <v>1983</v>
      </c>
      <c r="U45" s="234"/>
      <c r="V45" s="234" t="s">
        <v>2069</v>
      </c>
      <c r="W45" s="234"/>
      <c r="X45" s="234"/>
      <c r="Y45" s="234"/>
      <c r="Z45" s="234"/>
      <c r="AA45" s="234"/>
      <c r="AB45" s="234"/>
      <c r="AC45" s="234"/>
      <c r="AD45" s="234" t="s">
        <v>2070</v>
      </c>
    </row>
    <row r="46" spans="1:30" ht="15" customHeight="1">
      <c r="A46" s="94" t="str">
        <f t="shared" si="1"/>
        <v/>
      </c>
      <c r="B46" s="94" t="str">
        <f t="shared" si="2"/>
        <v/>
      </c>
      <c r="C46" s="94"/>
      <c r="D46" s="94"/>
      <c r="E46" s="94" t="str">
        <f t="shared" si="3"/>
        <v/>
      </c>
      <c r="F46" s="94" t="str">
        <f t="shared" si="4"/>
        <v/>
      </c>
      <c r="G46" s="94" t="str">
        <f t="shared" si="5"/>
        <v/>
      </c>
      <c r="H46" s="96" t="str">
        <f t="shared" si="6"/>
        <v/>
      </c>
      <c r="I46" s="94" t="str">
        <f t="shared" si="7"/>
        <v/>
      </c>
      <c r="J46" s="94" t="str">
        <f t="shared" si="8"/>
        <v/>
      </c>
      <c r="K46" s="94" t="str">
        <f t="shared" si="9"/>
        <v/>
      </c>
      <c r="L46" s="94" t="str">
        <f t="shared" si="10"/>
        <v/>
      </c>
      <c r="M46" s="312" t="str" cm="1">
        <f t="array" aca="1" ref="M46" ca="1">_xlfn.LET(_xlpm.퇴실일, _xlfn.XLOOKUP(_xlfn.CONCAT(C46,D46),■퇴실정보!$B$4:$B$1000&amp;■퇴실정보!$C$4:$C$1000,■퇴실정보!$E$4:$E$1000,0,0,-1),IF(TODAY()-_xlpm.퇴실일&gt;1000,"",TODAY()-_xlpm.퇴실일))</f>
        <v/>
      </c>
      <c r="N46" s="95" t="str" cm="1">
        <f t="array" ref="N46">IF($C46="","",_xlfn.XLOOKUP(_xlfn.CONCAT($C46,$D46),◆관리정보!$B:$B &amp; ◆관리정보!$C:$C,◆관리정보!$J:$J))</f>
        <v/>
      </c>
      <c r="O46" s="93"/>
      <c r="Q46" s="204"/>
      <c r="R46" s="204"/>
      <c r="T46" s="11" t="s">
        <v>1983</v>
      </c>
      <c r="U46" s="11">
        <v>10</v>
      </c>
      <c r="V46" s="11" t="s">
        <v>2071</v>
      </c>
      <c r="W46" s="11">
        <v>50</v>
      </c>
      <c r="X46" s="11">
        <v>50</v>
      </c>
      <c r="Y46" s="67">
        <v>50</v>
      </c>
      <c r="Z46" s="11">
        <v>7</v>
      </c>
      <c r="AA46" s="11" t="s">
        <v>1499</v>
      </c>
      <c r="AB46" s="11" t="s">
        <v>1499</v>
      </c>
      <c r="AC46" s="11">
        <v>8</v>
      </c>
      <c r="AD46" s="11" t="s">
        <v>1985</v>
      </c>
    </row>
    <row r="47" spans="1:30" ht="15" customHeight="1">
      <c r="A47" s="94" t="str">
        <f t="shared" si="1"/>
        <v/>
      </c>
      <c r="B47" s="94" t="str">
        <f t="shared" si="2"/>
        <v/>
      </c>
      <c r="C47" s="94"/>
      <c r="D47" s="94"/>
      <c r="E47" s="94" t="str">
        <f t="shared" si="3"/>
        <v/>
      </c>
      <c r="F47" s="94" t="str">
        <f t="shared" si="4"/>
        <v/>
      </c>
      <c r="G47" s="94" t="str">
        <f t="shared" si="5"/>
        <v/>
      </c>
      <c r="H47" s="96" t="str">
        <f t="shared" si="6"/>
        <v/>
      </c>
      <c r="I47" s="94" t="str">
        <f t="shared" si="7"/>
        <v/>
      </c>
      <c r="J47" s="94" t="str">
        <f t="shared" si="8"/>
        <v/>
      </c>
      <c r="K47" s="94" t="str">
        <f t="shared" si="9"/>
        <v/>
      </c>
      <c r="L47" s="94" t="str">
        <f t="shared" si="10"/>
        <v/>
      </c>
      <c r="M47" s="312" t="str" cm="1">
        <f t="array" aca="1" ref="M47" ca="1">_xlfn.LET(_xlpm.퇴실일, _xlfn.XLOOKUP(_xlfn.CONCAT(C47,D47),■퇴실정보!$B$4:$B$1000&amp;■퇴실정보!$C$4:$C$1000,■퇴실정보!$E$4:$E$1000,0,0,-1),IF(TODAY()-_xlpm.퇴실일&gt;1000,"",TODAY()-_xlpm.퇴실일))</f>
        <v/>
      </c>
      <c r="N47" s="95" t="str" cm="1">
        <f t="array" ref="N47">IF($C47="","",_xlfn.XLOOKUP(_xlfn.CONCAT($C47,$D47),◆관리정보!$B:$B &amp; ◆관리정보!$C:$C,◆관리정보!$J:$J))</f>
        <v/>
      </c>
      <c r="O47" s="93"/>
      <c r="Q47" s="204"/>
      <c r="R47" s="204"/>
      <c r="T47" s="11" t="s">
        <v>1983</v>
      </c>
      <c r="U47" s="11">
        <v>10</v>
      </c>
      <c r="V47" s="11" t="s">
        <v>2072</v>
      </c>
      <c r="W47" s="11">
        <v>50</v>
      </c>
      <c r="X47" s="11">
        <v>50</v>
      </c>
      <c r="Y47" s="67">
        <v>50</v>
      </c>
      <c r="Z47" s="11">
        <v>7</v>
      </c>
      <c r="AA47" s="11" t="s">
        <v>1499</v>
      </c>
      <c r="AB47" s="11" t="s">
        <v>1499</v>
      </c>
      <c r="AC47" s="11">
        <v>8</v>
      </c>
      <c r="AD47" s="11" t="s">
        <v>1985</v>
      </c>
    </row>
    <row r="48" spans="1:30" ht="15" customHeight="1">
      <c r="A48" s="94" t="str">
        <f t="shared" si="1"/>
        <v/>
      </c>
      <c r="B48" s="94" t="str">
        <f t="shared" si="2"/>
        <v/>
      </c>
      <c r="C48" s="94"/>
      <c r="D48" s="94"/>
      <c r="E48" s="94" t="str">
        <f t="shared" si="3"/>
        <v/>
      </c>
      <c r="F48" s="94" t="str">
        <f t="shared" si="4"/>
        <v/>
      </c>
      <c r="G48" s="94" t="str">
        <f t="shared" si="5"/>
        <v/>
      </c>
      <c r="H48" s="96" t="str">
        <f t="shared" si="6"/>
        <v/>
      </c>
      <c r="I48" s="94" t="str">
        <f t="shared" si="7"/>
        <v/>
      </c>
      <c r="J48" s="94" t="str">
        <f t="shared" si="8"/>
        <v/>
      </c>
      <c r="K48" s="94" t="str">
        <f t="shared" si="9"/>
        <v/>
      </c>
      <c r="L48" s="94" t="str">
        <f t="shared" si="10"/>
        <v/>
      </c>
      <c r="M48" s="312" t="str" cm="1">
        <f t="array" aca="1" ref="M48" ca="1">_xlfn.LET(_xlpm.퇴실일, _xlfn.XLOOKUP(_xlfn.CONCAT(C48,D48),■퇴실정보!$B$4:$B$1000&amp;■퇴실정보!$C$4:$C$1000,■퇴실정보!$E$4:$E$1000,0,0,-1),IF(TODAY()-_xlpm.퇴실일&gt;1000,"",TODAY()-_xlpm.퇴실일))</f>
        <v/>
      </c>
      <c r="N48" s="95" t="str" cm="1">
        <f t="array" ref="N48">IF($C48="","",_xlfn.XLOOKUP(_xlfn.CONCAT($C48,$D48),◆관리정보!$B:$B &amp; ◆관리정보!$C:$C,◆관리정보!$J:$J))</f>
        <v/>
      </c>
      <c r="O48" s="93"/>
      <c r="Q48" s="204"/>
      <c r="R48" s="204"/>
      <c r="T48" s="11" t="s">
        <v>1983</v>
      </c>
      <c r="U48" s="11">
        <v>10</v>
      </c>
      <c r="V48" s="11" t="s">
        <v>2073</v>
      </c>
      <c r="W48" s="11">
        <v>50</v>
      </c>
      <c r="X48" s="11">
        <v>50</v>
      </c>
      <c r="Y48" s="67">
        <v>50</v>
      </c>
      <c r="Z48" s="11">
        <v>7</v>
      </c>
      <c r="AA48" s="11" t="s">
        <v>1499</v>
      </c>
      <c r="AB48" s="11" t="s">
        <v>1499</v>
      </c>
      <c r="AC48" s="11">
        <v>8</v>
      </c>
      <c r="AD48" s="11" t="s">
        <v>1985</v>
      </c>
    </row>
    <row r="49" spans="1:30" ht="15" customHeight="1">
      <c r="A49" s="94" t="str">
        <f t="shared" si="1"/>
        <v/>
      </c>
      <c r="B49" s="94" t="str">
        <f t="shared" si="2"/>
        <v/>
      </c>
      <c r="C49" s="94"/>
      <c r="D49" s="94"/>
      <c r="E49" s="94" t="str">
        <f t="shared" si="3"/>
        <v/>
      </c>
      <c r="F49" s="94" t="str">
        <f t="shared" si="4"/>
        <v/>
      </c>
      <c r="G49" s="94" t="str">
        <f t="shared" si="5"/>
        <v/>
      </c>
      <c r="H49" s="96" t="str">
        <f t="shared" si="6"/>
        <v/>
      </c>
      <c r="I49" s="94" t="str">
        <f t="shared" si="7"/>
        <v/>
      </c>
      <c r="J49" s="94" t="str">
        <f t="shared" si="8"/>
        <v/>
      </c>
      <c r="K49" s="94" t="str">
        <f t="shared" si="9"/>
        <v/>
      </c>
      <c r="L49" s="94" t="str">
        <f t="shared" si="10"/>
        <v/>
      </c>
      <c r="M49" s="312" t="str" cm="1">
        <f t="array" aca="1" ref="M49" ca="1">_xlfn.LET(_xlpm.퇴실일, _xlfn.XLOOKUP(_xlfn.CONCAT(C49,D49),■퇴실정보!$B$4:$B$1000&amp;■퇴실정보!$C$4:$C$1000,■퇴실정보!$E$4:$E$1000,0,0,-1),IF(TODAY()-_xlpm.퇴실일&gt;1000,"",TODAY()-_xlpm.퇴실일))</f>
        <v/>
      </c>
      <c r="N49" s="95" t="str" cm="1">
        <f t="array" ref="N49">IF($C49="","",_xlfn.XLOOKUP(_xlfn.CONCAT($C49,$D49),◆관리정보!$B:$B &amp; ◆관리정보!$C:$C,◆관리정보!$J:$J))</f>
        <v/>
      </c>
      <c r="O49" s="93"/>
      <c r="Q49" s="204"/>
      <c r="R49" s="204"/>
      <c r="T49" s="11" t="s">
        <v>1983</v>
      </c>
      <c r="U49" s="11">
        <v>10</v>
      </c>
      <c r="V49" s="11" t="s">
        <v>2074</v>
      </c>
      <c r="W49" s="11">
        <v>50</v>
      </c>
      <c r="X49" s="11">
        <v>50</v>
      </c>
      <c r="Y49" s="67">
        <v>50</v>
      </c>
      <c r="Z49" s="11">
        <v>7</v>
      </c>
      <c r="AA49" s="11" t="s">
        <v>1499</v>
      </c>
      <c r="AB49" s="11" t="s">
        <v>1499</v>
      </c>
      <c r="AC49" s="11">
        <v>8</v>
      </c>
      <c r="AD49" s="11" t="s">
        <v>1985</v>
      </c>
    </row>
    <row r="50" spans="1:30" ht="15" customHeight="1">
      <c r="A50" s="94" t="str">
        <f t="shared" si="1"/>
        <v/>
      </c>
      <c r="B50" s="94" t="str">
        <f t="shared" si="2"/>
        <v/>
      </c>
      <c r="C50" s="94"/>
      <c r="D50" s="94"/>
      <c r="E50" s="94" t="str">
        <f t="shared" si="3"/>
        <v/>
      </c>
      <c r="F50" s="94" t="str">
        <f t="shared" si="4"/>
        <v/>
      </c>
      <c r="G50" s="94" t="str">
        <f t="shared" si="5"/>
        <v/>
      </c>
      <c r="H50" s="96" t="str">
        <f t="shared" si="6"/>
        <v/>
      </c>
      <c r="I50" s="94" t="str">
        <f t="shared" si="7"/>
        <v/>
      </c>
      <c r="J50" s="94" t="str">
        <f t="shared" si="8"/>
        <v/>
      </c>
      <c r="K50" s="94" t="str">
        <f t="shared" si="9"/>
        <v/>
      </c>
      <c r="L50" s="94" t="str">
        <f t="shared" si="10"/>
        <v/>
      </c>
      <c r="M50" s="312" t="str" cm="1">
        <f t="array" aca="1" ref="M50" ca="1">_xlfn.LET(_xlpm.퇴실일, _xlfn.XLOOKUP(_xlfn.CONCAT(C50,D50),■퇴실정보!$B$4:$B$1000&amp;■퇴실정보!$C$4:$C$1000,■퇴실정보!$E$4:$E$1000,0,0,-1),IF(TODAY()-_xlpm.퇴실일&gt;1000,"",TODAY()-_xlpm.퇴실일))</f>
        <v/>
      </c>
      <c r="N50" s="95" t="str" cm="1">
        <f t="array" ref="N50">IF($C50="","",_xlfn.XLOOKUP(_xlfn.CONCAT($C50,$D50),◆관리정보!$B:$B &amp; ◆관리정보!$C:$C,◆관리정보!$J:$J))</f>
        <v/>
      </c>
      <c r="O50" s="93"/>
      <c r="Q50" s="204"/>
      <c r="R50" s="204"/>
      <c r="T50" s="11" t="s">
        <v>1983</v>
      </c>
      <c r="U50" s="11">
        <v>10</v>
      </c>
      <c r="V50" s="11" t="s">
        <v>2075</v>
      </c>
      <c r="W50" s="11">
        <v>50</v>
      </c>
      <c r="X50" s="11">
        <v>50</v>
      </c>
      <c r="Y50" s="67">
        <v>50</v>
      </c>
      <c r="Z50" s="11">
        <v>7</v>
      </c>
      <c r="AA50" s="11" t="s">
        <v>1499</v>
      </c>
      <c r="AB50" s="11" t="s">
        <v>1499</v>
      </c>
      <c r="AC50" s="11">
        <v>8</v>
      </c>
      <c r="AD50" s="11" t="s">
        <v>1985</v>
      </c>
    </row>
    <row r="51" spans="1:30" ht="15" customHeight="1">
      <c r="T51" s="234" t="s">
        <v>1983</v>
      </c>
      <c r="U51" s="234"/>
      <c r="V51" s="234" t="s">
        <v>2076</v>
      </c>
      <c r="W51" s="234"/>
      <c r="X51" s="234"/>
      <c r="Y51" s="234"/>
      <c r="Z51" s="234"/>
      <c r="AA51" s="234"/>
      <c r="AB51" s="234"/>
      <c r="AC51" s="234"/>
      <c r="AD51" s="234" t="s">
        <v>1985</v>
      </c>
    </row>
    <row r="52" spans="1:30" ht="15" customHeight="1">
      <c r="T52" s="11" t="s">
        <v>1983</v>
      </c>
      <c r="U52" s="11">
        <v>10</v>
      </c>
      <c r="V52" s="11" t="s">
        <v>2077</v>
      </c>
      <c r="W52" s="11">
        <v>50</v>
      </c>
      <c r="X52" s="11">
        <v>50</v>
      </c>
      <c r="Y52" s="67">
        <v>50</v>
      </c>
      <c r="Z52" s="11">
        <v>7</v>
      </c>
      <c r="AA52" s="11" t="s">
        <v>1499</v>
      </c>
      <c r="AB52" s="11" t="s">
        <v>1499</v>
      </c>
      <c r="AC52" s="11">
        <v>8</v>
      </c>
      <c r="AD52" s="11" t="s">
        <v>1985</v>
      </c>
    </row>
    <row r="53" spans="1:30" ht="15" customHeight="1">
      <c r="T53" s="11" t="s">
        <v>1983</v>
      </c>
      <c r="U53" s="11">
        <v>10</v>
      </c>
      <c r="V53" s="11" t="s">
        <v>2078</v>
      </c>
      <c r="W53" s="11">
        <v>50</v>
      </c>
      <c r="X53" s="11">
        <v>50</v>
      </c>
      <c r="Y53" s="67">
        <v>50</v>
      </c>
      <c r="Z53" s="11">
        <v>7</v>
      </c>
      <c r="AA53" s="11" t="s">
        <v>1499</v>
      </c>
      <c r="AB53" s="11" t="s">
        <v>1499</v>
      </c>
      <c r="AC53" s="11">
        <v>8</v>
      </c>
      <c r="AD53" s="11" t="s">
        <v>1985</v>
      </c>
    </row>
    <row r="54" spans="1:30" ht="15" customHeight="1">
      <c r="T54" s="11" t="s">
        <v>1983</v>
      </c>
      <c r="U54" s="11">
        <v>10</v>
      </c>
      <c r="V54" s="11" t="s">
        <v>2079</v>
      </c>
      <c r="W54" s="11">
        <v>55</v>
      </c>
      <c r="X54" s="11">
        <v>55</v>
      </c>
      <c r="Y54" s="67">
        <v>55</v>
      </c>
      <c r="Z54" s="11">
        <v>8</v>
      </c>
      <c r="AA54" s="11" t="s">
        <v>1499</v>
      </c>
      <c r="AB54" s="11" t="s">
        <v>1499</v>
      </c>
      <c r="AC54" s="11">
        <v>10</v>
      </c>
      <c r="AD54" s="11" t="s">
        <v>2070</v>
      </c>
    </row>
    <row r="55" spans="1:30" ht="15" customHeight="1">
      <c r="T55" s="11" t="s">
        <v>1983</v>
      </c>
      <c r="U55" s="11">
        <v>10</v>
      </c>
      <c r="V55" s="11" t="s">
        <v>2080</v>
      </c>
      <c r="W55" s="11">
        <v>50</v>
      </c>
      <c r="X55" s="11">
        <v>50</v>
      </c>
      <c r="Y55" s="67">
        <v>50</v>
      </c>
      <c r="Z55" s="11">
        <v>7</v>
      </c>
      <c r="AA55" s="11" t="s">
        <v>1499</v>
      </c>
      <c r="AB55" s="11" t="s">
        <v>1499</v>
      </c>
      <c r="AC55" s="11">
        <v>8</v>
      </c>
      <c r="AD55" s="11" t="s">
        <v>1985</v>
      </c>
    </row>
    <row r="56" spans="1:30" ht="15" customHeight="1">
      <c r="T56" s="11" t="s">
        <v>1983</v>
      </c>
      <c r="U56" s="11">
        <v>10</v>
      </c>
      <c r="V56" s="11" t="s">
        <v>2081</v>
      </c>
      <c r="W56" s="11">
        <v>50</v>
      </c>
      <c r="X56" s="11">
        <v>50</v>
      </c>
      <c r="Y56" s="67">
        <v>50</v>
      </c>
      <c r="Z56" s="11">
        <v>7</v>
      </c>
      <c r="AA56" s="11" t="s">
        <v>1499</v>
      </c>
      <c r="AB56" s="11" t="s">
        <v>1499</v>
      </c>
      <c r="AC56" s="11">
        <v>8</v>
      </c>
      <c r="AD56" s="11" t="s">
        <v>1985</v>
      </c>
    </row>
    <row r="57" spans="1:30" ht="15" customHeight="1">
      <c r="T57" s="11" t="s">
        <v>1983</v>
      </c>
      <c r="U57" s="11">
        <v>10</v>
      </c>
      <c r="V57" s="11" t="s">
        <v>2082</v>
      </c>
      <c r="W57" s="11">
        <v>50</v>
      </c>
      <c r="X57" s="11">
        <v>50</v>
      </c>
      <c r="Y57" s="67">
        <v>50</v>
      </c>
      <c r="Z57" s="11">
        <v>7</v>
      </c>
      <c r="AA57" s="11" t="s">
        <v>1499</v>
      </c>
      <c r="AB57" s="11" t="s">
        <v>1499</v>
      </c>
      <c r="AC57" s="11">
        <v>8</v>
      </c>
      <c r="AD57" s="11" t="s">
        <v>1985</v>
      </c>
    </row>
    <row r="58" spans="1:30" ht="15" customHeight="1">
      <c r="T58" s="11" t="s">
        <v>1983</v>
      </c>
      <c r="U58" s="11">
        <v>10</v>
      </c>
      <c r="V58" s="11" t="s">
        <v>2083</v>
      </c>
      <c r="W58" s="11">
        <v>50</v>
      </c>
      <c r="X58" s="11">
        <v>50</v>
      </c>
      <c r="Y58" s="67">
        <v>50</v>
      </c>
      <c r="Z58" s="11">
        <v>7</v>
      </c>
      <c r="AA58" s="11" t="s">
        <v>1499</v>
      </c>
      <c r="AB58" s="11" t="s">
        <v>1499</v>
      </c>
      <c r="AC58" s="11">
        <v>8</v>
      </c>
      <c r="AD58" s="11" t="s">
        <v>1985</v>
      </c>
    </row>
    <row r="59" spans="1:30" ht="15" customHeight="1">
      <c r="T59" s="11" t="s">
        <v>1983</v>
      </c>
      <c r="U59" s="11">
        <v>10</v>
      </c>
      <c r="V59" s="11" t="s">
        <v>2084</v>
      </c>
      <c r="W59" s="11">
        <v>50</v>
      </c>
      <c r="X59" s="11">
        <v>50</v>
      </c>
      <c r="Y59" s="67">
        <v>50</v>
      </c>
      <c r="Z59" s="11">
        <v>7</v>
      </c>
      <c r="AA59" s="11" t="s">
        <v>1499</v>
      </c>
      <c r="AB59" s="11" t="s">
        <v>1499</v>
      </c>
      <c r="AC59" s="11">
        <v>8</v>
      </c>
      <c r="AD59" s="11" t="s">
        <v>1985</v>
      </c>
    </row>
    <row r="60" spans="1:30" ht="15" customHeight="1">
      <c r="T60" s="234"/>
      <c r="U60" s="234"/>
      <c r="V60" s="234" t="s">
        <v>2085</v>
      </c>
      <c r="W60" s="234"/>
      <c r="X60" s="234"/>
      <c r="Y60" s="234"/>
      <c r="Z60" s="234"/>
      <c r="AA60" s="234"/>
      <c r="AB60" s="234"/>
      <c r="AC60" s="234"/>
      <c r="AD60" s="234" t="s">
        <v>1985</v>
      </c>
    </row>
    <row r="61" spans="1:30" ht="15" customHeight="1">
      <c r="T61" s="11" t="s">
        <v>1983</v>
      </c>
      <c r="U61" s="11">
        <v>10</v>
      </c>
      <c r="V61" s="11" t="s">
        <v>2086</v>
      </c>
      <c r="W61" s="11">
        <v>50</v>
      </c>
      <c r="X61" s="11">
        <v>50</v>
      </c>
      <c r="Y61" s="67">
        <v>50</v>
      </c>
      <c r="Z61" s="11">
        <v>7</v>
      </c>
      <c r="AA61" s="11" t="s">
        <v>1499</v>
      </c>
      <c r="AB61" s="11" t="s">
        <v>1499</v>
      </c>
      <c r="AC61" s="11">
        <v>8</v>
      </c>
      <c r="AD61" s="11" t="s">
        <v>1985</v>
      </c>
    </row>
    <row r="62" spans="1:30" ht="15" customHeight="1">
      <c r="T62" s="11" t="s">
        <v>1983</v>
      </c>
      <c r="U62" s="11">
        <v>10</v>
      </c>
      <c r="V62" s="11" t="s">
        <v>2087</v>
      </c>
      <c r="W62" s="11">
        <v>55</v>
      </c>
      <c r="X62" s="11">
        <v>55</v>
      </c>
      <c r="Y62" s="67">
        <v>55</v>
      </c>
      <c r="Z62" s="11">
        <v>7</v>
      </c>
      <c r="AA62" s="11" t="s">
        <v>1499</v>
      </c>
      <c r="AB62" s="11" t="s">
        <v>1499</v>
      </c>
      <c r="AC62" s="11">
        <v>8</v>
      </c>
      <c r="AD62" s="11" t="s">
        <v>2088</v>
      </c>
    </row>
    <row r="63" spans="1:30" ht="15" customHeight="1">
      <c r="T63" s="11" t="s">
        <v>1983</v>
      </c>
      <c r="U63" s="11">
        <v>10</v>
      </c>
      <c r="V63" s="11" t="s">
        <v>2089</v>
      </c>
      <c r="W63" s="11">
        <v>55</v>
      </c>
      <c r="X63" s="11">
        <v>55</v>
      </c>
      <c r="Y63" s="67">
        <v>55</v>
      </c>
      <c r="Z63" s="11">
        <v>8</v>
      </c>
      <c r="AA63" s="11" t="s">
        <v>1499</v>
      </c>
      <c r="AB63" s="11" t="s">
        <v>1499</v>
      </c>
      <c r="AC63" s="11">
        <v>10</v>
      </c>
      <c r="AD63" s="11" t="s">
        <v>2070</v>
      </c>
    </row>
    <row r="64" spans="1:30" ht="15" customHeight="1">
      <c r="T64" s="11" t="s">
        <v>1983</v>
      </c>
      <c r="U64" s="11">
        <v>10</v>
      </c>
      <c r="V64" s="11" t="s">
        <v>2090</v>
      </c>
      <c r="W64" s="11">
        <v>50</v>
      </c>
      <c r="X64" s="11">
        <v>50</v>
      </c>
      <c r="Y64" s="67">
        <v>50</v>
      </c>
      <c r="Z64" s="11">
        <v>7</v>
      </c>
      <c r="AA64" s="11" t="s">
        <v>1499</v>
      </c>
      <c r="AB64" s="11" t="s">
        <v>1499</v>
      </c>
      <c r="AC64" s="11">
        <v>8</v>
      </c>
      <c r="AD64" s="11" t="s">
        <v>1985</v>
      </c>
    </row>
    <row r="65" spans="20:30" ht="15" customHeight="1">
      <c r="T65" s="11" t="s">
        <v>1983</v>
      </c>
      <c r="U65" s="11">
        <v>10</v>
      </c>
      <c r="V65" s="11" t="s">
        <v>2091</v>
      </c>
      <c r="W65" s="11">
        <v>50</v>
      </c>
      <c r="X65" s="11">
        <v>50</v>
      </c>
      <c r="Y65" s="67">
        <v>50</v>
      </c>
      <c r="Z65" s="11">
        <v>7</v>
      </c>
      <c r="AA65" s="11" t="s">
        <v>1499</v>
      </c>
      <c r="AB65" s="11" t="s">
        <v>1499</v>
      </c>
      <c r="AC65" s="11">
        <v>8</v>
      </c>
      <c r="AD65" s="11" t="s">
        <v>1985</v>
      </c>
    </row>
    <row r="66" spans="20:30" ht="15" customHeight="1">
      <c r="T66" s="11" t="s">
        <v>1983</v>
      </c>
      <c r="U66" s="11">
        <v>10</v>
      </c>
      <c r="V66" s="11" t="s">
        <v>2092</v>
      </c>
      <c r="W66" s="11">
        <v>50</v>
      </c>
      <c r="X66" s="11">
        <v>50</v>
      </c>
      <c r="Y66" s="67">
        <v>50</v>
      </c>
      <c r="Z66" s="11">
        <v>7</v>
      </c>
      <c r="AA66" s="11" t="s">
        <v>1499</v>
      </c>
      <c r="AB66" s="11" t="s">
        <v>1499</v>
      </c>
      <c r="AC66" s="11">
        <v>8</v>
      </c>
      <c r="AD66" s="11" t="s">
        <v>1985</v>
      </c>
    </row>
    <row r="67" spans="20:30" ht="15" customHeight="1">
      <c r="T67" s="11" t="s">
        <v>1983</v>
      </c>
      <c r="U67" s="11">
        <v>10</v>
      </c>
      <c r="V67" s="11" t="s">
        <v>2093</v>
      </c>
      <c r="W67" s="11">
        <v>50</v>
      </c>
      <c r="X67" s="11">
        <v>50</v>
      </c>
      <c r="Y67" s="67">
        <v>50</v>
      </c>
      <c r="Z67" s="11">
        <v>7</v>
      </c>
      <c r="AA67" s="11" t="s">
        <v>1499</v>
      </c>
      <c r="AB67" s="11" t="s">
        <v>1499</v>
      </c>
      <c r="AC67" s="11">
        <v>8</v>
      </c>
      <c r="AD67" s="11" t="s">
        <v>1985</v>
      </c>
    </row>
    <row r="68" spans="20:30" ht="15" customHeight="1">
      <c r="T68" s="11" t="s">
        <v>1983</v>
      </c>
      <c r="U68" s="11">
        <v>10</v>
      </c>
      <c r="V68" s="11" t="s">
        <v>2094</v>
      </c>
      <c r="W68" s="11">
        <v>50</v>
      </c>
      <c r="X68" s="11">
        <v>50</v>
      </c>
      <c r="Y68" s="67">
        <v>50</v>
      </c>
      <c r="Z68" s="11">
        <v>7</v>
      </c>
      <c r="AA68" s="11" t="s">
        <v>1499</v>
      </c>
      <c r="AB68" s="11" t="s">
        <v>1499</v>
      </c>
      <c r="AC68" s="11">
        <v>8</v>
      </c>
      <c r="AD68" s="11" t="s">
        <v>1985</v>
      </c>
    </row>
    <row r="69" spans="20:30" ht="15" customHeight="1">
      <c r="T69" s="11" t="s">
        <v>1983</v>
      </c>
      <c r="U69" s="11">
        <v>10</v>
      </c>
      <c r="V69" s="11" t="s">
        <v>2095</v>
      </c>
      <c r="W69" s="11">
        <v>55</v>
      </c>
      <c r="X69" s="11">
        <v>55</v>
      </c>
      <c r="Y69" s="67">
        <v>55</v>
      </c>
      <c r="Z69" s="11">
        <v>8</v>
      </c>
      <c r="AA69" s="11" t="s">
        <v>1499</v>
      </c>
      <c r="AB69" s="11" t="s">
        <v>1499</v>
      </c>
      <c r="AC69" s="11">
        <v>10</v>
      </c>
      <c r="AD69" s="11" t="s">
        <v>2070</v>
      </c>
    </row>
    <row r="70" spans="20:30" ht="15" customHeight="1">
      <c r="T70" s="11" t="s">
        <v>1983</v>
      </c>
      <c r="U70" s="11" t="s">
        <v>1983</v>
      </c>
      <c r="V70" s="11" t="s">
        <v>2096</v>
      </c>
      <c r="W70" s="11" t="s">
        <v>1983</v>
      </c>
      <c r="X70" s="11" t="s">
        <v>1983</v>
      </c>
      <c r="Y70" s="67" t="s">
        <v>1983</v>
      </c>
      <c r="Z70" s="11" t="s">
        <v>1983</v>
      </c>
      <c r="AA70" s="11" t="s">
        <v>1983</v>
      </c>
      <c r="AB70" s="11" t="s">
        <v>1983</v>
      </c>
      <c r="AC70" s="11" t="s">
        <v>1983</v>
      </c>
      <c r="AD70" s="11"/>
    </row>
    <row r="71" spans="20:30" ht="15" customHeight="1">
      <c r="T71" s="11" t="s">
        <v>1983</v>
      </c>
      <c r="U71" s="11">
        <v>0.4</v>
      </c>
      <c r="V71" s="11" t="s">
        <v>2097</v>
      </c>
      <c r="W71" s="11">
        <v>2000</v>
      </c>
      <c r="X71" s="11">
        <v>280</v>
      </c>
      <c r="Y71" s="67">
        <v>280</v>
      </c>
      <c r="Z71" s="11">
        <v>20</v>
      </c>
      <c r="AA71" s="11" t="s">
        <v>1777</v>
      </c>
      <c r="AB71" s="11" t="s">
        <v>1777</v>
      </c>
      <c r="AC71" s="11" t="s">
        <v>1983</v>
      </c>
      <c r="AD71" s="11" t="s">
        <v>1989</v>
      </c>
    </row>
    <row r="72" spans="20:30" ht="15" customHeight="1">
      <c r="T72" s="11" t="s">
        <v>1983</v>
      </c>
      <c r="U72" s="11" t="s">
        <v>1983</v>
      </c>
      <c r="V72" s="11" t="s">
        <v>2098</v>
      </c>
      <c r="W72" s="11" t="s">
        <v>1983</v>
      </c>
      <c r="X72" s="11" t="s">
        <v>1983</v>
      </c>
      <c r="Y72" s="67" t="s">
        <v>1983</v>
      </c>
      <c r="Z72" s="11" t="s">
        <v>1983</v>
      </c>
      <c r="AA72" s="11" t="s">
        <v>1983</v>
      </c>
      <c r="AB72" s="11" t="s">
        <v>1983</v>
      </c>
      <c r="AC72" s="11" t="s">
        <v>1983</v>
      </c>
      <c r="AD72" s="11"/>
    </row>
    <row r="73" spans="20:30" ht="15" customHeight="1">
      <c r="T73" s="11" t="s">
        <v>1983</v>
      </c>
      <c r="U73" s="11">
        <v>15</v>
      </c>
      <c r="V73" s="11" t="s">
        <v>2099</v>
      </c>
      <c r="W73" s="11">
        <v>135</v>
      </c>
      <c r="X73" s="11">
        <v>135</v>
      </c>
      <c r="Y73" s="67">
        <v>130</v>
      </c>
      <c r="Z73" s="11">
        <v>8</v>
      </c>
      <c r="AA73" s="11">
        <v>2.5</v>
      </c>
      <c r="AB73" s="11">
        <v>2.5</v>
      </c>
      <c r="AC73" s="11">
        <v>18</v>
      </c>
      <c r="AD73" s="11" t="s">
        <v>1985</v>
      </c>
    </row>
    <row r="74" spans="20:30" ht="15" customHeight="1">
      <c r="T74" s="11" t="s">
        <v>1983</v>
      </c>
      <c r="U74" s="11">
        <v>15</v>
      </c>
      <c r="V74" s="11" t="s">
        <v>2100</v>
      </c>
      <c r="W74" s="11">
        <v>135</v>
      </c>
      <c r="X74" s="11">
        <v>135</v>
      </c>
      <c r="Y74" s="67">
        <v>130</v>
      </c>
      <c r="Z74" s="11">
        <v>8</v>
      </c>
      <c r="AA74" s="11">
        <v>2.5</v>
      </c>
      <c r="AB74" s="11">
        <v>2.5</v>
      </c>
      <c r="AC74" s="11">
        <v>18</v>
      </c>
      <c r="AD74" s="11" t="s">
        <v>1985</v>
      </c>
    </row>
    <row r="75" spans="20:30" ht="15" customHeight="1">
      <c r="T75" s="11" t="s">
        <v>1983</v>
      </c>
      <c r="U75" s="11">
        <v>15</v>
      </c>
      <c r="V75" s="11" t="s">
        <v>2101</v>
      </c>
      <c r="W75" s="11">
        <v>135</v>
      </c>
      <c r="X75" s="11">
        <v>135</v>
      </c>
      <c r="Y75" s="67">
        <v>130</v>
      </c>
      <c r="Z75" s="11">
        <v>8</v>
      </c>
      <c r="AA75" s="11">
        <v>2.5</v>
      </c>
      <c r="AB75" s="11">
        <v>2.5</v>
      </c>
      <c r="AC75" s="11">
        <v>18</v>
      </c>
      <c r="AD75" s="11" t="s">
        <v>1985</v>
      </c>
    </row>
    <row r="76" spans="20:30" ht="15" customHeight="1">
      <c r="T76" s="11" t="s">
        <v>1983</v>
      </c>
      <c r="U76" s="11">
        <v>15</v>
      </c>
      <c r="V76" s="11" t="s">
        <v>2102</v>
      </c>
      <c r="W76" s="11">
        <v>135</v>
      </c>
      <c r="X76" s="11">
        <v>135</v>
      </c>
      <c r="Y76" s="67">
        <v>130</v>
      </c>
      <c r="Z76" s="11">
        <v>8</v>
      </c>
      <c r="AA76" s="11">
        <v>2.5</v>
      </c>
      <c r="AB76" s="11">
        <v>2.5</v>
      </c>
      <c r="AC76" s="11">
        <v>18</v>
      </c>
      <c r="AD76" s="11" t="s">
        <v>1985</v>
      </c>
    </row>
    <row r="77" spans="20:30" ht="15" customHeight="1">
      <c r="T77" s="11" t="s">
        <v>1983</v>
      </c>
      <c r="U77" s="11">
        <v>15</v>
      </c>
      <c r="V77" s="11" t="s">
        <v>2103</v>
      </c>
      <c r="W77" s="11">
        <v>135</v>
      </c>
      <c r="X77" s="11">
        <v>135</v>
      </c>
      <c r="Y77" s="67">
        <v>130</v>
      </c>
      <c r="Z77" s="11">
        <v>8</v>
      </c>
      <c r="AA77" s="11">
        <v>2.5</v>
      </c>
      <c r="AB77" s="11">
        <v>2.5</v>
      </c>
      <c r="AC77" s="11">
        <v>18</v>
      </c>
      <c r="AD77" s="11" t="s">
        <v>1985</v>
      </c>
    </row>
    <row r="78" spans="20:30" ht="15" customHeight="1">
      <c r="T78" s="11" t="s">
        <v>1983</v>
      </c>
      <c r="U78" s="11">
        <v>25</v>
      </c>
      <c r="V78" s="11" t="s">
        <v>2104</v>
      </c>
      <c r="W78" s="11">
        <v>235</v>
      </c>
      <c r="X78" s="11">
        <v>235</v>
      </c>
      <c r="Y78" s="67">
        <v>230</v>
      </c>
      <c r="Z78" s="11">
        <v>15</v>
      </c>
      <c r="AA78" s="11">
        <v>3</v>
      </c>
      <c r="AB78" s="11">
        <v>2.5</v>
      </c>
      <c r="AC78" s="11">
        <v>25</v>
      </c>
      <c r="AD78" s="11" t="s">
        <v>2105</v>
      </c>
    </row>
    <row r="79" spans="20:30" ht="15" customHeight="1">
      <c r="T79" s="11" t="s">
        <v>1983</v>
      </c>
      <c r="U79" s="11">
        <v>25</v>
      </c>
      <c r="V79" s="11" t="s">
        <v>2106</v>
      </c>
      <c r="W79" s="11">
        <v>235</v>
      </c>
      <c r="X79" s="11">
        <v>235</v>
      </c>
      <c r="Y79" s="67">
        <v>230</v>
      </c>
      <c r="Z79" s="11">
        <v>15</v>
      </c>
      <c r="AA79" s="11">
        <v>3</v>
      </c>
      <c r="AB79" s="11">
        <v>2.5</v>
      </c>
      <c r="AC79" s="11">
        <v>25</v>
      </c>
      <c r="AD79" s="11" t="s">
        <v>2105</v>
      </c>
    </row>
    <row r="80" spans="20:30" ht="15" customHeight="1">
      <c r="T80" s="11" t="s">
        <v>1983</v>
      </c>
      <c r="U80" s="11">
        <v>25</v>
      </c>
      <c r="V80" s="11" t="s">
        <v>2107</v>
      </c>
      <c r="W80" s="11">
        <v>235</v>
      </c>
      <c r="X80" s="11">
        <v>235</v>
      </c>
      <c r="Y80" s="67">
        <v>230</v>
      </c>
      <c r="Z80" s="11">
        <v>15</v>
      </c>
      <c r="AA80" s="11">
        <v>3</v>
      </c>
      <c r="AB80" s="11">
        <v>2.5</v>
      </c>
      <c r="AC80" s="11">
        <v>25</v>
      </c>
      <c r="AD80" s="11" t="s">
        <v>2105</v>
      </c>
    </row>
    <row r="81" spans="20:30" ht="15" customHeight="1">
      <c r="T81" s="11" t="s">
        <v>1983</v>
      </c>
      <c r="U81" s="11">
        <v>15</v>
      </c>
      <c r="V81" s="11" t="s">
        <v>2108</v>
      </c>
      <c r="W81" s="11">
        <v>135</v>
      </c>
      <c r="X81" s="11">
        <v>135</v>
      </c>
      <c r="Y81" s="67">
        <v>130</v>
      </c>
      <c r="Z81" s="11">
        <v>8</v>
      </c>
      <c r="AA81" s="11">
        <v>2.5</v>
      </c>
      <c r="AB81" s="11">
        <v>2.5</v>
      </c>
      <c r="AC81" s="11">
        <v>18</v>
      </c>
      <c r="AD81" s="11" t="s">
        <v>1985</v>
      </c>
    </row>
    <row r="82" spans="20:30" ht="15" customHeight="1">
      <c r="T82" s="11" t="s">
        <v>1983</v>
      </c>
      <c r="U82" s="11">
        <v>25</v>
      </c>
      <c r="V82" s="11" t="s">
        <v>2109</v>
      </c>
      <c r="W82" s="11">
        <v>235</v>
      </c>
      <c r="X82" s="11">
        <v>235</v>
      </c>
      <c r="Y82" s="67">
        <v>230</v>
      </c>
      <c r="Z82" s="11">
        <v>15</v>
      </c>
      <c r="AA82" s="11">
        <v>3</v>
      </c>
      <c r="AB82" s="11">
        <v>2.5</v>
      </c>
      <c r="AC82" s="11">
        <v>25</v>
      </c>
      <c r="AD82" s="11" t="s">
        <v>2105</v>
      </c>
    </row>
    <row r="83" spans="20:30" ht="15" customHeight="1">
      <c r="T83" s="11" t="s">
        <v>1983</v>
      </c>
      <c r="U83" s="11">
        <v>25</v>
      </c>
      <c r="V83" s="11" t="s">
        <v>2110</v>
      </c>
      <c r="W83" s="11">
        <v>235</v>
      </c>
      <c r="X83" s="11">
        <v>235</v>
      </c>
      <c r="Y83" s="67">
        <v>230</v>
      </c>
      <c r="Z83" s="11">
        <v>15</v>
      </c>
      <c r="AA83" s="11">
        <v>3</v>
      </c>
      <c r="AB83" s="11">
        <v>2.5</v>
      </c>
      <c r="AC83" s="11">
        <v>25</v>
      </c>
      <c r="AD83" s="11" t="s">
        <v>2105</v>
      </c>
    </row>
    <row r="84" spans="20:30" ht="15" customHeight="1">
      <c r="T84" s="11" t="s">
        <v>1983</v>
      </c>
      <c r="U84" s="11">
        <v>20</v>
      </c>
      <c r="V84" s="11" t="s">
        <v>2111</v>
      </c>
      <c r="W84" s="11">
        <v>195</v>
      </c>
      <c r="X84" s="11">
        <v>195</v>
      </c>
      <c r="Y84" s="67">
        <v>190</v>
      </c>
      <c r="Z84" s="11">
        <v>15</v>
      </c>
      <c r="AA84" s="11">
        <v>3</v>
      </c>
      <c r="AB84" s="11">
        <v>2.5</v>
      </c>
      <c r="AC84" s="11">
        <v>25</v>
      </c>
      <c r="AD84" s="11" t="s">
        <v>2105</v>
      </c>
    </row>
    <row r="85" spans="20:30" ht="15" customHeight="1">
      <c r="T85" s="11" t="s">
        <v>1983</v>
      </c>
      <c r="U85" s="11">
        <v>20</v>
      </c>
      <c r="V85" s="11" t="s">
        <v>2112</v>
      </c>
      <c r="W85" s="11">
        <v>170</v>
      </c>
      <c r="X85" s="11">
        <v>170</v>
      </c>
      <c r="Y85" s="67">
        <v>165</v>
      </c>
      <c r="Z85" s="11">
        <v>15</v>
      </c>
      <c r="AA85" s="11">
        <v>2.5</v>
      </c>
      <c r="AB85" s="11">
        <v>2.5</v>
      </c>
      <c r="AC85" s="11">
        <v>20</v>
      </c>
      <c r="AD85" s="11" t="s">
        <v>2113</v>
      </c>
    </row>
    <row r="86" spans="20:30" ht="15" customHeight="1">
      <c r="T86" s="11" t="s">
        <v>1983</v>
      </c>
      <c r="U86" s="11">
        <v>20</v>
      </c>
      <c r="V86" s="11" t="s">
        <v>2114</v>
      </c>
      <c r="W86" s="11">
        <v>170</v>
      </c>
      <c r="X86" s="11">
        <v>170</v>
      </c>
      <c r="Y86" s="67">
        <v>165</v>
      </c>
      <c r="Z86" s="11">
        <v>15</v>
      </c>
      <c r="AA86" s="11">
        <v>2.5</v>
      </c>
      <c r="AB86" s="11">
        <v>2.5</v>
      </c>
      <c r="AC86" s="11">
        <v>20</v>
      </c>
      <c r="AD86" s="11" t="s">
        <v>2113</v>
      </c>
    </row>
    <row r="87" spans="20:30" ht="15" customHeight="1">
      <c r="T87" s="11" t="s">
        <v>1983</v>
      </c>
      <c r="U87" s="11">
        <v>15</v>
      </c>
      <c r="V87" s="11" t="s">
        <v>2115</v>
      </c>
      <c r="W87" s="11">
        <v>85</v>
      </c>
      <c r="X87" s="11">
        <v>85</v>
      </c>
      <c r="Y87" s="67">
        <v>80</v>
      </c>
      <c r="Z87" s="11">
        <v>8</v>
      </c>
      <c r="AA87" s="11">
        <v>2.5</v>
      </c>
      <c r="AB87" s="11">
        <v>2.5</v>
      </c>
      <c r="AC87" s="11">
        <v>15</v>
      </c>
      <c r="AD87" s="11" t="s">
        <v>1985</v>
      </c>
    </row>
    <row r="88" spans="20:30" ht="15" customHeight="1">
      <c r="T88" s="11" t="s">
        <v>1983</v>
      </c>
      <c r="U88" s="11">
        <v>10</v>
      </c>
      <c r="V88" s="11" t="s">
        <v>2116</v>
      </c>
      <c r="W88" s="11">
        <v>60</v>
      </c>
      <c r="X88" s="11">
        <v>15</v>
      </c>
      <c r="Y88" s="67">
        <v>15</v>
      </c>
      <c r="Z88" s="11">
        <v>3</v>
      </c>
      <c r="AA88" s="11" t="s">
        <v>1983</v>
      </c>
      <c r="AB88" s="11" t="s">
        <v>1983</v>
      </c>
      <c r="AC88" s="11" t="s">
        <v>1983</v>
      </c>
      <c r="AD88" s="11" t="s">
        <v>2117</v>
      </c>
    </row>
    <row r="89" spans="20:30" ht="15" customHeight="1">
      <c r="T89" s="11" t="s">
        <v>1983</v>
      </c>
      <c r="U89" s="11">
        <v>16.5</v>
      </c>
      <c r="V89" s="11" t="s">
        <v>2118</v>
      </c>
      <c r="W89" s="11">
        <v>105</v>
      </c>
      <c r="X89" s="11">
        <v>105</v>
      </c>
      <c r="Y89" s="67">
        <v>100</v>
      </c>
      <c r="Z89" s="11">
        <v>8</v>
      </c>
      <c r="AA89" s="11">
        <v>2.5</v>
      </c>
      <c r="AB89" s="11">
        <v>2.5</v>
      </c>
      <c r="AC89" s="11">
        <v>18</v>
      </c>
      <c r="AD89" s="11" t="s">
        <v>1985</v>
      </c>
    </row>
    <row r="90" spans="20:30" ht="15" customHeight="1">
      <c r="T90" s="11" t="s">
        <v>1983</v>
      </c>
      <c r="U90" s="11">
        <v>16.5</v>
      </c>
      <c r="V90" s="11" t="s">
        <v>2119</v>
      </c>
      <c r="W90" s="11">
        <v>120</v>
      </c>
      <c r="X90" s="11">
        <v>115</v>
      </c>
      <c r="Y90" s="67">
        <v>110</v>
      </c>
      <c r="Z90" s="11">
        <v>8</v>
      </c>
      <c r="AA90" s="11">
        <v>2.5</v>
      </c>
      <c r="AB90" s="11">
        <v>2.5</v>
      </c>
      <c r="AC90" s="11">
        <v>18</v>
      </c>
      <c r="AD90" s="11" t="s">
        <v>1985</v>
      </c>
    </row>
    <row r="91" spans="20:30" ht="15" customHeight="1">
      <c r="T91" s="11" t="s">
        <v>1983</v>
      </c>
      <c r="U91" s="11">
        <v>16.5</v>
      </c>
      <c r="V91" s="11" t="s">
        <v>2120</v>
      </c>
      <c r="W91" s="11">
        <v>120</v>
      </c>
      <c r="X91" s="11">
        <v>115</v>
      </c>
      <c r="Y91" s="67">
        <v>110</v>
      </c>
      <c r="Z91" s="11">
        <v>8</v>
      </c>
      <c r="AA91" s="11">
        <v>2.5</v>
      </c>
      <c r="AB91" s="11">
        <v>2.5</v>
      </c>
      <c r="AC91" s="11">
        <v>18</v>
      </c>
      <c r="AD91" s="11" t="s">
        <v>1985</v>
      </c>
    </row>
    <row r="92" spans="20:30" ht="15" customHeight="1">
      <c r="T92" s="11" t="s">
        <v>1983</v>
      </c>
      <c r="U92" s="11">
        <v>16.5</v>
      </c>
      <c r="V92" s="11" t="s">
        <v>2121</v>
      </c>
      <c r="W92" s="11">
        <v>135</v>
      </c>
      <c r="X92" s="11">
        <v>135</v>
      </c>
      <c r="Y92" s="67">
        <v>130</v>
      </c>
      <c r="Z92" s="11">
        <v>8</v>
      </c>
      <c r="AA92" s="11">
        <v>2.5</v>
      </c>
      <c r="AB92" s="11">
        <v>2.5</v>
      </c>
      <c r="AC92" s="11">
        <v>18</v>
      </c>
      <c r="AD92" s="11" t="s">
        <v>2113</v>
      </c>
    </row>
    <row r="93" spans="20:30" ht="15" customHeight="1">
      <c r="T93" s="11" t="s">
        <v>1983</v>
      </c>
      <c r="U93" s="11">
        <v>22</v>
      </c>
      <c r="V93" s="11" t="s">
        <v>2122</v>
      </c>
      <c r="W93" s="11">
        <v>165</v>
      </c>
      <c r="X93" s="11">
        <v>165</v>
      </c>
      <c r="Y93" s="67">
        <v>160</v>
      </c>
      <c r="Z93" s="11">
        <v>10</v>
      </c>
      <c r="AA93" s="11">
        <v>3</v>
      </c>
      <c r="AB93" s="11">
        <v>2.5</v>
      </c>
      <c r="AC93" s="11">
        <v>20</v>
      </c>
      <c r="AD93" s="11" t="s">
        <v>2105</v>
      </c>
    </row>
    <row r="94" spans="20:30" ht="15" customHeight="1">
      <c r="T94" s="11" t="s">
        <v>1983</v>
      </c>
      <c r="U94" s="11">
        <v>16.5</v>
      </c>
      <c r="V94" s="11" t="s">
        <v>2123</v>
      </c>
      <c r="W94" s="11">
        <v>105</v>
      </c>
      <c r="X94" s="11">
        <v>105</v>
      </c>
      <c r="Y94" s="67">
        <v>100</v>
      </c>
      <c r="Z94" s="11">
        <v>8</v>
      </c>
      <c r="AA94" s="11">
        <v>2.5</v>
      </c>
      <c r="AB94" s="11">
        <v>2.5</v>
      </c>
      <c r="AC94" s="11">
        <v>18</v>
      </c>
      <c r="AD94" s="11" t="s">
        <v>1985</v>
      </c>
    </row>
    <row r="95" spans="20:30" ht="15" customHeight="1">
      <c r="T95" s="11" t="s">
        <v>1983</v>
      </c>
      <c r="U95" s="11">
        <v>16.5</v>
      </c>
      <c r="V95" s="11" t="s">
        <v>2124</v>
      </c>
      <c r="W95" s="11">
        <v>105</v>
      </c>
      <c r="X95" s="11">
        <v>105</v>
      </c>
      <c r="Y95" s="67">
        <v>100</v>
      </c>
      <c r="Z95" s="11">
        <v>8</v>
      </c>
      <c r="AA95" s="11">
        <v>2.5</v>
      </c>
      <c r="AB95" s="11">
        <v>2.5</v>
      </c>
      <c r="AC95" s="11">
        <v>18</v>
      </c>
      <c r="AD95" s="11" t="s">
        <v>1985</v>
      </c>
    </row>
    <row r="96" spans="20:30" ht="15" customHeight="1">
      <c r="T96" s="11" t="s">
        <v>1983</v>
      </c>
      <c r="U96" s="11">
        <v>16.5</v>
      </c>
      <c r="V96" s="11" t="s">
        <v>2125</v>
      </c>
      <c r="W96" s="11">
        <v>125</v>
      </c>
      <c r="X96" s="11">
        <v>125</v>
      </c>
      <c r="Y96" s="67">
        <v>120</v>
      </c>
      <c r="Z96" s="11">
        <v>8</v>
      </c>
      <c r="AA96" s="11">
        <v>2.5</v>
      </c>
      <c r="AB96" s="11">
        <v>2.5</v>
      </c>
      <c r="AC96" s="11">
        <v>18</v>
      </c>
      <c r="AD96" s="11" t="s">
        <v>2126</v>
      </c>
    </row>
    <row r="97" spans="20:30" ht="15" customHeight="1">
      <c r="T97" s="11" t="s">
        <v>1983</v>
      </c>
      <c r="U97" s="11">
        <v>16.5</v>
      </c>
      <c r="V97" s="11" t="s">
        <v>2127</v>
      </c>
      <c r="W97" s="11">
        <v>135</v>
      </c>
      <c r="X97" s="11">
        <v>135</v>
      </c>
      <c r="Y97" s="67">
        <v>130</v>
      </c>
      <c r="Z97" s="11">
        <v>8</v>
      </c>
      <c r="AA97" s="11">
        <v>2.5</v>
      </c>
      <c r="AB97" s="11">
        <v>2.5</v>
      </c>
      <c r="AC97" s="11">
        <v>20</v>
      </c>
      <c r="AD97" s="11" t="s">
        <v>2128</v>
      </c>
    </row>
    <row r="98" spans="20:30" ht="15" customHeight="1">
      <c r="T98" s="11" t="s">
        <v>1983</v>
      </c>
      <c r="U98" s="11">
        <v>11</v>
      </c>
      <c r="V98" s="11" t="s">
        <v>2129</v>
      </c>
      <c r="W98" s="11">
        <v>50</v>
      </c>
      <c r="X98" s="11">
        <v>30</v>
      </c>
      <c r="Y98" s="67">
        <v>30</v>
      </c>
      <c r="Z98" s="11">
        <v>7</v>
      </c>
      <c r="AA98" s="11" t="s">
        <v>1499</v>
      </c>
      <c r="AB98" s="11" t="s">
        <v>1499</v>
      </c>
      <c r="AC98" s="11">
        <v>10</v>
      </c>
      <c r="AD98" s="11" t="s">
        <v>1985</v>
      </c>
    </row>
    <row r="99" spans="20:30" ht="15" customHeight="1">
      <c r="T99" s="11" t="s">
        <v>1983</v>
      </c>
      <c r="U99" s="11">
        <v>11</v>
      </c>
      <c r="V99" s="11" t="s">
        <v>2130</v>
      </c>
      <c r="W99" s="11">
        <v>50</v>
      </c>
      <c r="X99" s="11">
        <v>30</v>
      </c>
      <c r="Y99" s="67">
        <v>30</v>
      </c>
      <c r="Z99" s="11">
        <v>7</v>
      </c>
      <c r="AA99" s="11" t="s">
        <v>1499</v>
      </c>
      <c r="AB99" s="11" t="s">
        <v>1499</v>
      </c>
      <c r="AC99" s="11">
        <v>10</v>
      </c>
      <c r="AD99" s="11" t="s">
        <v>1985</v>
      </c>
    </row>
    <row r="100" spans="20:30" ht="15" customHeight="1">
      <c r="T100" s="11" t="s">
        <v>1983</v>
      </c>
      <c r="U100" s="11">
        <v>11</v>
      </c>
      <c r="V100" s="11" t="s">
        <v>2131</v>
      </c>
      <c r="W100" s="11">
        <v>50</v>
      </c>
      <c r="X100" s="11">
        <v>35</v>
      </c>
      <c r="Y100" s="67">
        <v>35</v>
      </c>
      <c r="Z100" s="11">
        <v>7</v>
      </c>
      <c r="AA100" s="11" t="s">
        <v>1499</v>
      </c>
      <c r="AB100" s="11" t="s">
        <v>1499</v>
      </c>
      <c r="AC100" s="11">
        <v>10</v>
      </c>
      <c r="AD100" s="11" t="s">
        <v>1985</v>
      </c>
    </row>
    <row r="101" spans="20:30" ht="15" customHeight="1">
      <c r="T101" s="11" t="s">
        <v>1983</v>
      </c>
      <c r="U101" s="11">
        <v>11</v>
      </c>
      <c r="V101" s="11" t="s">
        <v>2132</v>
      </c>
      <c r="W101" s="11">
        <v>50</v>
      </c>
      <c r="X101" s="11">
        <v>35</v>
      </c>
      <c r="Y101" s="67">
        <v>35</v>
      </c>
      <c r="Z101" s="11">
        <v>7</v>
      </c>
      <c r="AA101" s="11" t="s">
        <v>1499</v>
      </c>
      <c r="AB101" s="11" t="s">
        <v>1499</v>
      </c>
      <c r="AC101" s="11">
        <v>10</v>
      </c>
      <c r="AD101" s="11" t="s">
        <v>1985</v>
      </c>
    </row>
    <row r="102" spans="20:30" ht="15" customHeight="1">
      <c r="T102" s="11" t="s">
        <v>1983</v>
      </c>
      <c r="U102" s="11">
        <v>11</v>
      </c>
      <c r="V102" s="11" t="s">
        <v>2133</v>
      </c>
      <c r="W102" s="11">
        <v>50</v>
      </c>
      <c r="X102" s="11">
        <v>38</v>
      </c>
      <c r="Y102" s="67">
        <v>38</v>
      </c>
      <c r="Z102" s="11">
        <v>7</v>
      </c>
      <c r="AA102" s="11" t="s">
        <v>1499</v>
      </c>
      <c r="AB102" s="11" t="s">
        <v>1499</v>
      </c>
      <c r="AC102" s="11">
        <v>10</v>
      </c>
      <c r="AD102" s="11" t="s">
        <v>1985</v>
      </c>
    </row>
    <row r="103" spans="20:30" ht="15" customHeight="1">
      <c r="T103" s="11" t="s">
        <v>1983</v>
      </c>
      <c r="U103" s="11">
        <v>11</v>
      </c>
      <c r="V103" s="11" t="s">
        <v>2134</v>
      </c>
      <c r="W103" s="11">
        <v>50</v>
      </c>
      <c r="X103" s="11">
        <v>38</v>
      </c>
      <c r="Y103" s="67">
        <v>38</v>
      </c>
      <c r="Z103" s="11">
        <v>7</v>
      </c>
      <c r="AA103" s="11" t="s">
        <v>1499</v>
      </c>
      <c r="AB103" s="11" t="s">
        <v>1499</v>
      </c>
      <c r="AC103" s="11">
        <v>10</v>
      </c>
      <c r="AD103" s="11" t="s">
        <v>1985</v>
      </c>
    </row>
    <row r="104" spans="20:30" ht="15" customHeight="1">
      <c r="T104" s="11" t="s">
        <v>1983</v>
      </c>
      <c r="U104" s="11">
        <v>11</v>
      </c>
      <c r="V104" s="11" t="s">
        <v>2135</v>
      </c>
      <c r="W104" s="11">
        <v>50</v>
      </c>
      <c r="X104" s="11">
        <v>38</v>
      </c>
      <c r="Y104" s="67">
        <v>38</v>
      </c>
      <c r="Z104" s="11">
        <v>7</v>
      </c>
      <c r="AA104" s="11" t="s">
        <v>1499</v>
      </c>
      <c r="AB104" s="11" t="s">
        <v>1499</v>
      </c>
      <c r="AC104" s="11">
        <v>10</v>
      </c>
      <c r="AD104" s="11" t="s">
        <v>1985</v>
      </c>
    </row>
    <row r="105" spans="20:30" ht="15" customHeight="1">
      <c r="T105" s="11" t="s">
        <v>1983</v>
      </c>
      <c r="U105" s="11">
        <v>11</v>
      </c>
      <c r="V105" s="11" t="s">
        <v>2136</v>
      </c>
      <c r="W105" s="11">
        <v>70</v>
      </c>
      <c r="X105" s="11">
        <v>50</v>
      </c>
      <c r="Y105" s="67">
        <v>50</v>
      </c>
      <c r="Z105" s="11">
        <v>7</v>
      </c>
      <c r="AA105" s="11" t="s">
        <v>1499</v>
      </c>
      <c r="AB105" s="11" t="s">
        <v>1499</v>
      </c>
      <c r="AC105" s="11">
        <v>10</v>
      </c>
      <c r="AD105" s="11" t="s">
        <v>1985</v>
      </c>
    </row>
    <row r="106" spans="20:30" ht="15" customHeight="1">
      <c r="T106" s="11" t="s">
        <v>1983</v>
      </c>
      <c r="U106" s="11">
        <v>11</v>
      </c>
      <c r="V106" s="11" t="s">
        <v>2137</v>
      </c>
      <c r="W106" s="11">
        <v>1.8</v>
      </c>
      <c r="X106" s="11"/>
      <c r="Y106" s="67"/>
      <c r="Z106" s="11">
        <v>10</v>
      </c>
      <c r="AA106" s="11" t="s">
        <v>1499</v>
      </c>
      <c r="AB106" s="11" t="s">
        <v>1499</v>
      </c>
      <c r="AC106" s="11">
        <v>20</v>
      </c>
      <c r="AD106" s="11" t="s">
        <v>1985</v>
      </c>
    </row>
    <row r="107" spans="20:30" ht="15" customHeight="1">
      <c r="T107" s="11" t="s">
        <v>1983</v>
      </c>
      <c r="U107" s="11">
        <v>11</v>
      </c>
      <c r="V107" s="11" t="s">
        <v>2138</v>
      </c>
      <c r="W107" s="11">
        <v>70</v>
      </c>
      <c r="X107" s="11">
        <v>50</v>
      </c>
      <c r="Y107" s="67">
        <v>50</v>
      </c>
      <c r="Z107" s="11">
        <v>7</v>
      </c>
      <c r="AA107" s="11" t="s">
        <v>1499</v>
      </c>
      <c r="AB107" s="11" t="s">
        <v>1499</v>
      </c>
      <c r="AC107" s="11">
        <v>10</v>
      </c>
      <c r="AD107" s="11" t="s">
        <v>1985</v>
      </c>
    </row>
    <row r="108" spans="20:30" ht="15" customHeight="1">
      <c r="T108" s="11" t="s">
        <v>1983</v>
      </c>
      <c r="U108" s="11">
        <v>11</v>
      </c>
      <c r="V108" s="11" t="s">
        <v>2139</v>
      </c>
      <c r="W108" s="11">
        <v>70</v>
      </c>
      <c r="X108" s="11">
        <v>50</v>
      </c>
      <c r="Y108" s="67">
        <v>50</v>
      </c>
      <c r="Z108" s="11">
        <v>7</v>
      </c>
      <c r="AA108" s="11" t="s">
        <v>1499</v>
      </c>
      <c r="AB108" s="11" t="s">
        <v>1499</v>
      </c>
      <c r="AC108" s="11">
        <v>10</v>
      </c>
      <c r="AD108" s="11" t="s">
        <v>1985</v>
      </c>
    </row>
    <row r="109" spans="20:30" ht="15" customHeight="1">
      <c r="T109" s="11" t="s">
        <v>1983</v>
      </c>
      <c r="U109" s="11">
        <v>20</v>
      </c>
      <c r="V109" s="11" t="s">
        <v>2140</v>
      </c>
      <c r="W109" s="11">
        <v>1000</v>
      </c>
      <c r="X109" s="11">
        <v>75</v>
      </c>
      <c r="Y109" s="67">
        <v>75</v>
      </c>
      <c r="Z109" s="11">
        <v>8</v>
      </c>
      <c r="AA109" s="11" t="s">
        <v>1499</v>
      </c>
      <c r="AB109" s="11" t="s">
        <v>1499</v>
      </c>
      <c r="AC109" s="11">
        <v>20</v>
      </c>
      <c r="AD109" s="11" t="s">
        <v>2105</v>
      </c>
    </row>
    <row r="110" spans="20:30" ht="15" customHeight="1">
      <c r="T110" s="11" t="s">
        <v>1983</v>
      </c>
      <c r="U110" s="11">
        <v>11</v>
      </c>
      <c r="V110" s="11" t="s">
        <v>2141</v>
      </c>
      <c r="W110" s="11">
        <v>70</v>
      </c>
      <c r="X110" s="11">
        <v>50</v>
      </c>
      <c r="Y110" s="67">
        <v>50</v>
      </c>
      <c r="Z110" s="11">
        <v>7</v>
      </c>
      <c r="AA110" s="11" t="s">
        <v>1499</v>
      </c>
      <c r="AB110" s="11" t="s">
        <v>1499</v>
      </c>
      <c r="AC110" s="11">
        <v>10</v>
      </c>
      <c r="AD110" s="11" t="s">
        <v>1985</v>
      </c>
    </row>
    <row r="111" spans="20:30" ht="15" customHeight="1">
      <c r="T111" s="11" t="s">
        <v>1983</v>
      </c>
      <c r="U111" s="11">
        <v>11</v>
      </c>
      <c r="V111" s="11" t="s">
        <v>2142</v>
      </c>
      <c r="W111" s="11">
        <v>1.8</v>
      </c>
      <c r="X111" s="11"/>
      <c r="Y111" s="67"/>
      <c r="Z111" s="11">
        <v>10</v>
      </c>
      <c r="AA111" s="11" t="s">
        <v>1499</v>
      </c>
      <c r="AB111" s="11" t="s">
        <v>1499</v>
      </c>
      <c r="AC111" s="11"/>
      <c r="AD111" s="11" t="s">
        <v>2105</v>
      </c>
    </row>
    <row r="112" spans="20:30" ht="15" customHeight="1">
      <c r="T112" s="11" t="s">
        <v>1983</v>
      </c>
      <c r="U112" s="11">
        <v>11</v>
      </c>
      <c r="V112" s="11" t="s">
        <v>2143</v>
      </c>
      <c r="W112" s="11">
        <v>70</v>
      </c>
      <c r="X112" s="11">
        <v>50</v>
      </c>
      <c r="Y112" s="67">
        <v>50</v>
      </c>
      <c r="Z112" s="11">
        <v>7</v>
      </c>
      <c r="AA112" s="11" t="s">
        <v>1499</v>
      </c>
      <c r="AB112" s="11" t="s">
        <v>1499</v>
      </c>
      <c r="AC112" s="11">
        <v>10</v>
      </c>
      <c r="AD112" s="11" t="s">
        <v>1985</v>
      </c>
    </row>
    <row r="113" spans="20:30" ht="15" customHeight="1">
      <c r="T113" s="11" t="s">
        <v>1983</v>
      </c>
      <c r="U113" s="11">
        <v>11</v>
      </c>
      <c r="V113" s="11" t="s">
        <v>2144</v>
      </c>
      <c r="W113" s="11">
        <v>70</v>
      </c>
      <c r="X113" s="11">
        <v>50</v>
      </c>
      <c r="Y113" s="67">
        <v>50</v>
      </c>
      <c r="Z113" s="11">
        <v>7</v>
      </c>
      <c r="AA113" s="11" t="s">
        <v>1499</v>
      </c>
      <c r="AB113" s="11" t="s">
        <v>1499</v>
      </c>
      <c r="AC113" s="11">
        <v>10</v>
      </c>
      <c r="AD113" s="11" t="s">
        <v>1985</v>
      </c>
    </row>
    <row r="114" spans="20:30" ht="15" customHeight="1">
      <c r="T114" s="11" t="s">
        <v>1983</v>
      </c>
      <c r="U114" s="11">
        <v>11</v>
      </c>
      <c r="V114" s="11" t="s">
        <v>2145</v>
      </c>
      <c r="W114" s="11">
        <v>1.8</v>
      </c>
      <c r="X114" s="11"/>
      <c r="Y114" s="67"/>
      <c r="Z114" s="11">
        <v>10</v>
      </c>
      <c r="AA114" s="11" t="s">
        <v>1499</v>
      </c>
      <c r="AB114" s="11" t="s">
        <v>1499</v>
      </c>
      <c r="AC114" s="11"/>
      <c r="AD114" s="11" t="s">
        <v>2105</v>
      </c>
    </row>
    <row r="115" spans="20:30" ht="15" customHeight="1">
      <c r="T115" s="11" t="s">
        <v>1983</v>
      </c>
      <c r="U115" s="11">
        <v>11</v>
      </c>
      <c r="V115" s="11" t="s">
        <v>2146</v>
      </c>
      <c r="W115" s="11">
        <v>70</v>
      </c>
      <c r="X115" s="11">
        <v>50</v>
      </c>
      <c r="Y115" s="67">
        <v>50</v>
      </c>
      <c r="Z115" s="11">
        <v>7</v>
      </c>
      <c r="AA115" s="11" t="s">
        <v>1499</v>
      </c>
      <c r="AB115" s="11" t="s">
        <v>1499</v>
      </c>
      <c r="AC115" s="11">
        <v>10</v>
      </c>
      <c r="AD115" s="11" t="s">
        <v>1985</v>
      </c>
    </row>
    <row r="116" spans="20:30" ht="15" customHeight="1">
      <c r="T116" s="11" t="s">
        <v>1983</v>
      </c>
      <c r="U116" s="11">
        <v>11</v>
      </c>
      <c r="V116" s="11" t="s">
        <v>2147</v>
      </c>
      <c r="W116" s="11">
        <v>1.8</v>
      </c>
      <c r="X116" s="11"/>
      <c r="Y116" s="67"/>
      <c r="Z116" s="11">
        <v>10</v>
      </c>
      <c r="AA116" s="11" t="s">
        <v>1499</v>
      </c>
      <c r="AB116" s="11" t="s">
        <v>1499</v>
      </c>
      <c r="AC116" s="11">
        <v>10</v>
      </c>
      <c r="AD116" s="11" t="s">
        <v>2105</v>
      </c>
    </row>
    <row r="117" spans="20:30" ht="15" customHeight="1">
      <c r="T117" s="11" t="s">
        <v>1983</v>
      </c>
      <c r="U117" s="11">
        <v>11</v>
      </c>
      <c r="V117" s="11" t="s">
        <v>2148</v>
      </c>
      <c r="W117" s="11">
        <v>70</v>
      </c>
      <c r="X117" s="11">
        <v>50</v>
      </c>
      <c r="Y117" s="67">
        <v>50</v>
      </c>
      <c r="Z117" s="11">
        <v>7</v>
      </c>
      <c r="AA117" s="11" t="s">
        <v>1499</v>
      </c>
      <c r="AB117" s="11" t="s">
        <v>1499</v>
      </c>
      <c r="AC117" s="11">
        <v>10</v>
      </c>
      <c r="AD117" s="11" t="s">
        <v>1985</v>
      </c>
    </row>
    <row r="118" spans="20:30" ht="15" customHeight="1">
      <c r="T118" s="11" t="s">
        <v>1983</v>
      </c>
      <c r="U118" s="11">
        <v>11</v>
      </c>
      <c r="V118" s="11" t="s">
        <v>2149</v>
      </c>
      <c r="W118" s="11">
        <v>70</v>
      </c>
      <c r="X118" s="11">
        <v>50</v>
      </c>
      <c r="Y118" s="67">
        <v>50</v>
      </c>
      <c r="Z118" s="11">
        <v>7</v>
      </c>
      <c r="AA118" s="11" t="s">
        <v>1499</v>
      </c>
      <c r="AB118" s="11" t="s">
        <v>1499</v>
      </c>
      <c r="AC118" s="11">
        <v>10</v>
      </c>
      <c r="AD118" s="11" t="s">
        <v>1985</v>
      </c>
    </row>
    <row r="119" spans="20:30" ht="15" customHeight="1">
      <c r="T119" s="11" t="s">
        <v>1983</v>
      </c>
      <c r="U119" s="11">
        <v>11</v>
      </c>
      <c r="V119" s="11" t="s">
        <v>2150</v>
      </c>
      <c r="W119" s="11">
        <v>1.8</v>
      </c>
      <c r="X119" s="11"/>
      <c r="Y119" s="67"/>
      <c r="Z119" s="11">
        <v>10</v>
      </c>
      <c r="AA119" s="11" t="s">
        <v>1499</v>
      </c>
      <c r="AB119" s="11" t="s">
        <v>1499</v>
      </c>
      <c r="AC119" s="11"/>
      <c r="AD119" s="11" t="s">
        <v>2105</v>
      </c>
    </row>
    <row r="120" spans="20:30" ht="15" customHeight="1">
      <c r="T120" s="11" t="s">
        <v>1983</v>
      </c>
      <c r="U120" s="11">
        <v>11</v>
      </c>
      <c r="V120" s="11" t="s">
        <v>2151</v>
      </c>
      <c r="W120" s="11">
        <v>70</v>
      </c>
      <c r="X120" s="11">
        <v>55</v>
      </c>
      <c r="Y120" s="67">
        <v>55</v>
      </c>
      <c r="Z120" s="11">
        <v>8</v>
      </c>
      <c r="AA120" s="11" t="s">
        <v>1499</v>
      </c>
      <c r="AB120" s="11" t="s">
        <v>1499</v>
      </c>
      <c r="AC120" s="11">
        <v>15</v>
      </c>
      <c r="AD120" s="11" t="s">
        <v>1985</v>
      </c>
    </row>
    <row r="121" spans="20:30" ht="15" customHeight="1">
      <c r="T121" s="11" t="s">
        <v>1983</v>
      </c>
      <c r="U121" s="11">
        <v>15</v>
      </c>
      <c r="V121" s="11" t="s">
        <v>2152</v>
      </c>
      <c r="W121" s="11">
        <v>115</v>
      </c>
      <c r="X121" s="11">
        <v>115</v>
      </c>
      <c r="Y121" s="67">
        <v>110</v>
      </c>
      <c r="Z121" s="11">
        <v>8</v>
      </c>
      <c r="AA121" s="11">
        <v>2.5</v>
      </c>
      <c r="AB121" s="11">
        <v>2.5</v>
      </c>
      <c r="AC121" s="11">
        <v>18</v>
      </c>
      <c r="AD121" s="11" t="s">
        <v>1985</v>
      </c>
    </row>
    <row r="122" spans="20:30" ht="15" customHeight="1">
      <c r="T122" s="11" t="s">
        <v>1983</v>
      </c>
      <c r="U122" s="11">
        <v>15</v>
      </c>
      <c r="V122" s="11" t="s">
        <v>2153</v>
      </c>
      <c r="W122" s="11">
        <v>120</v>
      </c>
      <c r="X122" s="11">
        <v>115</v>
      </c>
      <c r="Y122" s="67">
        <v>110</v>
      </c>
      <c r="Z122" s="11">
        <v>8</v>
      </c>
      <c r="AA122" s="11">
        <v>2.5</v>
      </c>
      <c r="AB122" s="11">
        <v>2.5</v>
      </c>
      <c r="AC122" s="11">
        <v>18</v>
      </c>
      <c r="AD122" s="11" t="s">
        <v>1985</v>
      </c>
    </row>
    <row r="123" spans="20:30" ht="15" customHeight="1">
      <c r="T123" s="11" t="s">
        <v>1983</v>
      </c>
      <c r="U123" s="11">
        <v>15</v>
      </c>
      <c r="V123" s="11" t="s">
        <v>2154</v>
      </c>
      <c r="W123" s="11">
        <v>120</v>
      </c>
      <c r="X123" s="11">
        <v>115</v>
      </c>
      <c r="Y123" s="67">
        <v>110</v>
      </c>
      <c r="Z123" s="11">
        <v>8</v>
      </c>
      <c r="AA123" s="11">
        <v>2.5</v>
      </c>
      <c r="AB123" s="11">
        <v>2.5</v>
      </c>
      <c r="AC123" s="11">
        <v>18</v>
      </c>
      <c r="AD123" s="11" t="s">
        <v>1985</v>
      </c>
    </row>
    <row r="124" spans="20:30" ht="15" customHeight="1">
      <c r="T124" s="11" t="s">
        <v>1983</v>
      </c>
      <c r="U124" s="11">
        <v>15</v>
      </c>
      <c r="V124" s="11" t="s">
        <v>2155</v>
      </c>
      <c r="W124" s="11">
        <v>120</v>
      </c>
      <c r="X124" s="11">
        <v>115</v>
      </c>
      <c r="Y124" s="67">
        <v>110</v>
      </c>
      <c r="Z124" s="11">
        <v>8</v>
      </c>
      <c r="AA124" s="11">
        <v>2.5</v>
      </c>
      <c r="AB124" s="11">
        <v>2.5</v>
      </c>
      <c r="AC124" s="11">
        <v>18</v>
      </c>
      <c r="AD124" s="11" t="s">
        <v>1985</v>
      </c>
    </row>
    <row r="125" spans="20:30" ht="15" customHeight="1">
      <c r="T125" s="11" t="s">
        <v>1983</v>
      </c>
      <c r="U125" s="11">
        <v>15</v>
      </c>
      <c r="V125" s="11" t="s">
        <v>2156</v>
      </c>
      <c r="W125" s="11">
        <v>120</v>
      </c>
      <c r="X125" s="11">
        <v>115</v>
      </c>
      <c r="Y125" s="67">
        <v>110</v>
      </c>
      <c r="Z125" s="11">
        <v>8</v>
      </c>
      <c r="AA125" s="11">
        <v>2.5</v>
      </c>
      <c r="AB125" s="11">
        <v>2.5</v>
      </c>
      <c r="AC125" s="11">
        <v>18</v>
      </c>
      <c r="AD125" s="11" t="s">
        <v>1985</v>
      </c>
    </row>
    <row r="126" spans="20:30" ht="15" customHeight="1">
      <c r="T126" s="11" t="s">
        <v>1983</v>
      </c>
      <c r="U126" s="11">
        <v>15</v>
      </c>
      <c r="V126" s="11" t="s">
        <v>2157</v>
      </c>
      <c r="W126" s="11">
        <v>120</v>
      </c>
      <c r="X126" s="11">
        <v>115</v>
      </c>
      <c r="Y126" s="67">
        <v>110</v>
      </c>
      <c r="Z126" s="11">
        <v>8</v>
      </c>
      <c r="AA126" s="11">
        <v>2.5</v>
      </c>
      <c r="AB126" s="11">
        <v>2.5</v>
      </c>
      <c r="AC126" s="11">
        <v>18</v>
      </c>
      <c r="AD126" s="11" t="s">
        <v>1985</v>
      </c>
    </row>
    <row r="127" spans="20:30" ht="15" customHeight="1">
      <c r="T127" s="11" t="s">
        <v>1983</v>
      </c>
      <c r="U127" s="11">
        <v>15</v>
      </c>
      <c r="V127" s="11" t="s">
        <v>2158</v>
      </c>
      <c r="W127" s="11">
        <v>120</v>
      </c>
      <c r="X127" s="11">
        <v>115</v>
      </c>
      <c r="Y127" s="67">
        <v>110</v>
      </c>
      <c r="Z127" s="11">
        <v>8</v>
      </c>
      <c r="AA127" s="11">
        <v>2.5</v>
      </c>
      <c r="AB127" s="11">
        <v>2.5</v>
      </c>
      <c r="AC127" s="11">
        <v>18</v>
      </c>
      <c r="AD127" s="11" t="s">
        <v>1985</v>
      </c>
    </row>
    <row r="128" spans="20:30" ht="15" customHeight="1">
      <c r="T128" s="11" t="s">
        <v>1983</v>
      </c>
      <c r="U128" s="11">
        <v>15</v>
      </c>
      <c r="V128" s="11" t="s">
        <v>2159</v>
      </c>
      <c r="W128" s="11">
        <v>120</v>
      </c>
      <c r="X128" s="11">
        <v>115</v>
      </c>
      <c r="Y128" s="67">
        <v>110</v>
      </c>
      <c r="Z128" s="11">
        <v>8</v>
      </c>
      <c r="AA128" s="11">
        <v>2.5</v>
      </c>
      <c r="AB128" s="11">
        <v>2.5</v>
      </c>
      <c r="AC128" s="11">
        <v>18</v>
      </c>
      <c r="AD128" s="11" t="s">
        <v>1985</v>
      </c>
    </row>
    <row r="129" spans="20:30" ht="15" customHeight="1">
      <c r="T129" s="11" t="s">
        <v>1983</v>
      </c>
      <c r="U129" s="11">
        <v>20</v>
      </c>
      <c r="V129" s="11" t="s">
        <v>2160</v>
      </c>
      <c r="W129" s="11">
        <v>185</v>
      </c>
      <c r="X129" s="11">
        <v>185</v>
      </c>
      <c r="Y129" s="67">
        <v>180</v>
      </c>
      <c r="Z129" s="11">
        <v>10</v>
      </c>
      <c r="AA129" s="11">
        <v>3</v>
      </c>
      <c r="AB129" s="11">
        <v>2.5</v>
      </c>
      <c r="AC129" s="11">
        <v>25</v>
      </c>
      <c r="AD129" s="11" t="s">
        <v>2105</v>
      </c>
    </row>
    <row r="130" spans="20:30" ht="15" customHeight="1">
      <c r="T130" s="11" t="s">
        <v>1983</v>
      </c>
      <c r="U130" s="11">
        <v>20</v>
      </c>
      <c r="V130" s="11" t="s">
        <v>2161</v>
      </c>
      <c r="W130" s="11">
        <v>185</v>
      </c>
      <c r="X130" s="11">
        <v>185</v>
      </c>
      <c r="Y130" s="67">
        <v>180</v>
      </c>
      <c r="Z130" s="11">
        <v>10</v>
      </c>
      <c r="AA130" s="11">
        <v>3</v>
      </c>
      <c r="AB130" s="11">
        <v>2.5</v>
      </c>
      <c r="AC130" s="11">
        <v>25</v>
      </c>
      <c r="AD130" s="11" t="s">
        <v>2105</v>
      </c>
    </row>
    <row r="131" spans="20:30" ht="15" customHeight="1">
      <c r="T131" s="11" t="s">
        <v>1983</v>
      </c>
      <c r="U131" s="11">
        <v>15</v>
      </c>
      <c r="V131" s="11" t="s">
        <v>2162</v>
      </c>
      <c r="W131" s="11">
        <v>155</v>
      </c>
      <c r="X131" s="11">
        <v>155</v>
      </c>
      <c r="Y131" s="67">
        <v>150</v>
      </c>
      <c r="Z131" s="11">
        <v>8</v>
      </c>
      <c r="AA131" s="11">
        <v>2.5</v>
      </c>
      <c r="AB131" s="11">
        <v>2.5</v>
      </c>
      <c r="AC131" s="11">
        <v>18</v>
      </c>
      <c r="AD131" s="11" t="s">
        <v>1985</v>
      </c>
    </row>
    <row r="132" spans="20:30" ht="15" customHeight="1">
      <c r="T132" s="11" t="s">
        <v>1983</v>
      </c>
      <c r="U132" s="11">
        <v>15</v>
      </c>
      <c r="V132" s="11" t="s">
        <v>2163</v>
      </c>
      <c r="W132" s="11">
        <v>135</v>
      </c>
      <c r="X132" s="11">
        <v>135</v>
      </c>
      <c r="Y132" s="67">
        <v>130</v>
      </c>
      <c r="Z132" s="11">
        <v>8</v>
      </c>
      <c r="AA132" s="11">
        <v>2.5</v>
      </c>
      <c r="AB132" s="11">
        <v>2.5</v>
      </c>
      <c r="AC132" s="11">
        <v>18</v>
      </c>
      <c r="AD132" s="11" t="s">
        <v>1985</v>
      </c>
    </row>
    <row r="133" spans="20:30" ht="15" customHeight="1">
      <c r="T133" s="11" t="s">
        <v>1983</v>
      </c>
      <c r="U133" s="11">
        <v>15</v>
      </c>
      <c r="V133" s="11" t="s">
        <v>2164</v>
      </c>
      <c r="W133" s="11">
        <v>130</v>
      </c>
      <c r="X133" s="11">
        <v>130</v>
      </c>
      <c r="Y133" s="67">
        <v>125</v>
      </c>
      <c r="Z133" s="11">
        <v>8</v>
      </c>
      <c r="AA133" s="11">
        <v>2.5</v>
      </c>
      <c r="AB133" s="11">
        <v>2.5</v>
      </c>
      <c r="AC133" s="11">
        <v>20</v>
      </c>
      <c r="AD133" s="11" t="s">
        <v>2113</v>
      </c>
    </row>
    <row r="134" spans="20:30" ht="15" customHeight="1">
      <c r="T134" s="11" t="s">
        <v>1983</v>
      </c>
      <c r="U134" s="11">
        <v>15</v>
      </c>
      <c r="V134" s="11" t="s">
        <v>2165</v>
      </c>
      <c r="W134" s="11">
        <v>115</v>
      </c>
      <c r="X134" s="11">
        <v>115</v>
      </c>
      <c r="Y134" s="67">
        <v>110</v>
      </c>
      <c r="Z134" s="11">
        <v>8</v>
      </c>
      <c r="AA134" s="11">
        <v>2.5</v>
      </c>
      <c r="AB134" s="11">
        <v>2.5</v>
      </c>
      <c r="AC134" s="11">
        <v>18</v>
      </c>
      <c r="AD134" s="11" t="s">
        <v>1985</v>
      </c>
    </row>
    <row r="135" spans="20:30" ht="15" customHeight="1">
      <c r="T135" s="11" t="s">
        <v>1983</v>
      </c>
      <c r="U135" s="11">
        <v>15</v>
      </c>
      <c r="V135" s="11" t="s">
        <v>2166</v>
      </c>
      <c r="W135" s="11">
        <v>105</v>
      </c>
      <c r="X135" s="11">
        <v>105</v>
      </c>
      <c r="Y135" s="67">
        <v>100</v>
      </c>
      <c r="Z135" s="11">
        <v>8</v>
      </c>
      <c r="AA135" s="11">
        <v>2.5</v>
      </c>
      <c r="AB135" s="11">
        <v>2.5</v>
      </c>
      <c r="AC135" s="11">
        <v>18</v>
      </c>
      <c r="AD135" s="11" t="s">
        <v>1985</v>
      </c>
    </row>
    <row r="136" spans="20:30" ht="15" customHeight="1">
      <c r="T136" s="11" t="s">
        <v>1983</v>
      </c>
      <c r="U136" s="11">
        <v>15</v>
      </c>
      <c r="V136" s="11" t="s">
        <v>2167</v>
      </c>
      <c r="W136" s="11">
        <v>94</v>
      </c>
      <c r="X136" s="11">
        <v>94</v>
      </c>
      <c r="Y136" s="67">
        <v>94</v>
      </c>
      <c r="Z136" s="11">
        <v>8</v>
      </c>
      <c r="AA136" s="11">
        <v>2.5</v>
      </c>
      <c r="AB136" s="11">
        <v>2.5</v>
      </c>
      <c r="AC136" s="11">
        <v>18</v>
      </c>
      <c r="AD136" s="11" t="s">
        <v>1985</v>
      </c>
    </row>
    <row r="137" spans="20:30" ht="15" customHeight="1">
      <c r="T137" s="11" t="s">
        <v>1983</v>
      </c>
      <c r="U137" s="11">
        <v>15</v>
      </c>
      <c r="V137" s="11" t="s">
        <v>2168</v>
      </c>
      <c r="W137" s="11">
        <v>120</v>
      </c>
      <c r="X137" s="11">
        <v>120</v>
      </c>
      <c r="Y137" s="67">
        <v>115</v>
      </c>
      <c r="Z137" s="11">
        <v>8</v>
      </c>
      <c r="AA137" s="11">
        <v>2.5</v>
      </c>
      <c r="AB137" s="11">
        <v>2.5</v>
      </c>
      <c r="AC137" s="11">
        <v>20</v>
      </c>
      <c r="AD137" s="11" t="s">
        <v>2113</v>
      </c>
    </row>
    <row r="138" spans="20:30" ht="15" customHeight="1">
      <c r="T138" s="11" t="s">
        <v>1983</v>
      </c>
      <c r="U138" s="11">
        <v>15</v>
      </c>
      <c r="V138" s="11" t="s">
        <v>2169</v>
      </c>
      <c r="W138" s="11">
        <v>130</v>
      </c>
      <c r="X138" s="11">
        <v>125</v>
      </c>
      <c r="Y138" s="67">
        <v>120</v>
      </c>
      <c r="Z138" s="11">
        <v>8</v>
      </c>
      <c r="AA138" s="11">
        <v>2.5</v>
      </c>
      <c r="AB138" s="11">
        <v>2.5</v>
      </c>
      <c r="AC138" s="11">
        <v>20</v>
      </c>
      <c r="AD138" s="11" t="s">
        <v>2113</v>
      </c>
    </row>
    <row r="139" spans="20:30" ht="15" customHeight="1">
      <c r="T139" s="11" t="s">
        <v>1983</v>
      </c>
      <c r="U139" s="11">
        <v>15</v>
      </c>
      <c r="V139" s="11" t="s">
        <v>2170</v>
      </c>
      <c r="W139" s="11">
        <v>100</v>
      </c>
      <c r="X139" s="11">
        <v>99</v>
      </c>
      <c r="Y139" s="67">
        <v>99</v>
      </c>
      <c r="Z139" s="11">
        <v>8</v>
      </c>
      <c r="AA139" s="11">
        <v>2.5</v>
      </c>
      <c r="AB139" s="11">
        <v>2.5</v>
      </c>
      <c r="AC139" s="11">
        <v>18</v>
      </c>
      <c r="AD139" s="11" t="s">
        <v>1985</v>
      </c>
    </row>
    <row r="140" spans="20:30" ht="15" customHeight="1">
      <c r="T140" s="11" t="s">
        <v>1983</v>
      </c>
      <c r="U140" s="11">
        <v>15</v>
      </c>
      <c r="V140" s="11" t="s">
        <v>2171</v>
      </c>
      <c r="W140" s="11">
        <v>110</v>
      </c>
      <c r="X140" s="11">
        <v>110</v>
      </c>
      <c r="Y140" s="67">
        <v>100</v>
      </c>
      <c r="Z140" s="11">
        <v>8</v>
      </c>
      <c r="AA140" s="11">
        <v>2.5</v>
      </c>
      <c r="AB140" s="11">
        <v>2.5</v>
      </c>
      <c r="AC140" s="11">
        <v>18</v>
      </c>
      <c r="AD140" s="11" t="s">
        <v>1985</v>
      </c>
    </row>
    <row r="141" spans="20:30" ht="15" customHeight="1">
      <c r="T141" s="11" t="s">
        <v>1983</v>
      </c>
      <c r="U141" s="11">
        <v>15</v>
      </c>
      <c r="V141" s="11" t="s">
        <v>2172</v>
      </c>
      <c r="W141" s="11">
        <v>105</v>
      </c>
      <c r="X141" s="11">
        <v>105</v>
      </c>
      <c r="Y141" s="67">
        <v>100</v>
      </c>
      <c r="Z141" s="11">
        <v>8</v>
      </c>
      <c r="AA141" s="11">
        <v>2.5</v>
      </c>
      <c r="AB141" s="11">
        <v>2.5</v>
      </c>
      <c r="AC141" s="11">
        <v>18</v>
      </c>
      <c r="AD141" s="11" t="s">
        <v>1985</v>
      </c>
    </row>
    <row r="142" spans="20:30" ht="15" customHeight="1">
      <c r="T142" s="11" t="s">
        <v>1983</v>
      </c>
      <c r="U142" s="11">
        <v>15</v>
      </c>
      <c r="V142" s="11" t="s">
        <v>2173</v>
      </c>
      <c r="W142" s="11">
        <v>120</v>
      </c>
      <c r="X142" s="11">
        <v>115</v>
      </c>
      <c r="Y142" s="67">
        <v>110</v>
      </c>
      <c r="Z142" s="11">
        <v>8</v>
      </c>
      <c r="AA142" s="11">
        <v>2.5</v>
      </c>
      <c r="AB142" s="11">
        <v>2.5</v>
      </c>
      <c r="AC142" s="11">
        <v>20</v>
      </c>
      <c r="AD142" s="11" t="s">
        <v>2113</v>
      </c>
    </row>
    <row r="143" spans="20:30" ht="15" customHeight="1">
      <c r="T143" s="11" t="s">
        <v>1983</v>
      </c>
      <c r="U143" s="11">
        <v>15</v>
      </c>
      <c r="V143" s="11" t="s">
        <v>2174</v>
      </c>
      <c r="W143" s="11">
        <v>130</v>
      </c>
      <c r="X143" s="11">
        <v>130</v>
      </c>
      <c r="Y143" s="67">
        <v>125</v>
      </c>
      <c r="Z143" s="11">
        <v>8</v>
      </c>
      <c r="AA143" s="11">
        <v>2.5</v>
      </c>
      <c r="AB143" s="11">
        <v>2.5</v>
      </c>
      <c r="AC143" s="11">
        <v>20</v>
      </c>
      <c r="AD143" s="11" t="s">
        <v>2113</v>
      </c>
    </row>
    <row r="144" spans="20:30" ht="15" customHeight="1">
      <c r="T144" s="11" t="s">
        <v>1983</v>
      </c>
      <c r="U144" s="11">
        <v>15</v>
      </c>
      <c r="V144" s="11" t="s">
        <v>2175</v>
      </c>
      <c r="W144" s="11">
        <v>110</v>
      </c>
      <c r="X144" s="11">
        <v>105</v>
      </c>
      <c r="Y144" s="67">
        <v>100</v>
      </c>
      <c r="Z144" s="11">
        <v>8</v>
      </c>
      <c r="AA144" s="11">
        <v>2.5</v>
      </c>
      <c r="AB144" s="11">
        <v>2.5</v>
      </c>
      <c r="AC144" s="11">
        <v>18</v>
      </c>
      <c r="AD144" s="11" t="s">
        <v>1985</v>
      </c>
    </row>
    <row r="145" spans="20:30" ht="15" customHeight="1">
      <c r="T145" s="11" t="s">
        <v>1983</v>
      </c>
      <c r="U145" s="11">
        <v>15</v>
      </c>
      <c r="V145" s="11" t="s">
        <v>2176</v>
      </c>
      <c r="W145" s="11">
        <v>110</v>
      </c>
      <c r="X145" s="11">
        <v>105</v>
      </c>
      <c r="Y145" s="67">
        <v>100</v>
      </c>
      <c r="Z145" s="11">
        <v>8</v>
      </c>
      <c r="AA145" s="11">
        <v>2.5</v>
      </c>
      <c r="AB145" s="11">
        <v>2.5</v>
      </c>
      <c r="AC145" s="11">
        <v>18</v>
      </c>
      <c r="AD145" s="11" t="s">
        <v>1985</v>
      </c>
    </row>
    <row r="146" spans="20:30" ht="15" customHeight="1">
      <c r="T146" s="11" t="s">
        <v>1983</v>
      </c>
      <c r="U146" s="11">
        <v>15</v>
      </c>
      <c r="V146" s="11" t="s">
        <v>2177</v>
      </c>
      <c r="W146" s="11">
        <v>110</v>
      </c>
      <c r="X146" s="11">
        <v>105</v>
      </c>
      <c r="Y146" s="67">
        <v>100</v>
      </c>
      <c r="Z146" s="11">
        <v>8</v>
      </c>
      <c r="AA146" s="11">
        <v>2.5</v>
      </c>
      <c r="AB146" s="11">
        <v>2.5</v>
      </c>
      <c r="AC146" s="11">
        <v>18</v>
      </c>
      <c r="AD146" s="11" t="s">
        <v>1985</v>
      </c>
    </row>
    <row r="147" spans="20:30" ht="15" customHeight="1">
      <c r="T147" s="11" t="s">
        <v>1983</v>
      </c>
      <c r="U147" s="11">
        <v>15</v>
      </c>
      <c r="V147" s="11" t="s">
        <v>2178</v>
      </c>
      <c r="W147" s="11">
        <v>130</v>
      </c>
      <c r="X147" s="11">
        <v>130</v>
      </c>
      <c r="Y147" s="67">
        <v>125</v>
      </c>
      <c r="Z147" s="11">
        <v>8</v>
      </c>
      <c r="AA147" s="11">
        <v>2.5</v>
      </c>
      <c r="AB147" s="11">
        <v>2.5</v>
      </c>
      <c r="AC147" s="11">
        <v>20</v>
      </c>
      <c r="AD147" s="11" t="s">
        <v>2113</v>
      </c>
    </row>
    <row r="148" spans="20:30" ht="15" customHeight="1">
      <c r="T148" s="11" t="s">
        <v>1983</v>
      </c>
      <c r="U148" s="11" t="s">
        <v>1983</v>
      </c>
      <c r="V148" s="11" t="s">
        <v>2179</v>
      </c>
      <c r="W148" s="11" t="s">
        <v>1983</v>
      </c>
      <c r="X148" s="11" t="s">
        <v>1983</v>
      </c>
      <c r="Y148" s="67" t="s">
        <v>1983</v>
      </c>
      <c r="Z148" s="11" t="s">
        <v>1983</v>
      </c>
      <c r="AA148" s="11" t="s">
        <v>1983</v>
      </c>
      <c r="AB148" s="11" t="s">
        <v>1983</v>
      </c>
      <c r="AC148" s="11" t="s">
        <v>1983</v>
      </c>
      <c r="AD148" s="11"/>
    </row>
    <row r="149" spans="20:30" ht="15" customHeight="1">
      <c r="T149" s="11" t="s">
        <v>1983</v>
      </c>
      <c r="U149" s="11">
        <v>15</v>
      </c>
      <c r="V149" s="11" t="s">
        <v>2180</v>
      </c>
      <c r="W149" s="11">
        <v>165</v>
      </c>
      <c r="X149" s="11">
        <v>165</v>
      </c>
      <c r="Y149" s="67">
        <v>160</v>
      </c>
      <c r="Z149" s="11">
        <v>10</v>
      </c>
      <c r="AA149" s="11">
        <v>3</v>
      </c>
      <c r="AB149" s="11">
        <v>2.5</v>
      </c>
      <c r="AC149" s="11">
        <v>20</v>
      </c>
      <c r="AD149" s="11" t="s">
        <v>2105</v>
      </c>
    </row>
    <row r="150" spans="20:30" ht="15" customHeight="1">
      <c r="T150" s="11" t="s">
        <v>1983</v>
      </c>
      <c r="U150" s="11">
        <v>15</v>
      </c>
      <c r="V150" s="11" t="s">
        <v>2181</v>
      </c>
      <c r="W150" s="11">
        <v>95</v>
      </c>
      <c r="X150" s="11">
        <v>95</v>
      </c>
      <c r="Y150" s="67">
        <v>90</v>
      </c>
      <c r="Z150" s="11">
        <v>8</v>
      </c>
      <c r="AA150" s="11">
        <v>2.5</v>
      </c>
      <c r="AB150" s="11">
        <v>2.5</v>
      </c>
      <c r="AC150" s="11">
        <v>18</v>
      </c>
      <c r="AD150" s="11" t="s">
        <v>1985</v>
      </c>
    </row>
    <row r="151" spans="20:30" ht="15" customHeight="1">
      <c r="T151" s="11" t="s">
        <v>1983</v>
      </c>
      <c r="U151" s="11">
        <v>15</v>
      </c>
      <c r="V151" s="11" t="s">
        <v>2182</v>
      </c>
      <c r="W151" s="11">
        <v>95</v>
      </c>
      <c r="X151" s="11">
        <v>95</v>
      </c>
      <c r="Y151" s="67">
        <v>90</v>
      </c>
      <c r="Z151" s="11">
        <v>8</v>
      </c>
      <c r="AA151" s="11">
        <v>2.5</v>
      </c>
      <c r="AB151" s="11">
        <v>2.5</v>
      </c>
      <c r="AC151" s="11">
        <v>18</v>
      </c>
      <c r="AD151" s="11" t="s">
        <v>1985</v>
      </c>
    </row>
    <row r="152" spans="20:30" ht="15" customHeight="1">
      <c r="T152" s="11" t="s">
        <v>1983</v>
      </c>
      <c r="U152" s="11">
        <v>15</v>
      </c>
      <c r="V152" s="11" t="s">
        <v>2183</v>
      </c>
      <c r="W152" s="11">
        <v>95</v>
      </c>
      <c r="X152" s="11">
        <v>95</v>
      </c>
      <c r="Y152" s="67">
        <v>90</v>
      </c>
      <c r="Z152" s="11">
        <v>8</v>
      </c>
      <c r="AA152" s="11">
        <v>2.5</v>
      </c>
      <c r="AB152" s="11">
        <v>2.5</v>
      </c>
      <c r="AC152" s="11">
        <v>18</v>
      </c>
      <c r="AD152" s="11" t="s">
        <v>1985</v>
      </c>
    </row>
    <row r="153" spans="20:30" ht="15" customHeight="1">
      <c r="T153" s="11" t="s">
        <v>1983</v>
      </c>
      <c r="U153" s="11">
        <v>15</v>
      </c>
      <c r="V153" s="11" t="s">
        <v>2184</v>
      </c>
      <c r="W153" s="11">
        <v>95</v>
      </c>
      <c r="X153" s="11">
        <v>95</v>
      </c>
      <c r="Y153" s="67">
        <v>90</v>
      </c>
      <c r="Z153" s="11">
        <v>8</v>
      </c>
      <c r="AA153" s="11">
        <v>2.5</v>
      </c>
      <c r="AB153" s="11">
        <v>2.5</v>
      </c>
      <c r="AC153" s="11">
        <v>18</v>
      </c>
      <c r="AD153" s="11" t="s">
        <v>1985</v>
      </c>
    </row>
    <row r="154" spans="20:30" ht="15" customHeight="1">
      <c r="T154" s="11" t="s">
        <v>1983</v>
      </c>
      <c r="U154" s="11">
        <v>15</v>
      </c>
      <c r="V154" s="11" t="s">
        <v>2185</v>
      </c>
      <c r="W154" s="11">
        <v>95</v>
      </c>
      <c r="X154" s="11">
        <v>95</v>
      </c>
      <c r="Y154" s="67">
        <v>90</v>
      </c>
      <c r="Z154" s="11">
        <v>8</v>
      </c>
      <c r="AA154" s="11">
        <v>2.5</v>
      </c>
      <c r="AB154" s="11">
        <v>2.5</v>
      </c>
      <c r="AC154" s="11">
        <v>18</v>
      </c>
      <c r="AD154" s="11" t="s">
        <v>1985</v>
      </c>
    </row>
    <row r="155" spans="20:30" ht="15" customHeight="1">
      <c r="T155" s="11" t="s">
        <v>1983</v>
      </c>
      <c r="U155" s="11">
        <v>15</v>
      </c>
      <c r="V155" s="11" t="s">
        <v>2186</v>
      </c>
      <c r="W155" s="11">
        <v>95</v>
      </c>
      <c r="X155" s="11">
        <v>95</v>
      </c>
      <c r="Y155" s="67">
        <v>90</v>
      </c>
      <c r="Z155" s="11">
        <v>8</v>
      </c>
      <c r="AA155" s="11">
        <v>2.5</v>
      </c>
      <c r="AB155" s="11">
        <v>2.5</v>
      </c>
      <c r="AC155" s="11">
        <v>18</v>
      </c>
      <c r="AD155" s="11" t="s">
        <v>1985</v>
      </c>
    </row>
    <row r="156" spans="20:30" ht="15" customHeight="1">
      <c r="T156" s="11" t="s">
        <v>1983</v>
      </c>
      <c r="U156" s="11">
        <v>15</v>
      </c>
      <c r="V156" s="11" t="s">
        <v>2187</v>
      </c>
      <c r="W156" s="11">
        <v>95</v>
      </c>
      <c r="X156" s="11">
        <v>95</v>
      </c>
      <c r="Y156" s="67">
        <v>90</v>
      </c>
      <c r="Z156" s="11">
        <v>8</v>
      </c>
      <c r="AA156" s="11">
        <v>2.5</v>
      </c>
      <c r="AB156" s="11">
        <v>2.5</v>
      </c>
      <c r="AC156" s="11">
        <v>18</v>
      </c>
      <c r="AD156" s="11" t="s">
        <v>1985</v>
      </c>
    </row>
    <row r="157" spans="20:30" ht="15" customHeight="1">
      <c r="T157" s="11" t="s">
        <v>1983</v>
      </c>
      <c r="U157" s="11">
        <v>15</v>
      </c>
      <c r="V157" s="11" t="s">
        <v>2188</v>
      </c>
      <c r="W157" s="11">
        <v>95</v>
      </c>
      <c r="X157" s="11">
        <v>95</v>
      </c>
      <c r="Y157" s="67">
        <v>90</v>
      </c>
      <c r="Z157" s="11">
        <v>8</v>
      </c>
      <c r="AA157" s="11">
        <v>2.5</v>
      </c>
      <c r="AB157" s="11">
        <v>2.5</v>
      </c>
      <c r="AC157" s="11">
        <v>18</v>
      </c>
      <c r="AD157" s="11" t="s">
        <v>1985</v>
      </c>
    </row>
    <row r="158" spans="20:30" ht="15" customHeight="1">
      <c r="T158" s="11" t="s">
        <v>1983</v>
      </c>
      <c r="U158" s="11">
        <v>15</v>
      </c>
      <c r="V158" s="11" t="s">
        <v>2189</v>
      </c>
      <c r="W158" s="11">
        <v>110</v>
      </c>
      <c r="X158" s="11">
        <v>105</v>
      </c>
      <c r="Y158" s="67">
        <v>100</v>
      </c>
      <c r="Z158" s="11">
        <v>8</v>
      </c>
      <c r="AA158" s="11">
        <v>2.5</v>
      </c>
      <c r="AB158" s="11">
        <v>2.5</v>
      </c>
      <c r="AC158" s="11">
        <v>18</v>
      </c>
      <c r="AD158" s="11" t="s">
        <v>1985</v>
      </c>
    </row>
    <row r="159" spans="20:30" ht="15" customHeight="1">
      <c r="T159" s="11" t="s">
        <v>1983</v>
      </c>
      <c r="U159" s="11">
        <v>15</v>
      </c>
      <c r="V159" s="11" t="s">
        <v>2190</v>
      </c>
      <c r="W159" s="11">
        <v>110</v>
      </c>
      <c r="X159" s="11">
        <v>105</v>
      </c>
      <c r="Y159" s="67">
        <v>100</v>
      </c>
      <c r="Z159" s="11">
        <v>8</v>
      </c>
      <c r="AA159" s="11">
        <v>2.5</v>
      </c>
      <c r="AB159" s="11">
        <v>2.5</v>
      </c>
      <c r="AC159" s="11">
        <v>18</v>
      </c>
      <c r="AD159" s="11" t="s">
        <v>1985</v>
      </c>
    </row>
    <row r="160" spans="20:30" ht="15" customHeight="1">
      <c r="T160" s="11" t="s">
        <v>1983</v>
      </c>
      <c r="U160" s="11">
        <v>15</v>
      </c>
      <c r="V160" s="11" t="s">
        <v>2191</v>
      </c>
      <c r="W160" s="11">
        <v>110</v>
      </c>
      <c r="X160" s="11">
        <v>105</v>
      </c>
      <c r="Y160" s="67">
        <v>100</v>
      </c>
      <c r="Z160" s="11">
        <v>8</v>
      </c>
      <c r="AA160" s="11">
        <v>2.5</v>
      </c>
      <c r="AB160" s="11">
        <v>2.5</v>
      </c>
      <c r="AC160" s="11">
        <v>18</v>
      </c>
      <c r="AD160" s="11" t="s">
        <v>1985</v>
      </c>
    </row>
    <row r="161" spans="20:30" ht="15" customHeight="1">
      <c r="T161" s="11" t="s">
        <v>1983</v>
      </c>
      <c r="U161" s="11">
        <v>15</v>
      </c>
      <c r="V161" s="11" t="s">
        <v>2192</v>
      </c>
      <c r="W161" s="11">
        <v>110</v>
      </c>
      <c r="X161" s="11">
        <v>105</v>
      </c>
      <c r="Y161" s="67">
        <v>100</v>
      </c>
      <c r="Z161" s="11">
        <v>8</v>
      </c>
      <c r="AA161" s="11">
        <v>2.5</v>
      </c>
      <c r="AB161" s="11">
        <v>2.5</v>
      </c>
      <c r="AC161" s="11">
        <v>18</v>
      </c>
      <c r="AD161" s="11" t="s">
        <v>1985</v>
      </c>
    </row>
    <row r="162" spans="20:30" ht="15" customHeight="1">
      <c r="T162" s="11" t="s">
        <v>1983</v>
      </c>
      <c r="U162" s="11">
        <v>15</v>
      </c>
      <c r="V162" s="11" t="s">
        <v>2193</v>
      </c>
      <c r="W162" s="11">
        <v>110</v>
      </c>
      <c r="X162" s="11">
        <v>105</v>
      </c>
      <c r="Y162" s="67">
        <v>100</v>
      </c>
      <c r="Z162" s="11">
        <v>8</v>
      </c>
      <c r="AA162" s="11">
        <v>2.5</v>
      </c>
      <c r="AB162" s="11">
        <v>2.5</v>
      </c>
      <c r="AC162" s="11">
        <v>18</v>
      </c>
      <c r="AD162" s="11" t="s">
        <v>1985</v>
      </c>
    </row>
    <row r="163" spans="20:30" ht="15" customHeight="1">
      <c r="T163" s="11" t="s">
        <v>1983</v>
      </c>
      <c r="U163" s="11">
        <v>15</v>
      </c>
      <c r="V163" s="11" t="s">
        <v>2194</v>
      </c>
      <c r="W163" s="11">
        <v>110</v>
      </c>
      <c r="X163" s="11">
        <v>105</v>
      </c>
      <c r="Y163" s="67">
        <v>100</v>
      </c>
      <c r="Z163" s="11">
        <v>8</v>
      </c>
      <c r="AA163" s="11">
        <v>2.5</v>
      </c>
      <c r="AB163" s="11">
        <v>2.5</v>
      </c>
      <c r="AC163" s="11">
        <v>18</v>
      </c>
      <c r="AD163" s="11" t="s">
        <v>1985</v>
      </c>
    </row>
    <row r="164" spans="20:30" ht="15" customHeight="1">
      <c r="T164" s="11" t="s">
        <v>1983</v>
      </c>
      <c r="U164" s="11">
        <v>15</v>
      </c>
      <c r="V164" s="11" t="s">
        <v>2195</v>
      </c>
      <c r="W164" s="11">
        <v>110</v>
      </c>
      <c r="X164" s="11">
        <v>105</v>
      </c>
      <c r="Y164" s="67">
        <v>100</v>
      </c>
      <c r="Z164" s="11">
        <v>8</v>
      </c>
      <c r="AA164" s="11">
        <v>2.5</v>
      </c>
      <c r="AB164" s="11">
        <v>2.5</v>
      </c>
      <c r="AC164" s="11">
        <v>18</v>
      </c>
      <c r="AD164" s="11" t="s">
        <v>1985</v>
      </c>
    </row>
    <row r="165" spans="20:30" ht="15" customHeight="1">
      <c r="T165" s="11" t="s">
        <v>1983</v>
      </c>
      <c r="U165" s="11">
        <v>15</v>
      </c>
      <c r="V165" s="11" t="s">
        <v>2196</v>
      </c>
      <c r="W165" s="11">
        <v>110</v>
      </c>
      <c r="X165" s="11">
        <v>105</v>
      </c>
      <c r="Y165" s="67">
        <v>100</v>
      </c>
      <c r="Z165" s="11">
        <v>8</v>
      </c>
      <c r="AA165" s="11">
        <v>2.5</v>
      </c>
      <c r="AB165" s="11">
        <v>2.5</v>
      </c>
      <c r="AC165" s="11">
        <v>18</v>
      </c>
      <c r="AD165" s="11" t="s">
        <v>1985</v>
      </c>
    </row>
    <row r="166" spans="20:30" ht="15" customHeight="1">
      <c r="T166" s="11" t="s">
        <v>1983</v>
      </c>
      <c r="U166" s="11">
        <v>15</v>
      </c>
      <c r="V166" s="11" t="s">
        <v>2197</v>
      </c>
      <c r="W166" s="11">
        <v>110</v>
      </c>
      <c r="X166" s="11">
        <v>105</v>
      </c>
      <c r="Y166" s="67">
        <v>100</v>
      </c>
      <c r="Z166" s="11">
        <v>8</v>
      </c>
      <c r="AA166" s="11">
        <v>2.5</v>
      </c>
      <c r="AB166" s="11">
        <v>2.5</v>
      </c>
      <c r="AC166" s="11">
        <v>18</v>
      </c>
      <c r="AD166" s="11" t="s">
        <v>2126</v>
      </c>
    </row>
    <row r="167" spans="20:30" ht="15" customHeight="1">
      <c r="T167" s="11" t="s">
        <v>1983</v>
      </c>
      <c r="U167" s="11">
        <v>20</v>
      </c>
      <c r="V167" s="11" t="s">
        <v>2198</v>
      </c>
      <c r="W167" s="11">
        <v>155</v>
      </c>
      <c r="X167" s="11">
        <v>155</v>
      </c>
      <c r="Y167" s="67">
        <v>150</v>
      </c>
      <c r="Z167" s="11">
        <v>12</v>
      </c>
      <c r="AA167" s="11">
        <v>2.5</v>
      </c>
      <c r="AB167" s="11">
        <v>2.5</v>
      </c>
      <c r="AC167" s="11">
        <v>20</v>
      </c>
      <c r="AD167" s="11" t="s">
        <v>2126</v>
      </c>
    </row>
    <row r="168" spans="20:30" ht="15" customHeight="1">
      <c r="T168" s="11" t="s">
        <v>1983</v>
      </c>
      <c r="U168" s="11">
        <v>20</v>
      </c>
      <c r="V168" s="11" t="s">
        <v>2199</v>
      </c>
      <c r="W168" s="11">
        <v>135</v>
      </c>
      <c r="X168" s="11">
        <v>135</v>
      </c>
      <c r="Y168" s="67">
        <v>130</v>
      </c>
      <c r="Z168" s="11">
        <v>8</v>
      </c>
      <c r="AA168" s="11">
        <v>2.5</v>
      </c>
      <c r="AB168" s="11">
        <v>2.5</v>
      </c>
      <c r="AC168" s="11">
        <v>20</v>
      </c>
      <c r="AD168" s="11" t="s">
        <v>2126</v>
      </c>
    </row>
    <row r="169" spans="20:30" ht="15" customHeight="1">
      <c r="T169" s="11" t="s">
        <v>1983</v>
      </c>
      <c r="U169" s="11">
        <v>15</v>
      </c>
      <c r="V169" s="11" t="s">
        <v>2200</v>
      </c>
      <c r="W169" s="11">
        <v>135</v>
      </c>
      <c r="X169" s="11">
        <v>135</v>
      </c>
      <c r="Y169" s="67">
        <v>130</v>
      </c>
      <c r="Z169" s="11">
        <v>8</v>
      </c>
      <c r="AA169" s="11">
        <v>2.5</v>
      </c>
      <c r="AB169" s="11">
        <v>2.5</v>
      </c>
      <c r="AC169" s="11">
        <v>20</v>
      </c>
      <c r="AD169" s="11" t="s">
        <v>2126</v>
      </c>
    </row>
    <row r="170" spans="20:30" ht="15" customHeight="1">
      <c r="T170" s="11" t="s">
        <v>1983</v>
      </c>
      <c r="U170" s="11">
        <v>20</v>
      </c>
      <c r="V170" s="11" t="s">
        <v>2201</v>
      </c>
      <c r="W170" s="11">
        <v>110</v>
      </c>
      <c r="X170" s="11">
        <v>105</v>
      </c>
      <c r="Y170" s="67">
        <v>100</v>
      </c>
      <c r="Z170" s="11">
        <v>8</v>
      </c>
      <c r="AA170" s="11">
        <v>2.5</v>
      </c>
      <c r="AB170" s="11">
        <v>2.5</v>
      </c>
      <c r="AC170" s="11">
        <v>18</v>
      </c>
      <c r="AD170" s="11" t="s">
        <v>2126</v>
      </c>
    </row>
    <row r="171" spans="20:30" ht="15" customHeight="1">
      <c r="T171" s="11" t="s">
        <v>1983</v>
      </c>
      <c r="U171" s="11">
        <v>15</v>
      </c>
      <c r="V171" s="11" t="s">
        <v>2202</v>
      </c>
      <c r="W171" s="11">
        <v>110</v>
      </c>
      <c r="X171" s="11">
        <v>105</v>
      </c>
      <c r="Y171" s="67">
        <v>100</v>
      </c>
      <c r="Z171" s="11">
        <v>8</v>
      </c>
      <c r="AA171" s="11">
        <v>2.5</v>
      </c>
      <c r="AB171" s="11">
        <v>2.5</v>
      </c>
      <c r="AC171" s="11">
        <v>18</v>
      </c>
      <c r="AD171" s="11" t="s">
        <v>2126</v>
      </c>
    </row>
    <row r="172" spans="20:30" ht="15" customHeight="1">
      <c r="T172" s="11" t="s">
        <v>1983</v>
      </c>
      <c r="U172" s="11">
        <v>10</v>
      </c>
      <c r="V172" s="11" t="s">
        <v>2203</v>
      </c>
      <c r="W172" s="11">
        <v>75</v>
      </c>
      <c r="X172" s="11">
        <v>75</v>
      </c>
      <c r="Y172" s="67">
        <v>70</v>
      </c>
      <c r="Z172" s="11">
        <v>8</v>
      </c>
      <c r="AA172" s="11">
        <v>2.5</v>
      </c>
      <c r="AB172" s="11">
        <v>2.5</v>
      </c>
      <c r="AC172" s="11">
        <v>15</v>
      </c>
      <c r="AD172" s="11" t="s">
        <v>1985</v>
      </c>
    </row>
    <row r="173" spans="20:30" ht="15" customHeight="1">
      <c r="T173" s="11" t="s">
        <v>1983</v>
      </c>
      <c r="U173" s="11">
        <v>10</v>
      </c>
      <c r="V173" s="11" t="s">
        <v>2204</v>
      </c>
      <c r="W173" s="11">
        <v>75</v>
      </c>
      <c r="X173" s="11">
        <v>75</v>
      </c>
      <c r="Y173" s="67">
        <v>70</v>
      </c>
      <c r="Z173" s="11">
        <v>8</v>
      </c>
      <c r="AA173" s="11">
        <v>2.5</v>
      </c>
      <c r="AB173" s="11">
        <v>2.5</v>
      </c>
      <c r="AC173" s="11">
        <v>15</v>
      </c>
      <c r="AD173" s="11" t="s">
        <v>1985</v>
      </c>
    </row>
    <row r="174" spans="20:30" ht="15" customHeight="1">
      <c r="T174" s="11" t="s">
        <v>1983</v>
      </c>
      <c r="U174" s="11">
        <v>10</v>
      </c>
      <c r="V174" s="11" t="s">
        <v>2205</v>
      </c>
      <c r="W174" s="11">
        <v>75</v>
      </c>
      <c r="X174" s="11">
        <v>75</v>
      </c>
      <c r="Y174" s="67">
        <v>70</v>
      </c>
      <c r="Z174" s="11">
        <v>8</v>
      </c>
      <c r="AA174" s="11">
        <v>2.5</v>
      </c>
      <c r="AB174" s="11">
        <v>2.5</v>
      </c>
      <c r="AC174" s="11">
        <v>15</v>
      </c>
      <c r="AD174" s="11" t="s">
        <v>1985</v>
      </c>
    </row>
    <row r="175" spans="20:30" ht="15" customHeight="1">
      <c r="T175" s="11" t="s">
        <v>1983</v>
      </c>
      <c r="U175" s="11">
        <v>10</v>
      </c>
      <c r="V175" s="11" t="s">
        <v>2206</v>
      </c>
      <c r="W175" s="11">
        <v>75</v>
      </c>
      <c r="X175" s="11">
        <v>75</v>
      </c>
      <c r="Y175" s="67">
        <v>70</v>
      </c>
      <c r="Z175" s="11">
        <v>8</v>
      </c>
      <c r="AA175" s="11">
        <v>2.5</v>
      </c>
      <c r="AB175" s="11">
        <v>2.5</v>
      </c>
      <c r="AC175" s="11">
        <v>15</v>
      </c>
      <c r="AD175" s="11" t="s">
        <v>1985</v>
      </c>
    </row>
    <row r="176" spans="20:30" ht="15" customHeight="1">
      <c r="T176" s="11" t="s">
        <v>1983</v>
      </c>
      <c r="U176" s="11">
        <v>15</v>
      </c>
      <c r="V176" s="11" t="s">
        <v>2207</v>
      </c>
      <c r="W176" s="11">
        <v>105</v>
      </c>
      <c r="X176" s="11">
        <v>105</v>
      </c>
      <c r="Y176" s="67">
        <v>100</v>
      </c>
      <c r="Z176" s="11">
        <v>8</v>
      </c>
      <c r="AA176" s="11">
        <v>2.5</v>
      </c>
      <c r="AB176" s="11">
        <v>2.5</v>
      </c>
      <c r="AC176" s="11">
        <v>18</v>
      </c>
      <c r="AD176" s="11" t="s">
        <v>1985</v>
      </c>
    </row>
    <row r="177" spans="20:30" ht="15" customHeight="1">
      <c r="T177" s="11" t="s">
        <v>1983</v>
      </c>
      <c r="U177" s="11">
        <v>15</v>
      </c>
      <c r="V177" s="11" t="s">
        <v>2208</v>
      </c>
      <c r="W177" s="11">
        <v>105</v>
      </c>
      <c r="X177" s="11">
        <v>105</v>
      </c>
      <c r="Y177" s="67">
        <v>100</v>
      </c>
      <c r="Z177" s="11">
        <v>8</v>
      </c>
      <c r="AA177" s="11">
        <v>2.5</v>
      </c>
      <c r="AB177" s="11">
        <v>2.5</v>
      </c>
      <c r="AC177" s="11">
        <v>18</v>
      </c>
      <c r="AD177" s="11" t="s">
        <v>1985</v>
      </c>
    </row>
    <row r="178" spans="20:30" ht="15" customHeight="1">
      <c r="T178" s="11" t="s">
        <v>1983</v>
      </c>
      <c r="U178" s="11">
        <v>15</v>
      </c>
      <c r="V178" s="11" t="s">
        <v>2209</v>
      </c>
      <c r="W178" s="11">
        <v>105</v>
      </c>
      <c r="X178" s="11">
        <v>105</v>
      </c>
      <c r="Y178" s="67">
        <v>100</v>
      </c>
      <c r="Z178" s="11">
        <v>8</v>
      </c>
      <c r="AA178" s="11">
        <v>2.5</v>
      </c>
      <c r="AB178" s="11">
        <v>2.5</v>
      </c>
      <c r="AC178" s="11">
        <v>18</v>
      </c>
      <c r="AD178" s="11" t="s">
        <v>1985</v>
      </c>
    </row>
    <row r="179" spans="20:30" ht="15" customHeight="1">
      <c r="T179" s="11" t="s">
        <v>1983</v>
      </c>
      <c r="U179" s="11">
        <v>15</v>
      </c>
      <c r="V179" s="11" t="s">
        <v>2210</v>
      </c>
      <c r="W179" s="11">
        <v>105</v>
      </c>
      <c r="X179" s="11">
        <v>105</v>
      </c>
      <c r="Y179" s="67">
        <v>100</v>
      </c>
      <c r="Z179" s="11">
        <v>8</v>
      </c>
      <c r="AA179" s="11">
        <v>2.5</v>
      </c>
      <c r="AB179" s="11">
        <v>2.5</v>
      </c>
      <c r="AC179" s="11">
        <v>18</v>
      </c>
      <c r="AD179" s="11" t="s">
        <v>1985</v>
      </c>
    </row>
    <row r="180" spans="20:30" ht="15" customHeight="1">
      <c r="T180" s="11" t="s">
        <v>1983</v>
      </c>
      <c r="U180" s="11">
        <v>15</v>
      </c>
      <c r="V180" s="11" t="s">
        <v>2211</v>
      </c>
      <c r="W180" s="11">
        <v>105</v>
      </c>
      <c r="X180" s="11">
        <v>105</v>
      </c>
      <c r="Y180" s="67">
        <v>100</v>
      </c>
      <c r="Z180" s="11">
        <v>8</v>
      </c>
      <c r="AA180" s="11">
        <v>2.5</v>
      </c>
      <c r="AB180" s="11">
        <v>2.5</v>
      </c>
      <c r="AC180" s="11">
        <v>18</v>
      </c>
      <c r="AD180" s="11" t="s">
        <v>1985</v>
      </c>
    </row>
    <row r="181" spans="20:30" ht="15" customHeight="1">
      <c r="T181" s="11" t="s">
        <v>1983</v>
      </c>
      <c r="U181" s="11">
        <v>15</v>
      </c>
      <c r="V181" s="11" t="s">
        <v>2212</v>
      </c>
      <c r="W181" s="11">
        <v>105</v>
      </c>
      <c r="X181" s="11">
        <v>105</v>
      </c>
      <c r="Y181" s="67">
        <v>100</v>
      </c>
      <c r="Z181" s="11">
        <v>8</v>
      </c>
      <c r="AA181" s="11">
        <v>2.5</v>
      </c>
      <c r="AB181" s="11">
        <v>2.5</v>
      </c>
      <c r="AC181" s="11">
        <v>18</v>
      </c>
      <c r="AD181" s="11" t="s">
        <v>1985</v>
      </c>
    </row>
    <row r="182" spans="20:30" ht="15" customHeight="1">
      <c r="T182" s="11" t="s">
        <v>1983</v>
      </c>
      <c r="U182" s="11">
        <v>15</v>
      </c>
      <c r="V182" s="11" t="s">
        <v>2213</v>
      </c>
      <c r="W182" s="11">
        <v>105</v>
      </c>
      <c r="X182" s="11">
        <v>105</v>
      </c>
      <c r="Y182" s="67">
        <v>100</v>
      </c>
      <c r="Z182" s="11">
        <v>8</v>
      </c>
      <c r="AA182" s="11">
        <v>2.5</v>
      </c>
      <c r="AB182" s="11">
        <v>2.5</v>
      </c>
      <c r="AC182" s="11">
        <v>18</v>
      </c>
      <c r="AD182" s="11" t="s">
        <v>1985</v>
      </c>
    </row>
    <row r="183" spans="20:30" ht="15" customHeight="1">
      <c r="T183" s="11" t="s">
        <v>1983</v>
      </c>
      <c r="U183" s="11">
        <v>15</v>
      </c>
      <c r="V183" s="11" t="s">
        <v>2214</v>
      </c>
      <c r="W183" s="11">
        <v>105</v>
      </c>
      <c r="X183" s="11">
        <v>105</v>
      </c>
      <c r="Y183" s="67">
        <v>100</v>
      </c>
      <c r="Z183" s="11">
        <v>8</v>
      </c>
      <c r="AA183" s="11">
        <v>2.5</v>
      </c>
      <c r="AB183" s="11">
        <v>2.5</v>
      </c>
      <c r="AC183" s="11">
        <v>18</v>
      </c>
      <c r="AD183" s="11" t="s">
        <v>1985</v>
      </c>
    </row>
    <row r="184" spans="20:30" ht="15" customHeight="1">
      <c r="T184" s="11" t="s">
        <v>1983</v>
      </c>
      <c r="U184" s="11">
        <v>15</v>
      </c>
      <c r="V184" s="11" t="s">
        <v>2215</v>
      </c>
      <c r="W184" s="11">
        <v>105</v>
      </c>
      <c r="X184" s="11">
        <v>105</v>
      </c>
      <c r="Y184" s="67">
        <v>100</v>
      </c>
      <c r="Z184" s="11">
        <v>8</v>
      </c>
      <c r="AA184" s="11">
        <v>2.5</v>
      </c>
      <c r="AB184" s="11">
        <v>2.5</v>
      </c>
      <c r="AC184" s="11">
        <v>18</v>
      </c>
      <c r="AD184" s="11" t="s">
        <v>1985</v>
      </c>
    </row>
    <row r="185" spans="20:30" ht="15" customHeight="1">
      <c r="T185" s="11" t="s">
        <v>1983</v>
      </c>
      <c r="U185" s="11">
        <v>15</v>
      </c>
      <c r="V185" s="11" t="s">
        <v>2216</v>
      </c>
      <c r="W185" s="11">
        <v>105</v>
      </c>
      <c r="X185" s="11">
        <v>105</v>
      </c>
      <c r="Y185" s="67">
        <v>100</v>
      </c>
      <c r="Z185" s="11">
        <v>8</v>
      </c>
      <c r="AA185" s="11">
        <v>2.5</v>
      </c>
      <c r="AB185" s="11">
        <v>2.5</v>
      </c>
      <c r="AC185" s="11">
        <v>18</v>
      </c>
      <c r="AD185" s="11" t="s">
        <v>1985</v>
      </c>
    </row>
    <row r="186" spans="20:30" ht="15" customHeight="1">
      <c r="T186" s="11" t="s">
        <v>1983</v>
      </c>
      <c r="U186" s="11">
        <v>15</v>
      </c>
      <c r="V186" s="11" t="s">
        <v>2217</v>
      </c>
      <c r="W186" s="11">
        <v>105</v>
      </c>
      <c r="X186" s="11">
        <v>105</v>
      </c>
      <c r="Y186" s="67">
        <v>100</v>
      </c>
      <c r="Z186" s="11">
        <v>8</v>
      </c>
      <c r="AA186" s="11">
        <v>2.5</v>
      </c>
      <c r="AB186" s="11">
        <v>2.5</v>
      </c>
      <c r="AC186" s="11">
        <v>18</v>
      </c>
      <c r="AD186" s="11" t="s">
        <v>1985</v>
      </c>
    </row>
    <row r="187" spans="20:30" ht="15" customHeight="1">
      <c r="T187" s="11" t="s">
        <v>1983</v>
      </c>
      <c r="U187" s="11">
        <v>15</v>
      </c>
      <c r="V187" s="11" t="s">
        <v>2218</v>
      </c>
      <c r="W187" s="11">
        <v>105</v>
      </c>
      <c r="X187" s="11">
        <v>105</v>
      </c>
      <c r="Y187" s="67">
        <v>100</v>
      </c>
      <c r="Z187" s="11">
        <v>8</v>
      </c>
      <c r="AA187" s="11">
        <v>2.5</v>
      </c>
      <c r="AB187" s="11">
        <v>2.5</v>
      </c>
      <c r="AC187" s="11">
        <v>18</v>
      </c>
      <c r="AD187" s="11" t="s">
        <v>1985</v>
      </c>
    </row>
    <row r="188" spans="20:30" ht="15" customHeight="1">
      <c r="T188" s="11" t="s">
        <v>1983</v>
      </c>
      <c r="U188" s="11">
        <v>20</v>
      </c>
      <c r="V188" s="11" t="s">
        <v>2219</v>
      </c>
      <c r="W188" s="11">
        <v>200</v>
      </c>
      <c r="X188" s="11">
        <v>195</v>
      </c>
      <c r="Y188" s="67">
        <v>190</v>
      </c>
      <c r="Z188" s="11">
        <v>10</v>
      </c>
      <c r="AA188" s="11">
        <v>3</v>
      </c>
      <c r="AB188" s="11">
        <v>2.5</v>
      </c>
      <c r="AC188" s="11">
        <v>25</v>
      </c>
      <c r="AD188" s="11" t="s">
        <v>2113</v>
      </c>
    </row>
    <row r="189" spans="20:30" ht="15" customHeight="1">
      <c r="T189" s="11" t="s">
        <v>1983</v>
      </c>
      <c r="U189" s="11">
        <v>20</v>
      </c>
      <c r="V189" s="11" t="s">
        <v>2220</v>
      </c>
      <c r="W189" s="11">
        <v>200</v>
      </c>
      <c r="X189" s="11">
        <v>195</v>
      </c>
      <c r="Y189" s="67">
        <v>190</v>
      </c>
      <c r="Z189" s="11">
        <v>10</v>
      </c>
      <c r="AA189" s="11">
        <v>3</v>
      </c>
      <c r="AB189" s="11">
        <v>2.5</v>
      </c>
      <c r="AC189" s="11">
        <v>25</v>
      </c>
      <c r="AD189" s="11" t="s">
        <v>2113</v>
      </c>
    </row>
    <row r="190" spans="20:30" ht="15" customHeight="1">
      <c r="T190" s="11" t="s">
        <v>1983</v>
      </c>
      <c r="U190" s="11">
        <v>20</v>
      </c>
      <c r="V190" s="11" t="s">
        <v>2221</v>
      </c>
      <c r="W190" s="11">
        <v>200</v>
      </c>
      <c r="X190" s="11">
        <v>195</v>
      </c>
      <c r="Y190" s="67">
        <v>190</v>
      </c>
      <c r="Z190" s="11">
        <v>10</v>
      </c>
      <c r="AA190" s="11">
        <v>3</v>
      </c>
      <c r="AB190" s="11">
        <v>2.5</v>
      </c>
      <c r="AC190" s="11">
        <v>25</v>
      </c>
      <c r="AD190" s="11" t="s">
        <v>2113</v>
      </c>
    </row>
    <row r="191" spans="20:30" ht="15" customHeight="1">
      <c r="T191" s="11" t="s">
        <v>1983</v>
      </c>
      <c r="U191" s="11">
        <v>20</v>
      </c>
      <c r="V191" s="11" t="s">
        <v>2222</v>
      </c>
      <c r="W191" s="11">
        <v>195</v>
      </c>
      <c r="X191" s="11">
        <v>195</v>
      </c>
      <c r="Y191" s="67">
        <v>190</v>
      </c>
      <c r="Z191" s="11">
        <v>10</v>
      </c>
      <c r="AA191" s="11">
        <v>3</v>
      </c>
      <c r="AB191" s="11">
        <v>2.5</v>
      </c>
      <c r="AC191" s="11">
        <v>25</v>
      </c>
      <c r="AD191" s="11" t="s">
        <v>2113</v>
      </c>
    </row>
    <row r="192" spans="20:30" ht="15" customHeight="1">
      <c r="T192" s="11" t="s">
        <v>1983</v>
      </c>
      <c r="U192" s="11">
        <v>20</v>
      </c>
      <c r="V192" s="11" t="s">
        <v>2223</v>
      </c>
      <c r="W192" s="11">
        <v>200</v>
      </c>
      <c r="X192" s="11">
        <v>195</v>
      </c>
      <c r="Y192" s="67">
        <v>190</v>
      </c>
      <c r="Z192" s="11">
        <v>10</v>
      </c>
      <c r="AA192" s="11">
        <v>3</v>
      </c>
      <c r="AB192" s="11">
        <v>2.5</v>
      </c>
      <c r="AC192" s="11">
        <v>25</v>
      </c>
      <c r="AD192" s="11" t="s">
        <v>2113</v>
      </c>
    </row>
    <row r="193" spans="20:30" ht="15" customHeight="1">
      <c r="T193" s="11" t="s">
        <v>1983</v>
      </c>
      <c r="U193" s="11">
        <v>20</v>
      </c>
      <c r="V193" s="11" t="s">
        <v>2224</v>
      </c>
      <c r="W193" s="11">
        <v>200</v>
      </c>
      <c r="X193" s="11">
        <v>195</v>
      </c>
      <c r="Y193" s="67">
        <v>190</v>
      </c>
      <c r="Z193" s="11">
        <v>10</v>
      </c>
      <c r="AA193" s="11">
        <v>3</v>
      </c>
      <c r="AB193" s="11">
        <v>2.5</v>
      </c>
      <c r="AC193" s="11">
        <v>25</v>
      </c>
      <c r="AD193" s="11" t="s">
        <v>2113</v>
      </c>
    </row>
    <row r="194" spans="20:30" ht="15" customHeight="1">
      <c r="T194" s="11" t="s">
        <v>1983</v>
      </c>
      <c r="U194" s="11">
        <v>20</v>
      </c>
      <c r="V194" s="11" t="s">
        <v>2225</v>
      </c>
      <c r="W194" s="11">
        <v>200</v>
      </c>
      <c r="X194" s="11">
        <v>195</v>
      </c>
      <c r="Y194" s="67">
        <v>190</v>
      </c>
      <c r="Z194" s="11">
        <v>10</v>
      </c>
      <c r="AA194" s="11">
        <v>3</v>
      </c>
      <c r="AB194" s="11">
        <v>2.5</v>
      </c>
      <c r="AC194" s="11">
        <v>25</v>
      </c>
      <c r="AD194" s="11" t="s">
        <v>2113</v>
      </c>
    </row>
    <row r="195" spans="20:30" ht="15" customHeight="1">
      <c r="T195" s="11" t="s">
        <v>1983</v>
      </c>
      <c r="U195" s="11">
        <v>20</v>
      </c>
      <c r="V195" s="11" t="s">
        <v>2226</v>
      </c>
      <c r="W195" s="11">
        <v>200</v>
      </c>
      <c r="X195" s="11">
        <v>195</v>
      </c>
      <c r="Y195" s="67">
        <v>190</v>
      </c>
      <c r="Z195" s="11">
        <v>10</v>
      </c>
      <c r="AA195" s="11">
        <v>3</v>
      </c>
      <c r="AB195" s="11">
        <v>2.5</v>
      </c>
      <c r="AC195" s="11">
        <v>25</v>
      </c>
      <c r="AD195" s="11" t="s">
        <v>2113</v>
      </c>
    </row>
    <row r="196" spans="20:30" ht="15" customHeight="1">
      <c r="T196" s="11" t="s">
        <v>1983</v>
      </c>
      <c r="U196" s="11">
        <v>0.6</v>
      </c>
      <c r="V196" s="11" t="s">
        <v>2227</v>
      </c>
      <c r="W196" s="11">
        <v>400</v>
      </c>
      <c r="X196" s="11">
        <v>400</v>
      </c>
      <c r="Y196" s="67">
        <v>390</v>
      </c>
      <c r="Z196" s="11">
        <v>20</v>
      </c>
      <c r="AA196" s="11" t="s">
        <v>630</v>
      </c>
      <c r="AB196" s="11" t="s">
        <v>630</v>
      </c>
      <c r="AC196" s="11">
        <v>60</v>
      </c>
      <c r="AD196" s="11" t="s">
        <v>2228</v>
      </c>
    </row>
    <row r="197" spans="20:30" ht="15" customHeight="1">
      <c r="T197" s="11" t="s">
        <v>1983</v>
      </c>
      <c r="U197" s="11" t="s">
        <v>1983</v>
      </c>
      <c r="V197" s="11" t="s">
        <v>2229</v>
      </c>
      <c r="W197" s="11" t="s">
        <v>1983</v>
      </c>
      <c r="X197" s="11" t="s">
        <v>1983</v>
      </c>
      <c r="Y197" s="67" t="s">
        <v>1983</v>
      </c>
      <c r="Z197" s="11" t="s">
        <v>1983</v>
      </c>
      <c r="AA197" s="11" t="s">
        <v>1983</v>
      </c>
      <c r="AB197" s="11" t="s">
        <v>1983</v>
      </c>
      <c r="AC197" s="11" t="s">
        <v>1983</v>
      </c>
      <c r="AD197" s="11"/>
    </row>
    <row r="198" spans="20:30" ht="15" customHeight="1">
      <c r="T198" s="11" t="s">
        <v>1983</v>
      </c>
      <c r="U198" s="11" t="s">
        <v>1983</v>
      </c>
      <c r="V198" s="11" t="s">
        <v>2230</v>
      </c>
      <c r="W198" s="11" t="s">
        <v>1983</v>
      </c>
      <c r="X198" s="11" t="s">
        <v>1983</v>
      </c>
      <c r="Y198" s="67" t="s">
        <v>1983</v>
      </c>
      <c r="Z198" s="11" t="s">
        <v>1983</v>
      </c>
      <c r="AA198" s="11" t="s">
        <v>1983</v>
      </c>
      <c r="AB198" s="11" t="s">
        <v>1983</v>
      </c>
      <c r="AC198" s="11" t="s">
        <v>1983</v>
      </c>
      <c r="AD198" s="11"/>
    </row>
    <row r="199" spans="20:30" ht="15" customHeight="1">
      <c r="T199" s="11" t="s">
        <v>1983</v>
      </c>
      <c r="U199" s="11" t="s">
        <v>1983</v>
      </c>
      <c r="V199" s="11" t="s">
        <v>2231</v>
      </c>
      <c r="W199" s="11" t="s">
        <v>1983</v>
      </c>
      <c r="X199" s="11" t="s">
        <v>1983</v>
      </c>
      <c r="Y199" s="67" t="s">
        <v>1983</v>
      </c>
      <c r="Z199" s="11" t="s">
        <v>1983</v>
      </c>
      <c r="AA199" s="11" t="s">
        <v>1983</v>
      </c>
      <c r="AB199" s="11" t="s">
        <v>1983</v>
      </c>
      <c r="AC199" s="11" t="s">
        <v>1983</v>
      </c>
      <c r="AD199" s="11"/>
    </row>
    <row r="200" spans="20:30" ht="15" customHeight="1">
      <c r="T200" s="11" t="s">
        <v>1983</v>
      </c>
      <c r="U200" s="11" t="s">
        <v>1983</v>
      </c>
      <c r="V200" s="11" t="s">
        <v>2232</v>
      </c>
      <c r="W200" s="11" t="s">
        <v>1983</v>
      </c>
      <c r="X200" s="11" t="s">
        <v>1983</v>
      </c>
      <c r="Y200" s="67" t="s">
        <v>1983</v>
      </c>
      <c r="Z200" s="11" t="s">
        <v>1983</v>
      </c>
      <c r="AA200" s="11" t="s">
        <v>1983</v>
      </c>
      <c r="AB200" s="11" t="s">
        <v>1983</v>
      </c>
      <c r="AC200" s="11" t="s">
        <v>1983</v>
      </c>
      <c r="AD200" s="11"/>
    </row>
    <row r="201" spans="20:30" ht="15" customHeight="1">
      <c r="T201" s="11" t="s">
        <v>1983</v>
      </c>
      <c r="U201" s="11" t="s">
        <v>1983</v>
      </c>
      <c r="V201" s="11" t="s">
        <v>2233</v>
      </c>
      <c r="W201" s="11" t="s">
        <v>1983</v>
      </c>
      <c r="X201" s="11" t="s">
        <v>1983</v>
      </c>
      <c r="Y201" s="67" t="s">
        <v>1983</v>
      </c>
      <c r="Z201" s="11" t="s">
        <v>1983</v>
      </c>
      <c r="AA201" s="11" t="s">
        <v>1983</v>
      </c>
      <c r="AB201" s="11" t="s">
        <v>1983</v>
      </c>
      <c r="AC201" s="11" t="s">
        <v>1983</v>
      </c>
      <c r="AD201" s="11"/>
    </row>
    <row r="202" spans="20:30" ht="15" customHeight="1">
      <c r="T202" s="11" t="s">
        <v>1983</v>
      </c>
      <c r="U202" s="11" t="s">
        <v>1983</v>
      </c>
      <c r="V202" s="11" t="s">
        <v>2234</v>
      </c>
      <c r="W202" s="11" t="s">
        <v>1983</v>
      </c>
      <c r="X202" s="11" t="s">
        <v>1983</v>
      </c>
      <c r="Y202" s="67" t="s">
        <v>1983</v>
      </c>
      <c r="Z202" s="11" t="s">
        <v>1983</v>
      </c>
      <c r="AA202" s="11" t="s">
        <v>1983</v>
      </c>
      <c r="AB202" s="11" t="s">
        <v>1983</v>
      </c>
      <c r="AC202" s="11" t="s">
        <v>1983</v>
      </c>
      <c r="AD202" s="11"/>
    </row>
    <row r="203" spans="20:30" ht="15" customHeight="1">
      <c r="T203" s="11" t="s">
        <v>1983</v>
      </c>
      <c r="U203" s="11" t="s">
        <v>1983</v>
      </c>
      <c r="V203" s="11" t="s">
        <v>2235</v>
      </c>
      <c r="W203" s="11" t="s">
        <v>1983</v>
      </c>
      <c r="X203" s="11" t="s">
        <v>1983</v>
      </c>
      <c r="Y203" s="67" t="s">
        <v>1983</v>
      </c>
      <c r="Z203" s="11" t="s">
        <v>1983</v>
      </c>
      <c r="AA203" s="11" t="s">
        <v>1983</v>
      </c>
      <c r="AB203" s="11" t="s">
        <v>1983</v>
      </c>
      <c r="AC203" s="11" t="s">
        <v>1983</v>
      </c>
      <c r="AD203" s="11"/>
    </row>
    <row r="204" spans="20:30" ht="15" customHeight="1">
      <c r="T204" s="11" t="s">
        <v>1983</v>
      </c>
      <c r="U204" s="11">
        <v>25</v>
      </c>
      <c r="V204" s="11" t="s">
        <v>2236</v>
      </c>
      <c r="W204" s="11">
        <v>190</v>
      </c>
      <c r="X204" s="11">
        <v>190</v>
      </c>
      <c r="Y204" s="67">
        <v>185</v>
      </c>
      <c r="Z204" s="11">
        <v>10</v>
      </c>
      <c r="AA204" s="11">
        <v>3</v>
      </c>
      <c r="AB204" s="11">
        <v>2.5</v>
      </c>
      <c r="AC204" s="11">
        <v>25</v>
      </c>
      <c r="AD204" s="11" t="s">
        <v>2113</v>
      </c>
    </row>
    <row r="205" spans="20:30" ht="15" customHeight="1">
      <c r="T205" s="11" t="s">
        <v>1983</v>
      </c>
      <c r="U205" s="11">
        <v>20</v>
      </c>
      <c r="V205" s="11" t="s">
        <v>2237</v>
      </c>
      <c r="W205" s="11">
        <v>185</v>
      </c>
      <c r="X205" s="11">
        <v>185</v>
      </c>
      <c r="Y205" s="67">
        <v>180</v>
      </c>
      <c r="Z205" s="11">
        <v>10</v>
      </c>
      <c r="AA205" s="11">
        <v>2.5</v>
      </c>
      <c r="AB205" s="11">
        <v>2.5</v>
      </c>
      <c r="AC205" s="11">
        <v>20</v>
      </c>
      <c r="AD205" s="11" t="s">
        <v>2113</v>
      </c>
    </row>
    <row r="206" spans="20:30" ht="15" customHeight="1">
      <c r="T206" s="11" t="s">
        <v>1983</v>
      </c>
      <c r="U206" s="11">
        <v>0.4</v>
      </c>
      <c r="V206" s="11" t="s">
        <v>2238</v>
      </c>
      <c r="W206" s="11">
        <v>28000</v>
      </c>
      <c r="X206" s="11"/>
      <c r="Y206" s="67"/>
      <c r="Z206" s="11">
        <v>12</v>
      </c>
      <c r="AA206" s="11">
        <v>2.5</v>
      </c>
      <c r="AB206" s="11">
        <v>2.5</v>
      </c>
      <c r="AC206" s="11">
        <v>25</v>
      </c>
      <c r="AD206" s="11" t="s">
        <v>2113</v>
      </c>
    </row>
    <row r="207" spans="20:30" ht="15" customHeight="1">
      <c r="T207" s="11" t="s">
        <v>1983</v>
      </c>
      <c r="U207" s="11">
        <v>20</v>
      </c>
      <c r="V207" s="11" t="s">
        <v>2239</v>
      </c>
      <c r="W207" s="11">
        <v>190</v>
      </c>
      <c r="X207" s="11">
        <v>190</v>
      </c>
      <c r="Y207" s="67">
        <v>185</v>
      </c>
      <c r="Z207" s="11">
        <v>10</v>
      </c>
      <c r="AA207" s="11">
        <v>3</v>
      </c>
      <c r="AB207" s="11">
        <v>2.5</v>
      </c>
      <c r="AC207" s="11">
        <v>25</v>
      </c>
      <c r="AD207" s="11" t="s">
        <v>2113</v>
      </c>
    </row>
    <row r="208" spans="20:30" ht="15" customHeight="1">
      <c r="T208" s="11" t="s">
        <v>1983</v>
      </c>
      <c r="U208" s="11">
        <v>20</v>
      </c>
      <c r="V208" s="11" t="s">
        <v>2240</v>
      </c>
      <c r="W208" s="11">
        <v>185</v>
      </c>
      <c r="X208" s="11">
        <v>185</v>
      </c>
      <c r="Y208" s="67">
        <v>180</v>
      </c>
      <c r="Z208" s="11">
        <v>10</v>
      </c>
      <c r="AA208" s="11">
        <v>2.5</v>
      </c>
      <c r="AB208" s="11">
        <v>2.5</v>
      </c>
      <c r="AC208" s="11">
        <v>20</v>
      </c>
      <c r="AD208" s="11" t="s">
        <v>2113</v>
      </c>
    </row>
    <row r="209" spans="20:30" ht="15" customHeight="1">
      <c r="T209" s="11" t="s">
        <v>1983</v>
      </c>
      <c r="U209" s="11">
        <v>20</v>
      </c>
      <c r="V209" s="11" t="s">
        <v>2241</v>
      </c>
      <c r="W209" s="11">
        <v>185</v>
      </c>
      <c r="X209" s="11">
        <v>185</v>
      </c>
      <c r="Y209" s="67">
        <v>180</v>
      </c>
      <c r="Z209" s="11">
        <v>10</v>
      </c>
      <c r="AA209" s="11">
        <v>2.5</v>
      </c>
      <c r="AB209" s="11">
        <v>2.5</v>
      </c>
      <c r="AC209" s="11">
        <v>20</v>
      </c>
      <c r="AD209" s="11" t="s">
        <v>2113</v>
      </c>
    </row>
    <row r="210" spans="20:30" ht="15" customHeight="1">
      <c r="T210" s="11" t="s">
        <v>1983</v>
      </c>
      <c r="U210" s="11">
        <v>25</v>
      </c>
      <c r="V210" s="11" t="s">
        <v>2242</v>
      </c>
      <c r="W210" s="11">
        <v>190</v>
      </c>
      <c r="X210" s="11">
        <v>190</v>
      </c>
      <c r="Y210" s="67">
        <v>185</v>
      </c>
      <c r="Z210" s="11">
        <v>10</v>
      </c>
      <c r="AA210" s="11">
        <v>3</v>
      </c>
      <c r="AB210" s="11">
        <v>2.5</v>
      </c>
      <c r="AC210" s="11">
        <v>20</v>
      </c>
      <c r="AD210" s="11" t="s">
        <v>2113</v>
      </c>
    </row>
    <row r="211" spans="20:30" ht="15" customHeight="1">
      <c r="T211" s="11" t="s">
        <v>1983</v>
      </c>
      <c r="U211" s="11">
        <v>15</v>
      </c>
      <c r="V211" s="11" t="s">
        <v>2243</v>
      </c>
      <c r="W211" s="11">
        <v>120</v>
      </c>
      <c r="X211" s="11">
        <v>115</v>
      </c>
      <c r="Y211" s="67">
        <v>110</v>
      </c>
      <c r="Z211" s="11">
        <v>9</v>
      </c>
      <c r="AA211" s="11">
        <v>2.5</v>
      </c>
      <c r="AB211" s="11">
        <v>2.5</v>
      </c>
      <c r="AC211" s="11">
        <v>18</v>
      </c>
      <c r="AD211" s="11" t="s">
        <v>2113</v>
      </c>
    </row>
    <row r="212" spans="20:30" ht="15" customHeight="1">
      <c r="T212" s="11" t="s">
        <v>1983</v>
      </c>
      <c r="U212" s="11">
        <v>22</v>
      </c>
      <c r="V212" s="11" t="s">
        <v>2244</v>
      </c>
      <c r="W212" s="11">
        <v>135</v>
      </c>
      <c r="X212" s="11">
        <v>135</v>
      </c>
      <c r="Y212" s="67">
        <v>130</v>
      </c>
      <c r="Z212" s="11">
        <v>10</v>
      </c>
      <c r="AA212" s="11">
        <v>2.5</v>
      </c>
      <c r="AB212" s="11">
        <v>2.5</v>
      </c>
      <c r="AC212" s="11">
        <v>20</v>
      </c>
      <c r="AD212" s="11" t="s">
        <v>1985</v>
      </c>
    </row>
    <row r="213" spans="20:30" ht="15" customHeight="1">
      <c r="T213" s="11" t="s">
        <v>1983</v>
      </c>
      <c r="U213" s="11">
        <v>22</v>
      </c>
      <c r="V213" s="11" t="s">
        <v>2245</v>
      </c>
      <c r="W213" s="11">
        <v>135</v>
      </c>
      <c r="X213" s="11">
        <v>135</v>
      </c>
      <c r="Y213" s="67">
        <v>130</v>
      </c>
      <c r="Z213" s="11">
        <v>10</v>
      </c>
      <c r="AA213" s="11">
        <v>2.5</v>
      </c>
      <c r="AB213" s="11">
        <v>2.5</v>
      </c>
      <c r="AC213" s="11">
        <v>20</v>
      </c>
      <c r="AD213" s="11" t="s">
        <v>1985</v>
      </c>
    </row>
    <row r="214" spans="20:30" ht="15" customHeight="1">
      <c r="T214" s="11" t="s">
        <v>1983</v>
      </c>
      <c r="U214" s="11">
        <v>22</v>
      </c>
      <c r="V214" s="11" t="s">
        <v>2246</v>
      </c>
      <c r="W214" s="11">
        <v>135</v>
      </c>
      <c r="X214" s="11">
        <v>135</v>
      </c>
      <c r="Y214" s="67">
        <v>130</v>
      </c>
      <c r="Z214" s="11">
        <v>10</v>
      </c>
      <c r="AA214" s="11">
        <v>2.5</v>
      </c>
      <c r="AB214" s="11">
        <v>2.5</v>
      </c>
      <c r="AC214" s="11">
        <v>20</v>
      </c>
      <c r="AD214" s="11" t="s">
        <v>1985</v>
      </c>
    </row>
    <row r="215" spans="20:30" ht="15" customHeight="1">
      <c r="T215" s="11" t="s">
        <v>1983</v>
      </c>
      <c r="U215" s="11">
        <v>27.5</v>
      </c>
      <c r="V215" s="11" t="s">
        <v>2247</v>
      </c>
      <c r="W215" s="11">
        <v>190</v>
      </c>
      <c r="X215" s="11">
        <v>190</v>
      </c>
      <c r="Y215" s="67">
        <v>185</v>
      </c>
      <c r="Z215" s="11">
        <v>12</v>
      </c>
      <c r="AA215" s="11">
        <v>3</v>
      </c>
      <c r="AB215" s="11">
        <v>2.5</v>
      </c>
      <c r="AC215" s="11">
        <v>25</v>
      </c>
      <c r="AD215" s="11" t="s">
        <v>2113</v>
      </c>
    </row>
    <row r="216" spans="20:30" ht="15" customHeight="1">
      <c r="T216" s="11" t="s">
        <v>1983</v>
      </c>
      <c r="U216" s="11">
        <v>22</v>
      </c>
      <c r="V216" s="11" t="s">
        <v>2248</v>
      </c>
      <c r="W216" s="11">
        <v>135</v>
      </c>
      <c r="X216" s="11">
        <v>135</v>
      </c>
      <c r="Y216" s="67">
        <v>130</v>
      </c>
      <c r="Z216" s="11">
        <v>10</v>
      </c>
      <c r="AA216" s="11">
        <v>2.5</v>
      </c>
      <c r="AB216" s="11">
        <v>2.5</v>
      </c>
      <c r="AC216" s="11">
        <v>20</v>
      </c>
      <c r="AD216" s="11" t="s">
        <v>1985</v>
      </c>
    </row>
    <row r="217" spans="20:30" ht="15" customHeight="1">
      <c r="T217" s="11" t="s">
        <v>1983</v>
      </c>
      <c r="U217" s="11">
        <v>27.5</v>
      </c>
      <c r="V217" s="11" t="s">
        <v>2249</v>
      </c>
      <c r="W217" s="11">
        <v>175</v>
      </c>
      <c r="X217" s="11">
        <v>175</v>
      </c>
      <c r="Y217" s="67">
        <v>170</v>
      </c>
      <c r="Z217" s="11">
        <v>12</v>
      </c>
      <c r="AA217" s="11">
        <v>3</v>
      </c>
      <c r="AB217" s="11">
        <v>2.5</v>
      </c>
      <c r="AC217" s="11">
        <v>22</v>
      </c>
      <c r="AD217" s="11" t="s">
        <v>2113</v>
      </c>
    </row>
    <row r="218" spans="20:30" ht="15" customHeight="1">
      <c r="T218" s="11" t="s">
        <v>1983</v>
      </c>
      <c r="U218" s="11">
        <v>22</v>
      </c>
      <c r="V218" s="11" t="s">
        <v>2250</v>
      </c>
      <c r="W218" s="11">
        <v>135</v>
      </c>
      <c r="X218" s="11">
        <v>135</v>
      </c>
      <c r="Y218" s="67">
        <v>130</v>
      </c>
      <c r="Z218" s="11">
        <v>10</v>
      </c>
      <c r="AA218" s="11">
        <v>2.5</v>
      </c>
      <c r="AB218" s="11">
        <v>2.5</v>
      </c>
      <c r="AC218" s="11">
        <v>20</v>
      </c>
      <c r="AD218" s="11" t="s">
        <v>1985</v>
      </c>
    </row>
    <row r="219" spans="20:30" ht="15" customHeight="1">
      <c r="T219" s="11" t="s">
        <v>1983</v>
      </c>
      <c r="U219" s="11">
        <v>22</v>
      </c>
      <c r="V219" s="11" t="s">
        <v>2251</v>
      </c>
      <c r="W219" s="11">
        <v>135</v>
      </c>
      <c r="X219" s="11">
        <v>135</v>
      </c>
      <c r="Y219" s="67">
        <v>130</v>
      </c>
      <c r="Z219" s="11">
        <v>10</v>
      </c>
      <c r="AA219" s="11">
        <v>2.5</v>
      </c>
      <c r="AB219" s="11">
        <v>2.5</v>
      </c>
      <c r="AC219" s="11">
        <v>20</v>
      </c>
      <c r="AD219" s="11" t="s">
        <v>1985</v>
      </c>
    </row>
    <row r="220" spans="20:30" ht="15" customHeight="1">
      <c r="T220" s="11" t="s">
        <v>1983</v>
      </c>
      <c r="U220" s="11">
        <v>22</v>
      </c>
      <c r="V220" s="11" t="s">
        <v>2252</v>
      </c>
      <c r="W220" s="11">
        <v>135</v>
      </c>
      <c r="X220" s="11">
        <v>135</v>
      </c>
      <c r="Y220" s="67">
        <v>130</v>
      </c>
      <c r="Z220" s="11">
        <v>10</v>
      </c>
      <c r="AA220" s="11">
        <v>2.5</v>
      </c>
      <c r="AB220" s="11">
        <v>2.5</v>
      </c>
      <c r="AC220" s="11">
        <v>20</v>
      </c>
      <c r="AD220" s="11" t="s">
        <v>1985</v>
      </c>
    </row>
    <row r="221" spans="20:30" ht="15" customHeight="1">
      <c r="T221" s="11" t="s">
        <v>1983</v>
      </c>
      <c r="U221" s="11">
        <v>27.5</v>
      </c>
      <c r="V221" s="11" t="s">
        <v>2253</v>
      </c>
      <c r="W221" s="11">
        <v>190</v>
      </c>
      <c r="X221" s="11">
        <v>190</v>
      </c>
      <c r="Y221" s="67">
        <v>185</v>
      </c>
      <c r="Z221" s="11">
        <v>12</v>
      </c>
      <c r="AA221" s="11">
        <v>3</v>
      </c>
      <c r="AB221" s="11">
        <v>2.5</v>
      </c>
      <c r="AC221" s="11">
        <v>25</v>
      </c>
      <c r="AD221" s="11" t="s">
        <v>2113</v>
      </c>
    </row>
    <row r="222" spans="20:30" ht="15" customHeight="1">
      <c r="T222" s="11" t="s">
        <v>1983</v>
      </c>
      <c r="U222" s="11">
        <v>22</v>
      </c>
      <c r="V222" s="11" t="s">
        <v>2254</v>
      </c>
      <c r="W222" s="11">
        <v>135</v>
      </c>
      <c r="X222" s="11">
        <v>135</v>
      </c>
      <c r="Y222" s="67">
        <v>130</v>
      </c>
      <c r="Z222" s="11">
        <v>10</v>
      </c>
      <c r="AA222" s="11">
        <v>2.5</v>
      </c>
      <c r="AB222" s="11">
        <v>2.5</v>
      </c>
      <c r="AC222" s="11">
        <v>20</v>
      </c>
      <c r="AD222" s="11" t="s">
        <v>1985</v>
      </c>
    </row>
    <row r="223" spans="20:30" ht="15" customHeight="1">
      <c r="T223" s="11" t="s">
        <v>1983</v>
      </c>
      <c r="U223" s="11">
        <v>27.5</v>
      </c>
      <c r="V223" s="11" t="s">
        <v>2255</v>
      </c>
      <c r="W223" s="11">
        <v>175</v>
      </c>
      <c r="X223" s="11">
        <v>175</v>
      </c>
      <c r="Y223" s="67">
        <v>170</v>
      </c>
      <c r="Z223" s="11">
        <v>12</v>
      </c>
      <c r="AA223" s="11">
        <v>3</v>
      </c>
      <c r="AB223" s="11">
        <v>2.5</v>
      </c>
      <c r="AC223" s="11">
        <v>22</v>
      </c>
      <c r="AD223" s="11" t="s">
        <v>2113</v>
      </c>
    </row>
    <row r="224" spans="20:30" ht="15" customHeight="1">
      <c r="T224" s="11" t="s">
        <v>1983</v>
      </c>
      <c r="U224" s="11">
        <v>22</v>
      </c>
      <c r="V224" s="11" t="s">
        <v>2256</v>
      </c>
      <c r="W224" s="11">
        <v>135</v>
      </c>
      <c r="X224" s="11">
        <v>135</v>
      </c>
      <c r="Y224" s="67">
        <v>130</v>
      </c>
      <c r="Z224" s="11">
        <v>10</v>
      </c>
      <c r="AA224" s="11">
        <v>2.5</v>
      </c>
      <c r="AB224" s="11">
        <v>2.5</v>
      </c>
      <c r="AC224" s="11">
        <v>20</v>
      </c>
      <c r="AD224" s="11" t="s">
        <v>1985</v>
      </c>
    </row>
    <row r="225" spans="20:30" ht="15" customHeight="1">
      <c r="T225" s="11" t="s">
        <v>1983</v>
      </c>
      <c r="U225" s="11">
        <v>22</v>
      </c>
      <c r="V225" s="11" t="s">
        <v>2257</v>
      </c>
      <c r="W225" s="11">
        <v>135</v>
      </c>
      <c r="X225" s="11">
        <v>135</v>
      </c>
      <c r="Y225" s="67">
        <v>130</v>
      </c>
      <c r="Z225" s="11">
        <v>10</v>
      </c>
      <c r="AA225" s="11">
        <v>2.5</v>
      </c>
      <c r="AB225" s="11">
        <v>2.5</v>
      </c>
      <c r="AC225" s="11">
        <v>20</v>
      </c>
      <c r="AD225" s="11" t="s">
        <v>1985</v>
      </c>
    </row>
    <row r="226" spans="20:30" ht="15" customHeight="1">
      <c r="T226" s="11" t="s">
        <v>1983</v>
      </c>
      <c r="U226" s="11">
        <v>22</v>
      </c>
      <c r="V226" s="11" t="s">
        <v>2258</v>
      </c>
      <c r="W226" s="11">
        <v>135</v>
      </c>
      <c r="X226" s="11">
        <v>135</v>
      </c>
      <c r="Y226" s="67">
        <v>130</v>
      </c>
      <c r="Z226" s="11">
        <v>10</v>
      </c>
      <c r="AA226" s="11">
        <v>2.5</v>
      </c>
      <c r="AB226" s="11">
        <v>2.5</v>
      </c>
      <c r="AC226" s="11">
        <v>20</v>
      </c>
      <c r="AD226" s="11" t="s">
        <v>1985</v>
      </c>
    </row>
    <row r="227" spans="20:30" ht="15" customHeight="1">
      <c r="T227" s="11" t="s">
        <v>1983</v>
      </c>
      <c r="U227" s="11">
        <v>27.5</v>
      </c>
      <c r="V227" s="11" t="s">
        <v>2259</v>
      </c>
      <c r="W227" s="11">
        <v>190</v>
      </c>
      <c r="X227" s="11">
        <v>190</v>
      </c>
      <c r="Y227" s="67">
        <v>185</v>
      </c>
      <c r="Z227" s="11">
        <v>12</v>
      </c>
      <c r="AA227" s="11">
        <v>3</v>
      </c>
      <c r="AB227" s="11">
        <v>2.5</v>
      </c>
      <c r="AC227" s="11">
        <v>25</v>
      </c>
      <c r="AD227" s="11" t="s">
        <v>2113</v>
      </c>
    </row>
    <row r="228" spans="20:30" ht="15" customHeight="1">
      <c r="T228" s="11" t="s">
        <v>1983</v>
      </c>
      <c r="U228" s="11">
        <v>22</v>
      </c>
      <c r="V228" s="11" t="s">
        <v>2260</v>
      </c>
      <c r="W228" s="11">
        <v>135</v>
      </c>
      <c r="X228" s="11">
        <v>135</v>
      </c>
      <c r="Y228" s="67">
        <v>130</v>
      </c>
      <c r="Z228" s="11">
        <v>10</v>
      </c>
      <c r="AA228" s="11">
        <v>2.5</v>
      </c>
      <c r="AB228" s="11">
        <v>2.5</v>
      </c>
      <c r="AC228" s="11">
        <v>20</v>
      </c>
      <c r="AD228" s="11" t="s">
        <v>1985</v>
      </c>
    </row>
    <row r="229" spans="20:30" ht="15" customHeight="1">
      <c r="T229" s="11" t="s">
        <v>1983</v>
      </c>
      <c r="U229" s="11">
        <v>27.5</v>
      </c>
      <c r="V229" s="11" t="s">
        <v>2261</v>
      </c>
      <c r="W229" s="11">
        <v>175</v>
      </c>
      <c r="X229" s="11">
        <v>175</v>
      </c>
      <c r="Y229" s="67">
        <v>170</v>
      </c>
      <c r="Z229" s="11">
        <v>12</v>
      </c>
      <c r="AA229" s="11">
        <v>3</v>
      </c>
      <c r="AB229" s="11">
        <v>2.5</v>
      </c>
      <c r="AC229" s="11">
        <v>22</v>
      </c>
      <c r="AD229" s="11" t="s">
        <v>2113</v>
      </c>
    </row>
    <row r="230" spans="20:30" ht="15" customHeight="1">
      <c r="T230" s="11" t="s">
        <v>1983</v>
      </c>
      <c r="U230" s="11">
        <v>15</v>
      </c>
      <c r="V230" s="11" t="s">
        <v>2262</v>
      </c>
      <c r="W230" s="11">
        <v>125</v>
      </c>
      <c r="X230" s="11">
        <v>125</v>
      </c>
      <c r="Y230" s="67">
        <v>120</v>
      </c>
      <c r="Z230" s="11">
        <v>8</v>
      </c>
      <c r="AA230" s="11">
        <v>2.5</v>
      </c>
      <c r="AB230" s="11">
        <v>2.5</v>
      </c>
      <c r="AC230" s="11">
        <v>20</v>
      </c>
      <c r="AD230" s="11" t="s">
        <v>1985</v>
      </c>
    </row>
    <row r="231" spans="20:30" ht="15" customHeight="1">
      <c r="T231" s="11" t="s">
        <v>1983</v>
      </c>
      <c r="U231" s="11">
        <v>15</v>
      </c>
      <c r="V231" s="11" t="s">
        <v>2263</v>
      </c>
      <c r="W231" s="11">
        <v>125</v>
      </c>
      <c r="X231" s="11">
        <v>125</v>
      </c>
      <c r="Y231" s="67">
        <v>120</v>
      </c>
      <c r="Z231" s="11">
        <v>8</v>
      </c>
      <c r="AA231" s="11">
        <v>2.5</v>
      </c>
      <c r="AB231" s="11">
        <v>2.5</v>
      </c>
      <c r="AC231" s="11">
        <v>20</v>
      </c>
      <c r="AD231" s="11" t="s">
        <v>1985</v>
      </c>
    </row>
    <row r="232" spans="20:30" ht="15" customHeight="1">
      <c r="T232" s="11" t="s">
        <v>1983</v>
      </c>
      <c r="U232" s="11">
        <v>15</v>
      </c>
      <c r="V232" s="11" t="s">
        <v>2264</v>
      </c>
      <c r="W232" s="11">
        <v>125</v>
      </c>
      <c r="X232" s="11">
        <v>125</v>
      </c>
      <c r="Y232" s="67">
        <v>120</v>
      </c>
      <c r="Z232" s="11">
        <v>8</v>
      </c>
      <c r="AA232" s="11">
        <v>2.5</v>
      </c>
      <c r="AB232" s="11">
        <v>2.5</v>
      </c>
      <c r="AC232" s="11">
        <v>20</v>
      </c>
      <c r="AD232" s="11" t="s">
        <v>1985</v>
      </c>
    </row>
    <row r="233" spans="20:30" ht="15" customHeight="1">
      <c r="T233" s="11" t="s">
        <v>1983</v>
      </c>
      <c r="U233" s="11">
        <v>15</v>
      </c>
      <c r="V233" s="11" t="s">
        <v>2265</v>
      </c>
      <c r="W233" s="11">
        <v>125</v>
      </c>
      <c r="X233" s="11">
        <v>125</v>
      </c>
      <c r="Y233" s="67">
        <v>120</v>
      </c>
      <c r="Z233" s="11">
        <v>8</v>
      </c>
      <c r="AA233" s="11">
        <v>2.5</v>
      </c>
      <c r="AB233" s="11">
        <v>2.5</v>
      </c>
      <c r="AC233" s="11">
        <v>20</v>
      </c>
      <c r="AD233" s="11" t="s">
        <v>1985</v>
      </c>
    </row>
    <row r="234" spans="20:30" ht="15" customHeight="1">
      <c r="T234" s="11" t="s">
        <v>1983</v>
      </c>
      <c r="U234" s="11">
        <v>15</v>
      </c>
      <c r="V234" s="11" t="s">
        <v>2266</v>
      </c>
      <c r="W234" s="11">
        <v>125</v>
      </c>
      <c r="X234" s="11">
        <v>125</v>
      </c>
      <c r="Y234" s="67">
        <v>120</v>
      </c>
      <c r="Z234" s="11">
        <v>8</v>
      </c>
      <c r="AA234" s="11">
        <v>2.5</v>
      </c>
      <c r="AB234" s="11">
        <v>2.5</v>
      </c>
      <c r="AC234" s="11">
        <v>20</v>
      </c>
      <c r="AD234" s="11" t="s">
        <v>1985</v>
      </c>
    </row>
    <row r="235" spans="20:30" ht="15" customHeight="1">
      <c r="T235" s="11" t="s">
        <v>1983</v>
      </c>
      <c r="U235" s="11">
        <v>15</v>
      </c>
      <c r="V235" s="11" t="s">
        <v>2267</v>
      </c>
      <c r="W235" s="11">
        <v>125</v>
      </c>
      <c r="X235" s="11">
        <v>125</v>
      </c>
      <c r="Y235" s="67">
        <v>120</v>
      </c>
      <c r="Z235" s="11">
        <v>8</v>
      </c>
      <c r="AA235" s="11">
        <v>2.5</v>
      </c>
      <c r="AB235" s="11">
        <v>2.5</v>
      </c>
      <c r="AC235" s="11">
        <v>20</v>
      </c>
      <c r="AD235" s="11" t="s">
        <v>1985</v>
      </c>
    </row>
    <row r="236" spans="20:30" ht="15" customHeight="1">
      <c r="T236" s="11" t="s">
        <v>1983</v>
      </c>
      <c r="U236" s="11">
        <v>15</v>
      </c>
      <c r="V236" s="11" t="s">
        <v>2268</v>
      </c>
      <c r="W236" s="11">
        <v>125</v>
      </c>
      <c r="X236" s="11">
        <v>125</v>
      </c>
      <c r="Y236" s="67">
        <v>120</v>
      </c>
      <c r="Z236" s="11">
        <v>8</v>
      </c>
      <c r="AA236" s="11">
        <v>2.5</v>
      </c>
      <c r="AB236" s="11">
        <v>2.5</v>
      </c>
      <c r="AC236" s="11">
        <v>20</v>
      </c>
      <c r="AD236" s="11" t="s">
        <v>1985</v>
      </c>
    </row>
    <row r="237" spans="20:30" ht="15" customHeight="1">
      <c r="T237" s="11" t="s">
        <v>1983</v>
      </c>
      <c r="U237" s="11">
        <v>15</v>
      </c>
      <c r="V237" s="11" t="s">
        <v>2269</v>
      </c>
      <c r="W237" s="11">
        <v>125</v>
      </c>
      <c r="X237" s="11">
        <v>125</v>
      </c>
      <c r="Y237" s="67">
        <v>120</v>
      </c>
      <c r="Z237" s="11">
        <v>8</v>
      </c>
      <c r="AA237" s="11">
        <v>2.5</v>
      </c>
      <c r="AB237" s="11">
        <v>2.5</v>
      </c>
      <c r="AC237" s="11">
        <v>20</v>
      </c>
      <c r="AD237" s="11" t="s">
        <v>1985</v>
      </c>
    </row>
    <row r="238" spans="20:30" ht="15" customHeight="1">
      <c r="T238" s="11" t="s">
        <v>1983</v>
      </c>
      <c r="U238" s="11">
        <v>15</v>
      </c>
      <c r="V238" s="11" t="s">
        <v>2270</v>
      </c>
      <c r="W238" s="11">
        <v>125</v>
      </c>
      <c r="X238" s="11">
        <v>125</v>
      </c>
      <c r="Y238" s="67">
        <v>120</v>
      </c>
      <c r="Z238" s="11">
        <v>8</v>
      </c>
      <c r="AA238" s="11">
        <v>2.5</v>
      </c>
      <c r="AB238" s="11">
        <v>2.5</v>
      </c>
      <c r="AC238" s="11">
        <v>20</v>
      </c>
      <c r="AD238" s="11" t="s">
        <v>1985</v>
      </c>
    </row>
    <row r="239" spans="20:30" ht="15" customHeight="1">
      <c r="T239" s="11" t="s">
        <v>1983</v>
      </c>
      <c r="U239" s="11">
        <v>15</v>
      </c>
      <c r="V239" s="11" t="s">
        <v>2271</v>
      </c>
      <c r="W239" s="11">
        <v>125</v>
      </c>
      <c r="X239" s="11">
        <v>125</v>
      </c>
      <c r="Y239" s="67">
        <v>120</v>
      </c>
      <c r="Z239" s="11">
        <v>8</v>
      </c>
      <c r="AA239" s="11">
        <v>2.5</v>
      </c>
      <c r="AB239" s="11">
        <v>2.5</v>
      </c>
      <c r="AC239" s="11">
        <v>20</v>
      </c>
      <c r="AD239" s="11" t="s">
        <v>1985</v>
      </c>
    </row>
    <row r="240" spans="20:30" ht="15" customHeight="1">
      <c r="T240" s="11" t="s">
        <v>1983</v>
      </c>
      <c r="U240" s="11">
        <v>15</v>
      </c>
      <c r="V240" s="11" t="s">
        <v>2272</v>
      </c>
      <c r="W240" s="11">
        <v>125</v>
      </c>
      <c r="X240" s="11">
        <v>125</v>
      </c>
      <c r="Y240" s="67">
        <v>120</v>
      </c>
      <c r="Z240" s="11">
        <v>8</v>
      </c>
      <c r="AA240" s="11">
        <v>2.5</v>
      </c>
      <c r="AB240" s="11">
        <v>2.5</v>
      </c>
      <c r="AC240" s="11">
        <v>20</v>
      </c>
      <c r="AD240" s="11" t="s">
        <v>1985</v>
      </c>
    </row>
    <row r="241" spans="20:30" ht="15" customHeight="1">
      <c r="T241" s="11" t="s">
        <v>1983</v>
      </c>
      <c r="U241" s="11">
        <v>15</v>
      </c>
      <c r="V241" s="11" t="s">
        <v>2273</v>
      </c>
      <c r="W241" s="11">
        <v>125</v>
      </c>
      <c r="X241" s="11">
        <v>125</v>
      </c>
      <c r="Y241" s="67">
        <v>120</v>
      </c>
      <c r="Z241" s="11">
        <v>8</v>
      </c>
      <c r="AA241" s="11">
        <v>2.5</v>
      </c>
      <c r="AB241" s="11">
        <v>2.5</v>
      </c>
      <c r="AC241" s="11">
        <v>20</v>
      </c>
      <c r="AD241" s="11" t="s">
        <v>1985</v>
      </c>
    </row>
    <row r="242" spans="20:30" ht="15" customHeight="1">
      <c r="T242" s="11" t="s">
        <v>1983</v>
      </c>
      <c r="U242" s="11">
        <v>15</v>
      </c>
      <c r="V242" s="11" t="s">
        <v>2274</v>
      </c>
      <c r="W242" s="11">
        <v>125</v>
      </c>
      <c r="X242" s="11">
        <v>125</v>
      </c>
      <c r="Y242" s="67">
        <v>120</v>
      </c>
      <c r="Z242" s="11">
        <v>8</v>
      </c>
      <c r="AA242" s="11">
        <v>2.5</v>
      </c>
      <c r="AB242" s="11">
        <v>2.5</v>
      </c>
      <c r="AC242" s="11">
        <v>20</v>
      </c>
      <c r="AD242" s="11" t="s">
        <v>1985</v>
      </c>
    </row>
    <row r="243" spans="20:30" ht="15" customHeight="1">
      <c r="T243" s="11" t="s">
        <v>1983</v>
      </c>
      <c r="U243" s="11">
        <v>15</v>
      </c>
      <c r="V243" s="11" t="s">
        <v>2275</v>
      </c>
      <c r="W243" s="11">
        <v>125</v>
      </c>
      <c r="X243" s="11">
        <v>125</v>
      </c>
      <c r="Y243" s="67">
        <v>120</v>
      </c>
      <c r="Z243" s="11">
        <v>8</v>
      </c>
      <c r="AA243" s="11">
        <v>2.5</v>
      </c>
      <c r="AB243" s="11">
        <v>2.5</v>
      </c>
      <c r="AC243" s="11">
        <v>20</v>
      </c>
      <c r="AD243" s="11" t="s">
        <v>1985</v>
      </c>
    </row>
    <row r="244" spans="20:30" ht="15" customHeight="1">
      <c r="T244" s="11" t="s">
        <v>1983</v>
      </c>
      <c r="U244" s="11">
        <v>15</v>
      </c>
      <c r="V244" s="11" t="s">
        <v>2276</v>
      </c>
      <c r="W244" s="11">
        <v>125</v>
      </c>
      <c r="X244" s="11">
        <v>125</v>
      </c>
      <c r="Y244" s="67">
        <v>120</v>
      </c>
      <c r="Z244" s="11">
        <v>8</v>
      </c>
      <c r="AA244" s="11">
        <v>2.5</v>
      </c>
      <c r="AB244" s="11">
        <v>2.5</v>
      </c>
      <c r="AC244" s="11">
        <v>20</v>
      </c>
      <c r="AD244" s="11" t="s">
        <v>1985</v>
      </c>
    </row>
    <row r="245" spans="20:30" ht="15" customHeight="1">
      <c r="T245" s="11" t="s">
        <v>1983</v>
      </c>
      <c r="U245" s="11">
        <v>15</v>
      </c>
      <c r="V245" s="11" t="s">
        <v>2277</v>
      </c>
      <c r="W245" s="11">
        <v>125</v>
      </c>
      <c r="X245" s="11">
        <v>125</v>
      </c>
      <c r="Y245" s="67">
        <v>120</v>
      </c>
      <c r="Z245" s="11">
        <v>8</v>
      </c>
      <c r="AA245" s="11">
        <v>2.5</v>
      </c>
      <c r="AB245" s="11">
        <v>2.5</v>
      </c>
      <c r="AC245" s="11">
        <v>20</v>
      </c>
      <c r="AD245" s="11" t="s">
        <v>1985</v>
      </c>
    </row>
    <row r="246" spans="20:30" ht="15" customHeight="1">
      <c r="T246" s="11" t="s">
        <v>1983</v>
      </c>
      <c r="U246" s="11">
        <v>15</v>
      </c>
      <c r="V246" s="11" t="s">
        <v>2278</v>
      </c>
      <c r="W246" s="11">
        <v>125</v>
      </c>
      <c r="X246" s="11">
        <v>125</v>
      </c>
      <c r="Y246" s="67">
        <v>120</v>
      </c>
      <c r="Z246" s="11">
        <v>8</v>
      </c>
      <c r="AA246" s="11">
        <v>2.5</v>
      </c>
      <c r="AB246" s="11">
        <v>2.5</v>
      </c>
      <c r="AC246" s="11">
        <v>20</v>
      </c>
      <c r="AD246" s="11" t="s">
        <v>1985</v>
      </c>
    </row>
    <row r="247" spans="20:30" ht="15" customHeight="1">
      <c r="T247" s="11" t="s">
        <v>1983</v>
      </c>
      <c r="U247" s="11">
        <v>15</v>
      </c>
      <c r="V247" s="11" t="s">
        <v>2279</v>
      </c>
      <c r="W247" s="11">
        <v>125</v>
      </c>
      <c r="X247" s="11">
        <v>125</v>
      </c>
      <c r="Y247" s="67">
        <v>120</v>
      </c>
      <c r="Z247" s="11">
        <v>8</v>
      </c>
      <c r="AA247" s="11">
        <v>2.5</v>
      </c>
      <c r="AB247" s="11">
        <v>2.5</v>
      </c>
      <c r="AC247" s="11">
        <v>20</v>
      </c>
      <c r="AD247" s="11" t="s">
        <v>1985</v>
      </c>
    </row>
    <row r="248" spans="20:30" ht="15" customHeight="1">
      <c r="T248" s="11" t="s">
        <v>1983</v>
      </c>
      <c r="U248" s="11">
        <v>25</v>
      </c>
      <c r="V248" s="11" t="s">
        <v>2280</v>
      </c>
      <c r="W248" s="11">
        <v>255</v>
      </c>
      <c r="X248" s="11">
        <v>255</v>
      </c>
      <c r="Y248" s="67">
        <v>250</v>
      </c>
      <c r="Z248" s="11">
        <v>15</v>
      </c>
      <c r="AA248" s="11">
        <v>3</v>
      </c>
      <c r="AB248" s="11">
        <v>2.5</v>
      </c>
      <c r="AC248" s="11">
        <v>25</v>
      </c>
      <c r="AD248" s="11" t="s">
        <v>2105</v>
      </c>
    </row>
    <row r="249" spans="20:30" ht="15" customHeight="1">
      <c r="T249" s="11" t="s">
        <v>1983</v>
      </c>
      <c r="U249" s="11">
        <v>20</v>
      </c>
      <c r="V249" s="11" t="s">
        <v>2281</v>
      </c>
      <c r="W249" s="11">
        <v>185</v>
      </c>
      <c r="X249" s="11">
        <v>185</v>
      </c>
      <c r="Y249" s="67">
        <v>180</v>
      </c>
      <c r="Z249" s="11">
        <v>10</v>
      </c>
      <c r="AA249" s="11">
        <v>3</v>
      </c>
      <c r="AB249" s="11">
        <v>2.5</v>
      </c>
      <c r="AC249" s="11">
        <v>25</v>
      </c>
      <c r="AD249" s="11" t="s">
        <v>2113</v>
      </c>
    </row>
    <row r="250" spans="20:30" ht="15" customHeight="1">
      <c r="T250" s="11" t="s">
        <v>1983</v>
      </c>
      <c r="U250" s="11">
        <v>20</v>
      </c>
      <c r="V250" s="11" t="s">
        <v>2282</v>
      </c>
      <c r="W250" s="11">
        <v>185</v>
      </c>
      <c r="X250" s="11">
        <v>185</v>
      </c>
      <c r="Y250" s="67">
        <v>180</v>
      </c>
      <c r="Z250" s="11">
        <v>10</v>
      </c>
      <c r="AA250" s="11">
        <v>3</v>
      </c>
      <c r="AB250" s="11">
        <v>2.5</v>
      </c>
      <c r="AC250" s="11">
        <v>25</v>
      </c>
      <c r="AD250" s="11" t="s">
        <v>2113</v>
      </c>
    </row>
    <row r="251" spans="20:30" ht="15" customHeight="1">
      <c r="T251" s="11" t="s">
        <v>1983</v>
      </c>
      <c r="U251" s="11">
        <v>20</v>
      </c>
      <c r="V251" s="11" t="s">
        <v>2283</v>
      </c>
      <c r="W251" s="11">
        <v>185</v>
      </c>
      <c r="X251" s="11">
        <v>185</v>
      </c>
      <c r="Y251" s="67">
        <v>180</v>
      </c>
      <c r="Z251" s="11">
        <v>10</v>
      </c>
      <c r="AA251" s="11">
        <v>3</v>
      </c>
      <c r="AB251" s="11">
        <v>2.5</v>
      </c>
      <c r="AC251" s="11">
        <v>25</v>
      </c>
      <c r="AD251" s="11" t="s">
        <v>2113</v>
      </c>
    </row>
    <row r="252" spans="20:30" ht="15" customHeight="1">
      <c r="T252" s="11" t="s">
        <v>1983</v>
      </c>
      <c r="U252" s="11">
        <v>20</v>
      </c>
      <c r="V252" s="11" t="s">
        <v>2284</v>
      </c>
      <c r="W252" s="11">
        <v>185</v>
      </c>
      <c r="X252" s="11">
        <v>185</v>
      </c>
      <c r="Y252" s="67">
        <v>180</v>
      </c>
      <c r="Z252" s="11">
        <v>10</v>
      </c>
      <c r="AA252" s="11">
        <v>3</v>
      </c>
      <c r="AB252" s="11">
        <v>2.5</v>
      </c>
      <c r="AC252" s="11">
        <v>25</v>
      </c>
      <c r="AD252" s="11" t="s">
        <v>2113</v>
      </c>
    </row>
    <row r="253" spans="20:30" ht="15" customHeight="1">
      <c r="T253" s="11" t="s">
        <v>1983</v>
      </c>
      <c r="U253" s="11">
        <v>20</v>
      </c>
      <c r="V253" s="11" t="s">
        <v>2285</v>
      </c>
      <c r="W253" s="11">
        <v>185</v>
      </c>
      <c r="X253" s="11">
        <v>185</v>
      </c>
      <c r="Y253" s="67">
        <v>180</v>
      </c>
      <c r="Z253" s="11">
        <v>10</v>
      </c>
      <c r="AA253" s="11">
        <v>3</v>
      </c>
      <c r="AB253" s="11">
        <v>2.5</v>
      </c>
      <c r="AC253" s="11">
        <v>25</v>
      </c>
      <c r="AD253" s="11" t="s">
        <v>2113</v>
      </c>
    </row>
    <row r="254" spans="20:30" ht="15" customHeight="1">
      <c r="T254" s="11" t="s">
        <v>1983</v>
      </c>
      <c r="U254" s="11">
        <v>20</v>
      </c>
      <c r="V254" s="11" t="s">
        <v>2286</v>
      </c>
      <c r="W254" s="11">
        <v>185</v>
      </c>
      <c r="X254" s="11">
        <v>185</v>
      </c>
      <c r="Y254" s="67">
        <v>180</v>
      </c>
      <c r="Z254" s="11">
        <v>10</v>
      </c>
      <c r="AA254" s="11">
        <v>3</v>
      </c>
      <c r="AB254" s="11">
        <v>2.5</v>
      </c>
      <c r="AC254" s="11">
        <v>25</v>
      </c>
      <c r="AD254" s="11" t="s">
        <v>2113</v>
      </c>
    </row>
    <row r="255" spans="20:30" ht="15" customHeight="1">
      <c r="T255" s="11" t="s">
        <v>1983</v>
      </c>
      <c r="U255" s="11">
        <v>20</v>
      </c>
      <c r="V255" s="11" t="s">
        <v>2287</v>
      </c>
      <c r="W255" s="11">
        <v>175</v>
      </c>
      <c r="X255" s="11">
        <v>175</v>
      </c>
      <c r="Y255" s="67">
        <v>175</v>
      </c>
      <c r="Z255" s="11">
        <v>10</v>
      </c>
      <c r="AA255" s="11">
        <v>3</v>
      </c>
      <c r="AB255" s="11">
        <v>2.5</v>
      </c>
      <c r="AC255" s="11">
        <v>25</v>
      </c>
      <c r="AD255" s="11" t="s">
        <v>2113</v>
      </c>
    </row>
    <row r="256" spans="20:30" ht="15" customHeight="1">
      <c r="T256" s="11" t="s">
        <v>1983</v>
      </c>
      <c r="U256" s="11">
        <v>20</v>
      </c>
      <c r="V256" s="11" t="s">
        <v>2288</v>
      </c>
      <c r="W256" s="11">
        <v>185</v>
      </c>
      <c r="X256" s="11">
        <v>185</v>
      </c>
      <c r="Y256" s="67">
        <v>180</v>
      </c>
      <c r="Z256" s="11">
        <v>10</v>
      </c>
      <c r="AA256" s="11">
        <v>3</v>
      </c>
      <c r="AB256" s="11">
        <v>2.5</v>
      </c>
      <c r="AC256" s="11">
        <v>25</v>
      </c>
      <c r="AD256" s="11" t="s">
        <v>2113</v>
      </c>
    </row>
    <row r="257" spans="20:30" ht="15" customHeight="1">
      <c r="T257" s="11" t="s">
        <v>1983</v>
      </c>
      <c r="U257" s="11">
        <v>20</v>
      </c>
      <c r="V257" s="11" t="s">
        <v>2289</v>
      </c>
      <c r="W257" s="11">
        <v>185</v>
      </c>
      <c r="X257" s="11">
        <v>185</v>
      </c>
      <c r="Y257" s="67">
        <v>180</v>
      </c>
      <c r="Z257" s="11">
        <v>10</v>
      </c>
      <c r="AA257" s="11">
        <v>3</v>
      </c>
      <c r="AB257" s="11">
        <v>2.5</v>
      </c>
      <c r="AC257" s="11">
        <v>25</v>
      </c>
      <c r="AD257" s="11" t="s">
        <v>2113</v>
      </c>
    </row>
    <row r="258" spans="20:30" ht="15" customHeight="1">
      <c r="T258" s="11" t="s">
        <v>1983</v>
      </c>
      <c r="U258" s="11">
        <v>20</v>
      </c>
      <c r="V258" s="11" t="s">
        <v>2290</v>
      </c>
      <c r="W258" s="11">
        <v>185</v>
      </c>
      <c r="X258" s="11">
        <v>185</v>
      </c>
      <c r="Y258" s="67">
        <v>180</v>
      </c>
      <c r="Z258" s="11">
        <v>10</v>
      </c>
      <c r="AA258" s="11">
        <v>3</v>
      </c>
      <c r="AB258" s="11">
        <v>2.5</v>
      </c>
      <c r="AC258" s="11">
        <v>25</v>
      </c>
      <c r="AD258" s="11" t="s">
        <v>2113</v>
      </c>
    </row>
    <row r="259" spans="20:30" ht="15" customHeight="1">
      <c r="T259" s="11" t="s">
        <v>1983</v>
      </c>
      <c r="U259" s="11">
        <v>20</v>
      </c>
      <c r="V259" s="11" t="s">
        <v>2291</v>
      </c>
      <c r="W259" s="11">
        <v>185</v>
      </c>
      <c r="X259" s="11">
        <v>185</v>
      </c>
      <c r="Y259" s="67">
        <v>180</v>
      </c>
      <c r="Z259" s="11">
        <v>10</v>
      </c>
      <c r="AA259" s="11">
        <v>3</v>
      </c>
      <c r="AB259" s="11">
        <v>2.5</v>
      </c>
      <c r="AC259" s="11">
        <v>25</v>
      </c>
      <c r="AD259" s="11" t="s">
        <v>2113</v>
      </c>
    </row>
    <row r="260" spans="20:30" ht="15" customHeight="1">
      <c r="T260" s="11" t="s">
        <v>1983</v>
      </c>
      <c r="U260" s="11">
        <v>20</v>
      </c>
      <c r="V260" s="11" t="s">
        <v>2292</v>
      </c>
      <c r="W260" s="11">
        <v>185</v>
      </c>
      <c r="X260" s="11">
        <v>185</v>
      </c>
      <c r="Y260" s="67">
        <v>180</v>
      </c>
      <c r="Z260" s="11">
        <v>10</v>
      </c>
      <c r="AA260" s="11">
        <v>3</v>
      </c>
      <c r="AB260" s="11">
        <v>2.5</v>
      </c>
      <c r="AC260" s="11">
        <v>25</v>
      </c>
      <c r="AD260" s="11" t="s">
        <v>2113</v>
      </c>
    </row>
    <row r="261" spans="20:30" ht="15" customHeight="1">
      <c r="T261" s="11" t="s">
        <v>1983</v>
      </c>
      <c r="U261" s="11">
        <v>35</v>
      </c>
      <c r="V261" s="11" t="s">
        <v>2293</v>
      </c>
      <c r="W261" s="11">
        <v>385</v>
      </c>
      <c r="X261" s="11">
        <v>385</v>
      </c>
      <c r="Y261" s="67">
        <v>380</v>
      </c>
      <c r="Z261" s="11">
        <v>15</v>
      </c>
      <c r="AA261" s="11">
        <v>3.5</v>
      </c>
      <c r="AB261" s="11">
        <v>3.5</v>
      </c>
      <c r="AC261" s="11">
        <v>30</v>
      </c>
      <c r="AD261" s="11" t="s">
        <v>2113</v>
      </c>
    </row>
    <row r="262" spans="20:30" ht="15" customHeight="1">
      <c r="T262" s="11" t="s">
        <v>1983</v>
      </c>
      <c r="U262" s="11">
        <v>20</v>
      </c>
      <c r="V262" s="11" t="s">
        <v>2294</v>
      </c>
      <c r="W262" s="11">
        <v>185</v>
      </c>
      <c r="X262" s="11">
        <v>185</v>
      </c>
      <c r="Y262" s="67">
        <v>180</v>
      </c>
      <c r="Z262" s="11">
        <v>10</v>
      </c>
      <c r="AA262" s="11">
        <v>3</v>
      </c>
      <c r="AB262" s="11">
        <v>2.5</v>
      </c>
      <c r="AC262" s="11">
        <v>25</v>
      </c>
      <c r="AD262" s="11" t="s">
        <v>2113</v>
      </c>
    </row>
    <row r="263" spans="20:30" ht="15" customHeight="1">
      <c r="T263" s="11" t="s">
        <v>1983</v>
      </c>
      <c r="U263" s="11">
        <v>20</v>
      </c>
      <c r="V263" s="11" t="s">
        <v>2295</v>
      </c>
      <c r="W263" s="11">
        <v>185</v>
      </c>
      <c r="X263" s="11">
        <v>185</v>
      </c>
      <c r="Y263" s="67">
        <v>180</v>
      </c>
      <c r="Z263" s="11">
        <v>10</v>
      </c>
      <c r="AA263" s="11">
        <v>3</v>
      </c>
      <c r="AB263" s="11">
        <v>2.5</v>
      </c>
      <c r="AC263" s="11">
        <v>25</v>
      </c>
      <c r="AD263" s="11" t="s">
        <v>2113</v>
      </c>
    </row>
    <row r="264" spans="20:30" ht="15" customHeight="1">
      <c r="T264" s="11" t="s">
        <v>1983</v>
      </c>
      <c r="U264" s="11">
        <v>20</v>
      </c>
      <c r="V264" s="11" t="s">
        <v>2296</v>
      </c>
      <c r="W264" s="11">
        <v>145</v>
      </c>
      <c r="X264" s="11">
        <v>145</v>
      </c>
      <c r="Y264" s="67">
        <v>140</v>
      </c>
      <c r="Z264" s="11">
        <v>8</v>
      </c>
      <c r="AA264" s="11">
        <v>2.5</v>
      </c>
      <c r="AB264" s="11">
        <v>2.5</v>
      </c>
      <c r="AC264" s="11">
        <v>18</v>
      </c>
      <c r="AD264" s="11" t="s">
        <v>2113</v>
      </c>
    </row>
    <row r="265" spans="20:30" ht="15" customHeight="1">
      <c r="T265" s="11" t="s">
        <v>1983</v>
      </c>
      <c r="U265" s="11">
        <v>25</v>
      </c>
      <c r="V265" s="11" t="s">
        <v>2297</v>
      </c>
      <c r="W265" s="11">
        <v>285</v>
      </c>
      <c r="X265" s="11">
        <v>285</v>
      </c>
      <c r="Y265" s="313">
        <v>280</v>
      </c>
      <c r="Z265" s="11">
        <v>15</v>
      </c>
      <c r="AA265" s="11">
        <v>3.5</v>
      </c>
      <c r="AB265" s="11">
        <v>3.5</v>
      </c>
      <c r="AC265" s="11">
        <v>30</v>
      </c>
      <c r="AD265" s="11" t="s">
        <v>2105</v>
      </c>
    </row>
    <row r="266" spans="20:30" ht="15" customHeight="1">
      <c r="T266" s="11" t="s">
        <v>1983</v>
      </c>
      <c r="U266" s="11">
        <v>25</v>
      </c>
      <c r="V266" s="11" t="s">
        <v>2298</v>
      </c>
      <c r="W266" s="11">
        <v>285</v>
      </c>
      <c r="X266" s="11">
        <v>285</v>
      </c>
      <c r="Y266" s="313">
        <v>280</v>
      </c>
      <c r="Z266" s="11">
        <v>15</v>
      </c>
      <c r="AA266" s="11">
        <v>3.5</v>
      </c>
      <c r="AB266" s="11">
        <v>3.5</v>
      </c>
      <c r="AC266" s="11">
        <v>30</v>
      </c>
      <c r="AD266" s="11" t="s">
        <v>2105</v>
      </c>
    </row>
    <row r="267" spans="20:30" ht="15" customHeight="1">
      <c r="T267" s="11" t="s">
        <v>1983</v>
      </c>
      <c r="U267" s="11">
        <v>20</v>
      </c>
      <c r="V267" s="11" t="s">
        <v>2299</v>
      </c>
      <c r="W267" s="11">
        <v>185</v>
      </c>
      <c r="X267" s="11">
        <v>185</v>
      </c>
      <c r="Y267" s="67">
        <v>180</v>
      </c>
      <c r="Z267" s="11">
        <v>12</v>
      </c>
      <c r="AA267" s="11">
        <v>3</v>
      </c>
      <c r="AB267" s="11">
        <v>2.5</v>
      </c>
      <c r="AC267" s="11">
        <v>25</v>
      </c>
      <c r="AD267" s="11" t="s">
        <v>2113</v>
      </c>
    </row>
    <row r="268" spans="20:30" ht="15" customHeight="1">
      <c r="T268" s="11" t="s">
        <v>1983</v>
      </c>
      <c r="U268" s="11">
        <v>25</v>
      </c>
      <c r="V268" s="11" t="s">
        <v>2300</v>
      </c>
      <c r="W268" s="11">
        <v>285</v>
      </c>
      <c r="X268" s="11">
        <v>285</v>
      </c>
      <c r="Y268" s="313">
        <v>280</v>
      </c>
      <c r="Z268" s="11">
        <v>15</v>
      </c>
      <c r="AA268" s="11">
        <v>3.5</v>
      </c>
      <c r="AB268" s="11">
        <v>3.5</v>
      </c>
      <c r="AC268" s="11">
        <v>30</v>
      </c>
      <c r="AD268" s="11" t="s">
        <v>2105</v>
      </c>
    </row>
    <row r="269" spans="20:30" ht="15" customHeight="1">
      <c r="T269" s="11" t="s">
        <v>1983</v>
      </c>
      <c r="U269" s="11" t="s">
        <v>1983</v>
      </c>
      <c r="V269" s="11" t="s">
        <v>2301</v>
      </c>
      <c r="W269" s="11" t="s">
        <v>1983</v>
      </c>
      <c r="X269" s="11" t="s">
        <v>1983</v>
      </c>
      <c r="Y269" s="67" t="s">
        <v>1983</v>
      </c>
      <c r="Z269" s="11" t="s">
        <v>1983</v>
      </c>
      <c r="AA269" s="11" t="s">
        <v>1983</v>
      </c>
      <c r="AB269" s="11" t="s">
        <v>1983</v>
      </c>
      <c r="AC269" s="11" t="s">
        <v>1983</v>
      </c>
      <c r="AD269" s="11" t="s">
        <v>2302</v>
      </c>
    </row>
    <row r="270" spans="20:30" ht="15" customHeight="1">
      <c r="T270" s="11" t="s">
        <v>1983</v>
      </c>
      <c r="U270" s="11">
        <v>6.0000000000000001E-3</v>
      </c>
      <c r="V270" s="11" t="s">
        <v>2303</v>
      </c>
      <c r="W270" s="11">
        <v>2000</v>
      </c>
      <c r="X270" s="11">
        <v>170</v>
      </c>
      <c r="Y270" s="67" t="s">
        <v>1983</v>
      </c>
      <c r="Z270" s="11">
        <v>5</v>
      </c>
      <c r="AA270" s="11" t="s">
        <v>1983</v>
      </c>
      <c r="AB270" s="11" t="s">
        <v>1983</v>
      </c>
      <c r="AC270" s="11" t="s">
        <v>1983</v>
      </c>
      <c r="AD270" s="11" t="s">
        <v>2302</v>
      </c>
    </row>
    <row r="271" spans="20:30" ht="15" customHeight="1">
      <c r="T271" s="11" t="s">
        <v>1983</v>
      </c>
      <c r="U271" s="11" t="s">
        <v>1983</v>
      </c>
      <c r="V271" s="11" t="s">
        <v>2304</v>
      </c>
      <c r="W271" s="11" t="s">
        <v>1983</v>
      </c>
      <c r="X271" s="11" t="s">
        <v>1983</v>
      </c>
      <c r="Y271" s="67" t="s">
        <v>1983</v>
      </c>
      <c r="Z271" s="11" t="s">
        <v>1983</v>
      </c>
      <c r="AA271" s="11" t="s">
        <v>1983</v>
      </c>
      <c r="AB271" s="11" t="s">
        <v>1983</v>
      </c>
      <c r="AC271" s="11" t="s">
        <v>1983</v>
      </c>
      <c r="AD271" s="11" t="s">
        <v>2302</v>
      </c>
    </row>
    <row r="272" spans="20:30" ht="15" customHeight="1">
      <c r="T272" s="11" t="s">
        <v>1983</v>
      </c>
      <c r="U272" s="11">
        <v>10</v>
      </c>
      <c r="V272" s="11" t="s">
        <v>2305</v>
      </c>
      <c r="W272" s="11">
        <v>50</v>
      </c>
      <c r="X272" s="11">
        <v>38</v>
      </c>
      <c r="Y272" s="67">
        <v>38</v>
      </c>
      <c r="Z272" s="11">
        <v>5</v>
      </c>
      <c r="AA272" s="11">
        <v>1.5</v>
      </c>
      <c r="AB272" s="11" t="s">
        <v>1195</v>
      </c>
      <c r="AC272" s="11">
        <v>5</v>
      </c>
      <c r="AD272" s="11" t="s">
        <v>1985</v>
      </c>
    </row>
    <row r="273" spans="20:30" ht="15" customHeight="1">
      <c r="T273" s="11" t="s">
        <v>1983</v>
      </c>
      <c r="U273" s="11">
        <v>10</v>
      </c>
      <c r="V273" s="11" t="s">
        <v>2306</v>
      </c>
      <c r="W273" s="11">
        <v>50</v>
      </c>
      <c r="X273" s="11">
        <v>45</v>
      </c>
      <c r="Y273" s="67">
        <v>45</v>
      </c>
      <c r="Z273" s="11">
        <v>5</v>
      </c>
      <c r="AA273" s="11">
        <v>1.5</v>
      </c>
      <c r="AB273" s="11" t="s">
        <v>1195</v>
      </c>
      <c r="AC273" s="11">
        <v>7</v>
      </c>
      <c r="AD273" s="11" t="s">
        <v>1985</v>
      </c>
    </row>
    <row r="274" spans="20:30" ht="15" customHeight="1">
      <c r="T274" s="11" t="s">
        <v>1983</v>
      </c>
      <c r="U274" s="11">
        <v>10</v>
      </c>
      <c r="V274" s="11" t="s">
        <v>2307</v>
      </c>
      <c r="W274" s="11">
        <v>50</v>
      </c>
      <c r="X274" s="11">
        <v>45</v>
      </c>
      <c r="Y274" s="67">
        <v>45</v>
      </c>
      <c r="Z274" s="11">
        <v>5</v>
      </c>
      <c r="AA274" s="11">
        <v>1.5</v>
      </c>
      <c r="AB274" s="11" t="s">
        <v>1195</v>
      </c>
      <c r="AC274" s="11">
        <v>7</v>
      </c>
      <c r="AD274" s="11" t="s">
        <v>1985</v>
      </c>
    </row>
    <row r="275" spans="20:30" ht="15" customHeight="1">
      <c r="T275" s="11" t="s">
        <v>1983</v>
      </c>
      <c r="U275" s="11">
        <v>10</v>
      </c>
      <c r="V275" s="11" t="s">
        <v>2308</v>
      </c>
      <c r="W275" s="11">
        <v>50</v>
      </c>
      <c r="X275" s="11">
        <v>45</v>
      </c>
      <c r="Y275" s="67">
        <v>45</v>
      </c>
      <c r="Z275" s="11">
        <v>5</v>
      </c>
      <c r="AA275" s="11">
        <v>1.5</v>
      </c>
      <c r="AB275" s="11" t="s">
        <v>1195</v>
      </c>
      <c r="AC275" s="11">
        <v>7</v>
      </c>
      <c r="AD275" s="11" t="s">
        <v>1985</v>
      </c>
    </row>
    <row r="276" spans="20:30" ht="15" customHeight="1">
      <c r="T276" s="11" t="s">
        <v>1983</v>
      </c>
      <c r="U276" s="11">
        <v>10</v>
      </c>
      <c r="V276" s="11" t="s">
        <v>2309</v>
      </c>
      <c r="W276" s="11">
        <v>50</v>
      </c>
      <c r="X276" s="11">
        <v>45</v>
      </c>
      <c r="Y276" s="67">
        <v>45</v>
      </c>
      <c r="Z276" s="11">
        <v>5</v>
      </c>
      <c r="AA276" s="11">
        <v>1.5</v>
      </c>
      <c r="AB276" s="11" t="s">
        <v>1195</v>
      </c>
      <c r="AC276" s="11">
        <v>7</v>
      </c>
      <c r="AD276" s="11" t="s">
        <v>1985</v>
      </c>
    </row>
    <row r="277" spans="20:30" ht="15" customHeight="1">
      <c r="T277" s="11" t="s">
        <v>1983</v>
      </c>
      <c r="U277" s="11">
        <v>15</v>
      </c>
      <c r="V277" s="11" t="s">
        <v>2310</v>
      </c>
      <c r="W277" s="11">
        <v>70</v>
      </c>
      <c r="X277" s="11">
        <v>70</v>
      </c>
      <c r="Y277" s="67">
        <v>70</v>
      </c>
      <c r="Z277" s="11">
        <v>6</v>
      </c>
      <c r="AA277" s="11">
        <v>1.5</v>
      </c>
      <c r="AB277" s="11" t="s">
        <v>1195</v>
      </c>
      <c r="AC277" s="11">
        <v>7</v>
      </c>
      <c r="AD277" s="11" t="s">
        <v>1985</v>
      </c>
    </row>
    <row r="278" spans="20:30" ht="15" customHeight="1">
      <c r="T278" s="11" t="s">
        <v>1983</v>
      </c>
      <c r="U278" s="11" t="s">
        <v>2311</v>
      </c>
      <c r="V278" s="11" t="s">
        <v>2312</v>
      </c>
      <c r="W278" s="11" t="s">
        <v>1983</v>
      </c>
      <c r="X278" s="11" t="s">
        <v>1983</v>
      </c>
      <c r="Y278" s="67" t="s">
        <v>1983</v>
      </c>
      <c r="Z278" s="11" t="s">
        <v>1983</v>
      </c>
      <c r="AA278" s="11" t="s">
        <v>1983</v>
      </c>
      <c r="AB278" s="11" t="s">
        <v>1983</v>
      </c>
      <c r="AC278" s="11" t="s">
        <v>1983</v>
      </c>
      <c r="AD278" s="11"/>
    </row>
    <row r="279" spans="20:30" ht="15" customHeight="1">
      <c r="T279" s="11" t="s">
        <v>1983</v>
      </c>
      <c r="U279" s="11" t="s">
        <v>2311</v>
      </c>
      <c r="V279" s="11" t="s">
        <v>2313</v>
      </c>
      <c r="W279" s="11" t="s">
        <v>1983</v>
      </c>
      <c r="X279" s="11" t="s">
        <v>1983</v>
      </c>
      <c r="Y279" s="67" t="s">
        <v>1983</v>
      </c>
      <c r="Z279" s="11" t="s">
        <v>1983</v>
      </c>
      <c r="AA279" s="11" t="s">
        <v>1983</v>
      </c>
      <c r="AB279" s="11" t="s">
        <v>1983</v>
      </c>
      <c r="AC279" s="11" t="s">
        <v>1983</v>
      </c>
      <c r="AD279" s="11"/>
    </row>
    <row r="280" spans="20:30" ht="15" customHeight="1">
      <c r="T280" s="11" t="s">
        <v>1983</v>
      </c>
      <c r="U280" s="11" t="s">
        <v>2311</v>
      </c>
      <c r="V280" s="11" t="s">
        <v>2314</v>
      </c>
      <c r="W280" s="11" t="s">
        <v>1983</v>
      </c>
      <c r="X280" s="11" t="s">
        <v>1983</v>
      </c>
      <c r="Y280" s="67" t="s">
        <v>1983</v>
      </c>
      <c r="Z280" s="11" t="s">
        <v>1983</v>
      </c>
      <c r="AA280" s="11" t="s">
        <v>1983</v>
      </c>
      <c r="AB280" s="11" t="s">
        <v>1983</v>
      </c>
      <c r="AC280" s="11" t="s">
        <v>1983</v>
      </c>
      <c r="AD280" s="11"/>
    </row>
    <row r="281" spans="20:30" ht="15" customHeight="1">
      <c r="T281" s="11" t="s">
        <v>1983</v>
      </c>
      <c r="U281" s="11" t="s">
        <v>2311</v>
      </c>
      <c r="V281" s="11" t="s">
        <v>2315</v>
      </c>
      <c r="W281" s="11" t="s">
        <v>1983</v>
      </c>
      <c r="X281" s="11" t="s">
        <v>1983</v>
      </c>
      <c r="Y281" s="67" t="s">
        <v>1983</v>
      </c>
      <c r="Z281" s="11" t="s">
        <v>1983</v>
      </c>
      <c r="AA281" s="11" t="s">
        <v>1983</v>
      </c>
      <c r="AB281" s="11" t="s">
        <v>1983</v>
      </c>
      <c r="AC281" s="11" t="s">
        <v>1983</v>
      </c>
      <c r="AD281" s="11"/>
    </row>
    <row r="282" spans="20:30" ht="15" customHeight="1">
      <c r="T282" s="11" t="s">
        <v>1983</v>
      </c>
      <c r="U282" s="11" t="s">
        <v>2311</v>
      </c>
      <c r="V282" s="11" t="s">
        <v>2316</v>
      </c>
      <c r="W282" s="11" t="s">
        <v>1983</v>
      </c>
      <c r="X282" s="11" t="s">
        <v>1983</v>
      </c>
      <c r="Y282" s="67" t="s">
        <v>1983</v>
      </c>
      <c r="Z282" s="11" t="s">
        <v>1983</v>
      </c>
      <c r="AA282" s="11" t="s">
        <v>1983</v>
      </c>
      <c r="AB282" s="11" t="s">
        <v>1983</v>
      </c>
      <c r="AC282" s="11" t="s">
        <v>1983</v>
      </c>
      <c r="AD282" s="11"/>
    </row>
    <row r="283" spans="20:30" ht="15" customHeight="1">
      <c r="T283" s="11" t="s">
        <v>1983</v>
      </c>
      <c r="U283" s="11" t="s">
        <v>2311</v>
      </c>
      <c r="V283" s="11" t="s">
        <v>2317</v>
      </c>
      <c r="W283" s="11">
        <v>3200</v>
      </c>
      <c r="X283" s="11">
        <v>250</v>
      </c>
      <c r="Y283" s="67">
        <v>250</v>
      </c>
      <c r="Z283" s="11">
        <v>10</v>
      </c>
      <c r="AA283" s="11" t="s">
        <v>1983</v>
      </c>
      <c r="AB283" s="11" t="s">
        <v>1983</v>
      </c>
      <c r="AC283" s="11" t="s">
        <v>1983</v>
      </c>
      <c r="AD283" s="11"/>
    </row>
    <row r="284" spans="20:30" ht="15" customHeight="1">
      <c r="T284" s="11" t="s">
        <v>1983</v>
      </c>
      <c r="U284" s="11">
        <v>0.6</v>
      </c>
      <c r="V284" s="11" t="s">
        <v>2318</v>
      </c>
      <c r="W284" s="11">
        <v>10000</v>
      </c>
      <c r="X284" s="11">
        <v>500</v>
      </c>
      <c r="Y284" s="67">
        <v>500</v>
      </c>
      <c r="Z284" s="11">
        <v>100</v>
      </c>
      <c r="AA284" s="11" t="s">
        <v>1777</v>
      </c>
      <c r="AB284" s="11" t="s">
        <v>1983</v>
      </c>
      <c r="AC284" s="11" t="s">
        <v>1983</v>
      </c>
      <c r="AD284" s="11"/>
    </row>
    <row r="285" spans="20:30" ht="15" customHeight="1">
      <c r="T285" s="11" t="s">
        <v>1983</v>
      </c>
      <c r="U285" s="11">
        <v>0.6</v>
      </c>
      <c r="V285" s="11" t="s">
        <v>2319</v>
      </c>
      <c r="W285" s="11" t="s">
        <v>1983</v>
      </c>
      <c r="X285" s="11" t="s">
        <v>1983</v>
      </c>
      <c r="Y285" s="67" t="s">
        <v>1983</v>
      </c>
      <c r="Z285" s="11" t="s">
        <v>1983</v>
      </c>
      <c r="AA285" s="11" t="s">
        <v>1983</v>
      </c>
      <c r="AB285" s="11" t="s">
        <v>1983</v>
      </c>
      <c r="AC285" s="11" t="s">
        <v>1983</v>
      </c>
      <c r="AD285" s="11"/>
    </row>
    <row r="286" spans="20:30" ht="15" customHeight="1">
      <c r="T286" s="11" t="s">
        <v>1983</v>
      </c>
      <c r="U286" s="11">
        <v>0.6</v>
      </c>
      <c r="V286" s="11" t="s">
        <v>2320</v>
      </c>
      <c r="W286" s="11" t="s">
        <v>1983</v>
      </c>
      <c r="X286" s="11" t="s">
        <v>1983</v>
      </c>
      <c r="Y286" s="67" t="s">
        <v>1983</v>
      </c>
      <c r="Z286" s="11" t="s">
        <v>1983</v>
      </c>
      <c r="AA286" s="11" t="s">
        <v>1983</v>
      </c>
      <c r="AB286" s="11" t="s">
        <v>1983</v>
      </c>
      <c r="AC286" s="11" t="s">
        <v>1983</v>
      </c>
      <c r="AD286" s="11"/>
    </row>
    <row r="287" spans="20:30" ht="15" customHeight="1">
      <c r="T287" s="11" t="s">
        <v>1983</v>
      </c>
      <c r="U287" s="11">
        <v>0.6</v>
      </c>
      <c r="V287" s="11" t="s">
        <v>2321</v>
      </c>
      <c r="W287" s="11">
        <v>10000</v>
      </c>
      <c r="X287" s="11">
        <v>550</v>
      </c>
      <c r="Y287" s="67">
        <v>550</v>
      </c>
      <c r="Z287" s="11">
        <v>100</v>
      </c>
      <c r="AA287" s="11" t="s">
        <v>1777</v>
      </c>
      <c r="AB287" s="11" t="s">
        <v>1983</v>
      </c>
      <c r="AC287" s="11" t="s">
        <v>1983</v>
      </c>
      <c r="AD287" s="11"/>
    </row>
    <row r="288" spans="20:30" ht="15" customHeight="1">
      <c r="T288" s="11" t="s">
        <v>1983</v>
      </c>
      <c r="U288" s="11">
        <v>0.6</v>
      </c>
      <c r="V288" s="11" t="s">
        <v>2322</v>
      </c>
      <c r="W288" s="11" t="s">
        <v>1983</v>
      </c>
      <c r="X288" s="11" t="s">
        <v>1983</v>
      </c>
      <c r="Y288" s="67" t="s">
        <v>1983</v>
      </c>
      <c r="Z288" s="11" t="s">
        <v>1983</v>
      </c>
      <c r="AA288" s="11" t="s">
        <v>1983</v>
      </c>
      <c r="AB288" s="11" t="s">
        <v>1983</v>
      </c>
      <c r="AC288" s="11" t="s">
        <v>1983</v>
      </c>
      <c r="AD288" s="11"/>
    </row>
    <row r="289" spans="20:30" ht="15" customHeight="1">
      <c r="T289" s="11" t="s">
        <v>1983</v>
      </c>
      <c r="U289" s="11">
        <v>0.6</v>
      </c>
      <c r="V289" s="11" t="s">
        <v>2323</v>
      </c>
      <c r="W289" s="11">
        <v>7000</v>
      </c>
      <c r="X289" s="11">
        <v>320</v>
      </c>
      <c r="Y289" s="67">
        <v>320</v>
      </c>
      <c r="Z289" s="11">
        <v>50</v>
      </c>
      <c r="AA289" s="11" t="s">
        <v>1777</v>
      </c>
      <c r="AB289" s="11" t="s">
        <v>1983</v>
      </c>
      <c r="AC289" s="11" t="s">
        <v>1983</v>
      </c>
      <c r="AD289" s="11"/>
    </row>
    <row r="290" spans="20:30" ht="15" customHeight="1">
      <c r="T290" s="11" t="s">
        <v>1983</v>
      </c>
      <c r="U290" s="11">
        <v>0.6</v>
      </c>
      <c r="V290" s="11" t="s">
        <v>2324</v>
      </c>
      <c r="W290" s="11" t="s">
        <v>1983</v>
      </c>
      <c r="X290" s="11" t="s">
        <v>1983</v>
      </c>
      <c r="Y290" s="67" t="s">
        <v>1983</v>
      </c>
      <c r="Z290" s="11" t="s">
        <v>1983</v>
      </c>
      <c r="AA290" s="11" t="s">
        <v>1983</v>
      </c>
      <c r="AB290" s="11" t="s">
        <v>1983</v>
      </c>
      <c r="AC290" s="11" t="s">
        <v>1983</v>
      </c>
      <c r="AD290" s="11"/>
    </row>
    <row r="291" spans="20:30" ht="15" customHeight="1">
      <c r="T291" s="11" t="s">
        <v>1983</v>
      </c>
      <c r="U291" s="11">
        <v>0.6</v>
      </c>
      <c r="V291" s="11" t="s">
        <v>2325</v>
      </c>
      <c r="W291" s="11">
        <v>2000</v>
      </c>
      <c r="X291" s="11">
        <v>200</v>
      </c>
      <c r="Y291" s="67" t="s">
        <v>1983</v>
      </c>
      <c r="Z291" s="11">
        <v>20</v>
      </c>
      <c r="AA291" s="11" t="s">
        <v>1777</v>
      </c>
      <c r="AB291" s="11" t="s">
        <v>1983</v>
      </c>
      <c r="AC291" s="11" t="s">
        <v>1983</v>
      </c>
      <c r="AD291" s="11"/>
    </row>
    <row r="292" spans="20:30" ht="15" customHeight="1">
      <c r="T292" s="11" t="s">
        <v>1983</v>
      </c>
      <c r="U292" s="11" t="s">
        <v>2326</v>
      </c>
      <c r="V292" s="11" t="s">
        <v>2327</v>
      </c>
      <c r="W292" s="11" t="s">
        <v>1983</v>
      </c>
      <c r="X292" s="11" t="s">
        <v>1983</v>
      </c>
      <c r="Y292" s="67" t="s">
        <v>1983</v>
      </c>
      <c r="Z292" s="11" t="s">
        <v>1983</v>
      </c>
      <c r="AA292" s="11" t="s">
        <v>1983</v>
      </c>
      <c r="AB292" s="11" t="s">
        <v>1983</v>
      </c>
      <c r="AC292" s="11" t="s">
        <v>1983</v>
      </c>
      <c r="AD292" s="11"/>
    </row>
    <row r="293" spans="20:30" ht="15" customHeight="1">
      <c r="T293" s="11" t="s">
        <v>1983</v>
      </c>
      <c r="U293" s="11" t="s">
        <v>2326</v>
      </c>
      <c r="V293" s="11" t="s">
        <v>2328</v>
      </c>
      <c r="W293" s="11" t="s">
        <v>1983</v>
      </c>
      <c r="X293" s="11" t="s">
        <v>1983</v>
      </c>
      <c r="Y293" s="67" t="s">
        <v>1983</v>
      </c>
      <c r="Z293" s="11" t="s">
        <v>1983</v>
      </c>
      <c r="AA293" s="11" t="s">
        <v>1983</v>
      </c>
      <c r="AB293" s="11" t="s">
        <v>1983</v>
      </c>
      <c r="AC293" s="11" t="s">
        <v>1983</v>
      </c>
      <c r="AD293" s="11"/>
    </row>
    <row r="294" spans="20:30" ht="15" customHeight="1">
      <c r="T294" s="11" t="s">
        <v>1983</v>
      </c>
      <c r="U294" s="11" t="s">
        <v>2326</v>
      </c>
      <c r="V294" s="11" t="s">
        <v>2329</v>
      </c>
      <c r="W294" s="11" t="s">
        <v>1983</v>
      </c>
      <c r="X294" s="11" t="s">
        <v>1983</v>
      </c>
      <c r="Y294" s="67" t="s">
        <v>1983</v>
      </c>
      <c r="Z294" s="11" t="s">
        <v>1983</v>
      </c>
      <c r="AA294" s="11" t="s">
        <v>1983</v>
      </c>
      <c r="AB294" s="11" t="s">
        <v>1983</v>
      </c>
      <c r="AC294" s="11" t="s">
        <v>1983</v>
      </c>
      <c r="AD294" s="11"/>
    </row>
    <row r="295" spans="20:30" ht="15" customHeight="1">
      <c r="T295" s="11" t="s">
        <v>1983</v>
      </c>
      <c r="U295" s="11" t="s">
        <v>2326</v>
      </c>
      <c r="V295" s="11" t="s">
        <v>2330</v>
      </c>
      <c r="W295" s="11" t="s">
        <v>1983</v>
      </c>
      <c r="X295" s="11" t="s">
        <v>1983</v>
      </c>
      <c r="Y295" s="67" t="s">
        <v>1983</v>
      </c>
      <c r="Z295" s="11" t="s">
        <v>1983</v>
      </c>
      <c r="AA295" s="11" t="s">
        <v>1983</v>
      </c>
      <c r="AB295" s="11" t="s">
        <v>1983</v>
      </c>
      <c r="AC295" s="11" t="s">
        <v>1983</v>
      </c>
      <c r="AD295" s="11"/>
    </row>
    <row r="296" spans="20:30" ht="15" customHeight="1">
      <c r="T296" s="11" t="s">
        <v>1983</v>
      </c>
      <c r="U296" s="11" t="s">
        <v>2326</v>
      </c>
      <c r="V296" s="11" t="s">
        <v>2331</v>
      </c>
      <c r="W296" s="11" t="s">
        <v>1983</v>
      </c>
      <c r="X296" s="11" t="s">
        <v>1983</v>
      </c>
      <c r="Y296" s="67" t="s">
        <v>1983</v>
      </c>
      <c r="Z296" s="11" t="s">
        <v>1983</v>
      </c>
      <c r="AA296" s="11" t="s">
        <v>1983</v>
      </c>
      <c r="AB296" s="11" t="s">
        <v>1983</v>
      </c>
      <c r="AC296" s="11" t="s">
        <v>1983</v>
      </c>
      <c r="AD296" s="11"/>
    </row>
    <row r="297" spans="20:30" ht="15" customHeight="1">
      <c r="T297" s="11" t="s">
        <v>1983</v>
      </c>
      <c r="U297" s="11" t="s">
        <v>2326</v>
      </c>
      <c r="V297" s="11" t="s">
        <v>2332</v>
      </c>
      <c r="W297" s="11" t="s">
        <v>1983</v>
      </c>
      <c r="X297" s="11" t="s">
        <v>1983</v>
      </c>
      <c r="Y297" s="67" t="s">
        <v>1983</v>
      </c>
      <c r="Z297" s="11" t="s">
        <v>1983</v>
      </c>
      <c r="AA297" s="11" t="s">
        <v>1983</v>
      </c>
      <c r="AB297" s="11" t="s">
        <v>1983</v>
      </c>
      <c r="AC297" s="11" t="s">
        <v>1983</v>
      </c>
      <c r="AD297" s="11"/>
    </row>
    <row r="298" spans="20:30" ht="15" customHeight="1">
      <c r="T298" s="11" t="s">
        <v>1983</v>
      </c>
      <c r="U298" s="11" t="s">
        <v>2326</v>
      </c>
      <c r="V298" s="11" t="s">
        <v>2333</v>
      </c>
      <c r="W298" s="11" t="s">
        <v>1983</v>
      </c>
      <c r="X298" s="11" t="s">
        <v>1983</v>
      </c>
      <c r="Y298" s="67" t="s">
        <v>1983</v>
      </c>
      <c r="Z298" s="11" t="s">
        <v>1983</v>
      </c>
      <c r="AA298" s="11" t="s">
        <v>1983</v>
      </c>
      <c r="AB298" s="11" t="s">
        <v>1983</v>
      </c>
      <c r="AC298" s="11" t="s">
        <v>1983</v>
      </c>
      <c r="AD298" s="11"/>
    </row>
    <row r="299" spans="20:30" ht="15" customHeight="1">
      <c r="T299" s="11" t="s">
        <v>1983</v>
      </c>
      <c r="U299" s="11" t="s">
        <v>2326</v>
      </c>
      <c r="V299" s="11" t="s">
        <v>2334</v>
      </c>
      <c r="W299" s="11" t="s">
        <v>1983</v>
      </c>
      <c r="X299" s="11" t="s">
        <v>1983</v>
      </c>
      <c r="Y299" s="67" t="s">
        <v>1983</v>
      </c>
      <c r="Z299" s="11" t="s">
        <v>1983</v>
      </c>
      <c r="AA299" s="11" t="s">
        <v>1983</v>
      </c>
      <c r="AB299" s="11" t="s">
        <v>1983</v>
      </c>
      <c r="AC299" s="11" t="s">
        <v>1983</v>
      </c>
      <c r="AD299" s="11"/>
    </row>
    <row r="300" spans="20:30" ht="15" customHeight="1">
      <c r="T300" s="11" t="s">
        <v>1983</v>
      </c>
      <c r="U300" s="11" t="s">
        <v>2326</v>
      </c>
      <c r="V300" s="11" t="s">
        <v>2335</v>
      </c>
      <c r="W300" s="11" t="s">
        <v>1983</v>
      </c>
      <c r="X300" s="11" t="s">
        <v>1983</v>
      </c>
      <c r="Y300" s="67" t="s">
        <v>1983</v>
      </c>
      <c r="Z300" s="11" t="s">
        <v>1983</v>
      </c>
      <c r="AA300" s="11" t="s">
        <v>1983</v>
      </c>
      <c r="AB300" s="11" t="s">
        <v>1983</v>
      </c>
      <c r="AC300" s="11" t="s">
        <v>1983</v>
      </c>
      <c r="AD300" s="11"/>
    </row>
    <row r="301" spans="20:30" ht="15" customHeight="1">
      <c r="T301" s="11" t="s">
        <v>1983</v>
      </c>
      <c r="U301" s="11" t="s">
        <v>2326</v>
      </c>
      <c r="V301" s="11" t="s">
        <v>2336</v>
      </c>
      <c r="W301" s="11" t="s">
        <v>1983</v>
      </c>
      <c r="X301" s="11" t="s">
        <v>1983</v>
      </c>
      <c r="Y301" s="67" t="s">
        <v>1983</v>
      </c>
      <c r="Z301" s="11" t="s">
        <v>1983</v>
      </c>
      <c r="AA301" s="11" t="s">
        <v>1983</v>
      </c>
      <c r="AB301" s="11" t="s">
        <v>1983</v>
      </c>
      <c r="AC301" s="11" t="s">
        <v>1983</v>
      </c>
      <c r="AD301" s="11"/>
    </row>
    <row r="302" spans="20:30" ht="15" customHeight="1">
      <c r="T302" s="11" t="s">
        <v>1983</v>
      </c>
      <c r="U302" s="11" t="s">
        <v>2326</v>
      </c>
      <c r="V302" s="11" t="s">
        <v>2337</v>
      </c>
      <c r="W302" s="11" t="s">
        <v>1983</v>
      </c>
      <c r="X302" s="11" t="s">
        <v>1983</v>
      </c>
      <c r="Y302" s="67" t="s">
        <v>1983</v>
      </c>
      <c r="Z302" s="11" t="s">
        <v>1983</v>
      </c>
      <c r="AA302" s="11" t="s">
        <v>1983</v>
      </c>
      <c r="AB302" s="11" t="s">
        <v>1983</v>
      </c>
      <c r="AC302" s="11" t="s">
        <v>1983</v>
      </c>
      <c r="AD302" s="11"/>
    </row>
    <row r="303" spans="20:30" ht="15" customHeight="1">
      <c r="T303" s="11" t="s">
        <v>1983</v>
      </c>
      <c r="U303" s="11" t="s">
        <v>2326</v>
      </c>
      <c r="V303" s="11" t="s">
        <v>2338</v>
      </c>
      <c r="W303" s="11" t="s">
        <v>1983</v>
      </c>
      <c r="X303" s="11" t="s">
        <v>1983</v>
      </c>
      <c r="Y303" s="67" t="s">
        <v>1983</v>
      </c>
      <c r="Z303" s="11" t="s">
        <v>1983</v>
      </c>
      <c r="AA303" s="11" t="s">
        <v>1983</v>
      </c>
      <c r="AB303" s="11" t="s">
        <v>1983</v>
      </c>
      <c r="AC303" s="11" t="s">
        <v>1983</v>
      </c>
      <c r="AD303" s="11"/>
    </row>
    <row r="304" spans="20:30" ht="15" customHeight="1">
      <c r="T304" s="11" t="s">
        <v>1983</v>
      </c>
      <c r="U304" s="11" t="s">
        <v>2326</v>
      </c>
      <c r="V304" s="11" t="s">
        <v>2339</v>
      </c>
      <c r="W304" s="11" t="s">
        <v>1983</v>
      </c>
      <c r="X304" s="11" t="s">
        <v>1983</v>
      </c>
      <c r="Y304" s="67" t="s">
        <v>1983</v>
      </c>
      <c r="Z304" s="11" t="s">
        <v>1983</v>
      </c>
      <c r="AA304" s="11" t="s">
        <v>1983</v>
      </c>
      <c r="AB304" s="11" t="s">
        <v>1983</v>
      </c>
      <c r="AC304" s="11" t="s">
        <v>1983</v>
      </c>
      <c r="AD304" s="11"/>
    </row>
    <row r="305" spans="20:30" ht="15" customHeight="1">
      <c r="T305" s="11" t="s">
        <v>1983</v>
      </c>
      <c r="U305" s="11" t="s">
        <v>1983</v>
      </c>
      <c r="V305" s="11" t="s">
        <v>2340</v>
      </c>
      <c r="W305" s="11" t="s">
        <v>1983</v>
      </c>
      <c r="X305" s="11" t="s">
        <v>1983</v>
      </c>
      <c r="Y305" s="67" t="s">
        <v>1983</v>
      </c>
      <c r="Z305" s="11" t="s">
        <v>1983</v>
      </c>
      <c r="AA305" s="11" t="s">
        <v>1983</v>
      </c>
      <c r="AB305" s="11" t="s">
        <v>1983</v>
      </c>
      <c r="AC305" s="11" t="s">
        <v>1983</v>
      </c>
      <c r="AD305" s="11"/>
    </row>
    <row r="306" spans="20:30" ht="15" customHeight="1">
      <c r="T306" s="11" t="s">
        <v>1983</v>
      </c>
      <c r="U306" s="11" t="s">
        <v>1983</v>
      </c>
      <c r="V306" s="11" t="s">
        <v>2341</v>
      </c>
      <c r="W306" s="11" t="s">
        <v>1983</v>
      </c>
      <c r="X306" s="11" t="s">
        <v>1983</v>
      </c>
      <c r="Y306" s="67" t="s">
        <v>1983</v>
      </c>
      <c r="Z306" s="11" t="s">
        <v>1983</v>
      </c>
      <c r="AA306" s="11" t="s">
        <v>1983</v>
      </c>
      <c r="AB306" s="11" t="s">
        <v>1983</v>
      </c>
      <c r="AC306" s="11" t="s">
        <v>1983</v>
      </c>
      <c r="AD306" s="11"/>
    </row>
    <row r="307" spans="20:30" ht="15" customHeight="1">
      <c r="T307" s="11" t="s">
        <v>1983</v>
      </c>
      <c r="U307" s="11" t="s">
        <v>1983</v>
      </c>
      <c r="V307" s="11" t="s">
        <v>2342</v>
      </c>
      <c r="W307" s="11" t="s">
        <v>1983</v>
      </c>
      <c r="X307" s="11" t="s">
        <v>1983</v>
      </c>
      <c r="Y307" s="67" t="s">
        <v>1983</v>
      </c>
      <c r="Z307" s="11" t="s">
        <v>1983</v>
      </c>
      <c r="AA307" s="11" t="s">
        <v>1983</v>
      </c>
      <c r="AB307" s="11" t="s">
        <v>1983</v>
      </c>
      <c r="AC307" s="11" t="s">
        <v>1983</v>
      </c>
      <c r="AD307" s="11"/>
    </row>
    <row r="308" spans="20:30" ht="15" customHeight="1">
      <c r="T308" s="11" t="s">
        <v>1983</v>
      </c>
      <c r="U308" s="11" t="s">
        <v>1983</v>
      </c>
      <c r="V308" s="11" t="s">
        <v>2343</v>
      </c>
      <c r="W308" s="11" t="s">
        <v>1983</v>
      </c>
      <c r="X308" s="11" t="s">
        <v>1983</v>
      </c>
      <c r="Y308" s="67" t="s">
        <v>1983</v>
      </c>
      <c r="Z308" s="11" t="s">
        <v>1983</v>
      </c>
      <c r="AA308" s="11" t="s">
        <v>1983</v>
      </c>
      <c r="AB308" s="11" t="s">
        <v>1983</v>
      </c>
      <c r="AC308" s="11" t="s">
        <v>1983</v>
      </c>
      <c r="AD308" s="11"/>
    </row>
    <row r="309" spans="20:30" ht="15" customHeight="1">
      <c r="T309" s="11" t="s">
        <v>1983</v>
      </c>
      <c r="U309" s="11" t="s">
        <v>1983</v>
      </c>
      <c r="V309" s="11" t="s">
        <v>2344</v>
      </c>
      <c r="W309" s="11" t="s">
        <v>1983</v>
      </c>
      <c r="X309" s="11" t="s">
        <v>1983</v>
      </c>
      <c r="Y309" s="67" t="s">
        <v>1983</v>
      </c>
      <c r="Z309" s="11" t="s">
        <v>1983</v>
      </c>
      <c r="AA309" s="11" t="s">
        <v>1983</v>
      </c>
      <c r="AB309" s="11" t="s">
        <v>1983</v>
      </c>
      <c r="AC309" s="11" t="s">
        <v>1983</v>
      </c>
      <c r="AD309" s="11"/>
    </row>
    <row r="310" spans="20:30" ht="15" customHeight="1">
      <c r="T310" s="11" t="s">
        <v>1983</v>
      </c>
      <c r="U310" s="11" t="s">
        <v>1983</v>
      </c>
      <c r="V310" s="11" t="s">
        <v>2345</v>
      </c>
      <c r="W310" s="11" t="s">
        <v>1983</v>
      </c>
      <c r="X310" s="11" t="s">
        <v>1983</v>
      </c>
      <c r="Y310" s="67" t="s">
        <v>1983</v>
      </c>
      <c r="Z310" s="11" t="s">
        <v>1983</v>
      </c>
      <c r="AA310" s="11" t="s">
        <v>1983</v>
      </c>
      <c r="AB310" s="11" t="s">
        <v>1983</v>
      </c>
      <c r="AC310" s="11" t="s">
        <v>1983</v>
      </c>
      <c r="AD310" s="11"/>
    </row>
    <row r="311" spans="20:30" ht="15" customHeight="1">
      <c r="T311" s="11" t="s">
        <v>1983</v>
      </c>
      <c r="U311" s="11" t="s">
        <v>1983</v>
      </c>
      <c r="V311" s="11" t="s">
        <v>2346</v>
      </c>
      <c r="W311" s="11" t="s">
        <v>1983</v>
      </c>
      <c r="X311" s="11" t="s">
        <v>1983</v>
      </c>
      <c r="Y311" s="67" t="s">
        <v>1983</v>
      </c>
      <c r="Z311" s="11" t="s">
        <v>1983</v>
      </c>
      <c r="AA311" s="11" t="s">
        <v>1983</v>
      </c>
      <c r="AB311" s="11" t="s">
        <v>1983</v>
      </c>
      <c r="AC311" s="11" t="s">
        <v>1983</v>
      </c>
      <c r="AD311" s="11"/>
    </row>
    <row r="312" spans="20:30" ht="15" customHeight="1">
      <c r="T312" s="11" t="s">
        <v>1983</v>
      </c>
      <c r="U312" s="11" t="s">
        <v>1983</v>
      </c>
      <c r="V312" s="11" t="s">
        <v>2347</v>
      </c>
      <c r="W312" s="11" t="s">
        <v>1983</v>
      </c>
      <c r="X312" s="11" t="s">
        <v>1983</v>
      </c>
      <c r="Y312" s="67" t="s">
        <v>1983</v>
      </c>
      <c r="Z312" s="11" t="s">
        <v>1983</v>
      </c>
      <c r="AA312" s="11" t="s">
        <v>1983</v>
      </c>
      <c r="AB312" s="11" t="s">
        <v>1983</v>
      </c>
      <c r="AC312" s="11" t="s">
        <v>1983</v>
      </c>
      <c r="AD312" s="11"/>
    </row>
    <row r="313" spans="20:30" ht="15" customHeight="1">
      <c r="T313" s="11" t="s">
        <v>1983</v>
      </c>
      <c r="U313" s="11" t="s">
        <v>1983</v>
      </c>
      <c r="V313" s="11" t="s">
        <v>2348</v>
      </c>
      <c r="W313" s="11" t="s">
        <v>1983</v>
      </c>
      <c r="X313" s="11" t="s">
        <v>1983</v>
      </c>
      <c r="Y313" s="67" t="s">
        <v>1983</v>
      </c>
      <c r="Z313" s="11" t="s">
        <v>1983</v>
      </c>
      <c r="AA313" s="11" t="s">
        <v>1983</v>
      </c>
      <c r="AB313" s="11" t="s">
        <v>1983</v>
      </c>
      <c r="AC313" s="11" t="s">
        <v>1983</v>
      </c>
      <c r="AD313" s="11"/>
    </row>
    <row r="314" spans="20:30" ht="15" customHeight="1">
      <c r="T314" s="11" t="s">
        <v>1983</v>
      </c>
      <c r="U314" s="11" t="s">
        <v>1983</v>
      </c>
      <c r="V314" s="11" t="s">
        <v>2349</v>
      </c>
      <c r="W314" s="11" t="s">
        <v>1983</v>
      </c>
      <c r="X314" s="11" t="s">
        <v>1983</v>
      </c>
      <c r="Y314" s="67" t="s">
        <v>1983</v>
      </c>
      <c r="Z314" s="11" t="s">
        <v>1983</v>
      </c>
      <c r="AA314" s="11" t="s">
        <v>1983</v>
      </c>
      <c r="AB314" s="11" t="s">
        <v>1983</v>
      </c>
      <c r="AC314" s="11" t="s">
        <v>1983</v>
      </c>
      <c r="AD314" s="11"/>
    </row>
    <row r="315" spans="20:30" ht="15" customHeight="1">
      <c r="T315" s="11" t="s">
        <v>1983</v>
      </c>
      <c r="U315" s="11" t="s">
        <v>1983</v>
      </c>
      <c r="V315" s="11" t="s">
        <v>2350</v>
      </c>
      <c r="W315" s="11" t="s">
        <v>1983</v>
      </c>
      <c r="X315" s="11" t="s">
        <v>1983</v>
      </c>
      <c r="Y315" s="67" t="s">
        <v>1983</v>
      </c>
      <c r="Z315" s="11" t="s">
        <v>1983</v>
      </c>
      <c r="AA315" s="11" t="s">
        <v>1983</v>
      </c>
      <c r="AB315" s="11" t="s">
        <v>1983</v>
      </c>
      <c r="AC315" s="11" t="s">
        <v>1983</v>
      </c>
      <c r="AD315" s="11"/>
    </row>
    <row r="316" spans="20:30" ht="15" customHeight="1">
      <c r="T316" s="11" t="s">
        <v>1983</v>
      </c>
      <c r="U316" s="11" t="s">
        <v>1983</v>
      </c>
      <c r="V316" s="11" t="s">
        <v>2351</v>
      </c>
      <c r="W316" s="11" t="s">
        <v>1983</v>
      </c>
      <c r="X316" s="11" t="s">
        <v>1983</v>
      </c>
      <c r="Y316" s="67" t="s">
        <v>1983</v>
      </c>
      <c r="Z316" s="11" t="s">
        <v>1983</v>
      </c>
      <c r="AA316" s="11" t="s">
        <v>1983</v>
      </c>
      <c r="AB316" s="11" t="s">
        <v>1983</v>
      </c>
      <c r="AC316" s="11" t="s">
        <v>1983</v>
      </c>
      <c r="AD316" s="11"/>
    </row>
    <row r="317" spans="20:30" ht="15" customHeight="1">
      <c r="T317" s="11" t="s">
        <v>1983</v>
      </c>
      <c r="U317" s="11" t="s">
        <v>1983</v>
      </c>
      <c r="V317" s="11" t="s">
        <v>2352</v>
      </c>
      <c r="W317" s="11" t="s">
        <v>1983</v>
      </c>
      <c r="X317" s="11" t="s">
        <v>1983</v>
      </c>
      <c r="Y317" s="67" t="s">
        <v>1983</v>
      </c>
      <c r="Z317" s="11" t="s">
        <v>1983</v>
      </c>
      <c r="AA317" s="11" t="s">
        <v>1983</v>
      </c>
      <c r="AB317" s="11" t="s">
        <v>1983</v>
      </c>
      <c r="AC317" s="11" t="s">
        <v>1983</v>
      </c>
      <c r="AD317" s="11"/>
    </row>
    <row r="318" spans="20:30" ht="15" customHeight="1">
      <c r="T318" s="11" t="s">
        <v>1983</v>
      </c>
      <c r="U318" s="11" t="s">
        <v>1983</v>
      </c>
      <c r="V318" s="11" t="s">
        <v>2353</v>
      </c>
      <c r="W318" s="11" t="s">
        <v>1983</v>
      </c>
      <c r="X318" s="11" t="s">
        <v>1983</v>
      </c>
      <c r="Y318" s="67" t="s">
        <v>1983</v>
      </c>
      <c r="Z318" s="11" t="s">
        <v>1983</v>
      </c>
      <c r="AA318" s="11" t="s">
        <v>1983</v>
      </c>
      <c r="AB318" s="11" t="s">
        <v>1983</v>
      </c>
      <c r="AC318" s="11" t="s">
        <v>1983</v>
      </c>
      <c r="AD318" s="11"/>
    </row>
    <row r="319" spans="20:30" ht="15" customHeight="1">
      <c r="T319" s="11" t="s">
        <v>1983</v>
      </c>
      <c r="U319" s="11" t="s">
        <v>1983</v>
      </c>
      <c r="V319" s="11" t="s">
        <v>2354</v>
      </c>
      <c r="W319" s="11" t="s">
        <v>1983</v>
      </c>
      <c r="X319" s="11" t="s">
        <v>1983</v>
      </c>
      <c r="Y319" s="67" t="s">
        <v>1983</v>
      </c>
      <c r="Z319" s="11" t="s">
        <v>1983</v>
      </c>
      <c r="AA319" s="11" t="s">
        <v>1983</v>
      </c>
      <c r="AB319" s="11" t="s">
        <v>1983</v>
      </c>
      <c r="AC319" s="11" t="s">
        <v>1983</v>
      </c>
      <c r="AD319" s="11"/>
    </row>
    <row r="320" spans="20:30" ht="15" customHeight="1">
      <c r="T320" s="11" t="s">
        <v>1983</v>
      </c>
      <c r="U320" s="11" t="s">
        <v>1983</v>
      </c>
      <c r="V320" s="11" t="s">
        <v>2355</v>
      </c>
      <c r="W320" s="11" t="s">
        <v>1983</v>
      </c>
      <c r="X320" s="11" t="s">
        <v>1983</v>
      </c>
      <c r="Y320" s="67" t="s">
        <v>1983</v>
      </c>
      <c r="Z320" s="11" t="s">
        <v>1983</v>
      </c>
      <c r="AA320" s="11" t="s">
        <v>1983</v>
      </c>
      <c r="AB320" s="11" t="s">
        <v>1983</v>
      </c>
      <c r="AC320" s="11" t="s">
        <v>1983</v>
      </c>
      <c r="AD320" s="11"/>
    </row>
    <row r="321" spans="20:30" ht="15" customHeight="1">
      <c r="T321" s="11" t="s">
        <v>1983</v>
      </c>
      <c r="U321" s="11" t="s">
        <v>1983</v>
      </c>
      <c r="V321" s="11" t="s">
        <v>2356</v>
      </c>
      <c r="W321" s="11" t="s">
        <v>1983</v>
      </c>
      <c r="X321" s="11" t="s">
        <v>1983</v>
      </c>
      <c r="Y321" s="67" t="s">
        <v>1983</v>
      </c>
      <c r="Z321" s="11" t="s">
        <v>1983</v>
      </c>
      <c r="AA321" s="11" t="s">
        <v>1983</v>
      </c>
      <c r="AB321" s="11" t="s">
        <v>1983</v>
      </c>
      <c r="AC321" s="11" t="s">
        <v>1983</v>
      </c>
      <c r="AD321" s="11"/>
    </row>
    <row r="322" spans="20:30" ht="15" customHeight="1">
      <c r="T322" s="11" t="s">
        <v>1983</v>
      </c>
      <c r="U322" s="11" t="s">
        <v>1983</v>
      </c>
      <c r="V322" s="11" t="s">
        <v>2357</v>
      </c>
      <c r="W322" s="11" t="s">
        <v>1983</v>
      </c>
      <c r="X322" s="11" t="s">
        <v>1983</v>
      </c>
      <c r="Y322" s="67" t="s">
        <v>1983</v>
      </c>
      <c r="Z322" s="11" t="s">
        <v>1983</v>
      </c>
      <c r="AA322" s="11" t="s">
        <v>1983</v>
      </c>
      <c r="AB322" s="11" t="s">
        <v>1983</v>
      </c>
      <c r="AC322" s="11" t="s">
        <v>1983</v>
      </c>
      <c r="AD322" s="11"/>
    </row>
    <row r="323" spans="20:30" ht="15" customHeight="1">
      <c r="T323" s="11" t="s">
        <v>1983</v>
      </c>
      <c r="U323" s="11" t="s">
        <v>1983</v>
      </c>
      <c r="V323" s="11" t="s">
        <v>2358</v>
      </c>
      <c r="W323" s="11" t="s">
        <v>1983</v>
      </c>
      <c r="X323" s="11" t="s">
        <v>1983</v>
      </c>
      <c r="Y323" s="67" t="s">
        <v>1983</v>
      </c>
      <c r="Z323" s="11" t="s">
        <v>1983</v>
      </c>
      <c r="AA323" s="11" t="s">
        <v>1983</v>
      </c>
      <c r="AB323" s="11" t="s">
        <v>1983</v>
      </c>
      <c r="AC323" s="11" t="s">
        <v>1983</v>
      </c>
      <c r="AD323" s="11"/>
    </row>
    <row r="324" spans="20:30" ht="15" customHeight="1">
      <c r="T324" s="11" t="s">
        <v>1983</v>
      </c>
      <c r="U324" s="11" t="s">
        <v>1983</v>
      </c>
      <c r="V324" s="11" t="s">
        <v>2359</v>
      </c>
      <c r="W324" s="11" t="s">
        <v>1983</v>
      </c>
      <c r="X324" s="11" t="s">
        <v>1983</v>
      </c>
      <c r="Y324" s="67" t="s">
        <v>1983</v>
      </c>
      <c r="Z324" s="11" t="s">
        <v>1983</v>
      </c>
      <c r="AA324" s="11" t="s">
        <v>1983</v>
      </c>
      <c r="AB324" s="11" t="s">
        <v>1983</v>
      </c>
      <c r="AC324" s="11" t="s">
        <v>1983</v>
      </c>
      <c r="AD324" s="11"/>
    </row>
    <row r="325" spans="20:30" ht="15" customHeight="1">
      <c r="T325" s="11" t="s">
        <v>1983</v>
      </c>
      <c r="U325" s="11" t="s">
        <v>1983</v>
      </c>
      <c r="V325" s="11" t="s">
        <v>2360</v>
      </c>
      <c r="W325" s="11" t="s">
        <v>1983</v>
      </c>
      <c r="X325" s="11" t="s">
        <v>1983</v>
      </c>
      <c r="Y325" s="67" t="s">
        <v>1983</v>
      </c>
      <c r="Z325" s="11" t="s">
        <v>1983</v>
      </c>
      <c r="AA325" s="11" t="s">
        <v>1983</v>
      </c>
      <c r="AB325" s="11" t="s">
        <v>1983</v>
      </c>
      <c r="AC325" s="11" t="s">
        <v>1983</v>
      </c>
      <c r="AD325" s="11"/>
    </row>
    <row r="326" spans="20:30" ht="15" customHeight="1">
      <c r="T326" s="11" t="s">
        <v>1983</v>
      </c>
      <c r="U326" s="11" t="s">
        <v>1983</v>
      </c>
      <c r="V326" s="11" t="s">
        <v>2361</v>
      </c>
      <c r="W326" s="11" t="s">
        <v>1983</v>
      </c>
      <c r="X326" s="11" t="s">
        <v>1983</v>
      </c>
      <c r="Y326" s="67" t="s">
        <v>1983</v>
      </c>
      <c r="Z326" s="11" t="s">
        <v>1983</v>
      </c>
      <c r="AA326" s="11" t="s">
        <v>1983</v>
      </c>
      <c r="AB326" s="11" t="s">
        <v>1983</v>
      </c>
      <c r="AC326" s="11" t="s">
        <v>1983</v>
      </c>
      <c r="AD326" s="11"/>
    </row>
    <row r="327" spans="20:30" ht="15" customHeight="1">
      <c r="T327" s="11" t="s">
        <v>1983</v>
      </c>
      <c r="U327" s="11" t="s">
        <v>1983</v>
      </c>
      <c r="V327" s="11" t="s">
        <v>2362</v>
      </c>
      <c r="W327" s="11" t="s">
        <v>1983</v>
      </c>
      <c r="X327" s="11" t="s">
        <v>1983</v>
      </c>
      <c r="Y327" s="67" t="s">
        <v>1983</v>
      </c>
      <c r="Z327" s="11" t="s">
        <v>1983</v>
      </c>
      <c r="AA327" s="11" t="s">
        <v>1983</v>
      </c>
      <c r="AB327" s="11" t="s">
        <v>1983</v>
      </c>
      <c r="AC327" s="11" t="s">
        <v>1983</v>
      </c>
      <c r="AD327" s="11"/>
    </row>
    <row r="328" spans="20:30" ht="15" customHeight="1">
      <c r="T328" s="11" t="s">
        <v>1983</v>
      </c>
      <c r="U328" s="11" t="s">
        <v>1983</v>
      </c>
      <c r="V328" s="11" t="s">
        <v>2363</v>
      </c>
      <c r="W328" s="11" t="s">
        <v>1983</v>
      </c>
      <c r="X328" s="11" t="s">
        <v>1983</v>
      </c>
      <c r="Y328" s="67" t="s">
        <v>1983</v>
      </c>
      <c r="Z328" s="11" t="s">
        <v>1983</v>
      </c>
      <c r="AA328" s="11" t="s">
        <v>1983</v>
      </c>
      <c r="AB328" s="11" t="s">
        <v>1983</v>
      </c>
      <c r="AC328" s="11" t="s">
        <v>1983</v>
      </c>
      <c r="AD328" s="11"/>
    </row>
    <row r="329" spans="20:30" ht="15" customHeight="1">
      <c r="T329" s="11" t="s">
        <v>1983</v>
      </c>
      <c r="U329" s="11" t="s">
        <v>1983</v>
      </c>
      <c r="V329" s="11" t="s">
        <v>2364</v>
      </c>
      <c r="W329" s="11" t="s">
        <v>1983</v>
      </c>
      <c r="X329" s="11" t="s">
        <v>1983</v>
      </c>
      <c r="Y329" s="67" t="s">
        <v>1983</v>
      </c>
      <c r="Z329" s="11" t="s">
        <v>1983</v>
      </c>
      <c r="AA329" s="11" t="s">
        <v>1983</v>
      </c>
      <c r="AB329" s="11" t="s">
        <v>1983</v>
      </c>
      <c r="AC329" s="11" t="s">
        <v>1983</v>
      </c>
      <c r="AD329" s="11"/>
    </row>
    <row r="330" spans="20:30" ht="15" customHeight="1">
      <c r="T330" s="11" t="s">
        <v>1983</v>
      </c>
      <c r="U330" s="11" t="s">
        <v>1983</v>
      </c>
      <c r="V330" s="11" t="s">
        <v>2365</v>
      </c>
      <c r="W330" s="11" t="s">
        <v>1983</v>
      </c>
      <c r="X330" s="11" t="s">
        <v>1983</v>
      </c>
      <c r="Y330" s="67" t="s">
        <v>1983</v>
      </c>
      <c r="Z330" s="11" t="s">
        <v>1983</v>
      </c>
      <c r="AA330" s="11" t="s">
        <v>1983</v>
      </c>
      <c r="AB330" s="11" t="s">
        <v>1983</v>
      </c>
      <c r="AC330" s="11" t="s">
        <v>1983</v>
      </c>
      <c r="AD330" s="11"/>
    </row>
    <row r="331" spans="20:30" ht="15" customHeight="1">
      <c r="T331" s="11" t="s">
        <v>1983</v>
      </c>
      <c r="U331" s="11" t="s">
        <v>1983</v>
      </c>
      <c r="V331" s="11" t="s">
        <v>2366</v>
      </c>
      <c r="W331" s="11" t="s">
        <v>1983</v>
      </c>
      <c r="X331" s="11" t="s">
        <v>1983</v>
      </c>
      <c r="Y331" s="67" t="s">
        <v>1983</v>
      </c>
      <c r="Z331" s="11" t="s">
        <v>1983</v>
      </c>
      <c r="AA331" s="11" t="s">
        <v>1983</v>
      </c>
      <c r="AB331" s="11" t="s">
        <v>1983</v>
      </c>
      <c r="AC331" s="11" t="s">
        <v>1983</v>
      </c>
      <c r="AD331" s="11"/>
    </row>
    <row r="332" spans="20:30" ht="15" customHeight="1">
      <c r="T332" s="11" t="s">
        <v>1983</v>
      </c>
      <c r="U332" s="11" t="s">
        <v>1983</v>
      </c>
      <c r="V332" s="11" t="s">
        <v>2367</v>
      </c>
      <c r="W332" s="11" t="s">
        <v>1983</v>
      </c>
      <c r="X332" s="11" t="s">
        <v>1983</v>
      </c>
      <c r="Y332" s="67" t="s">
        <v>1983</v>
      </c>
      <c r="Z332" s="11" t="s">
        <v>1983</v>
      </c>
      <c r="AA332" s="11" t="s">
        <v>1983</v>
      </c>
      <c r="AB332" s="11" t="s">
        <v>1983</v>
      </c>
      <c r="AC332" s="11" t="s">
        <v>1983</v>
      </c>
      <c r="AD332" s="11"/>
    </row>
    <row r="333" spans="20:30" ht="15" customHeight="1">
      <c r="T333" s="11" t="s">
        <v>1983</v>
      </c>
      <c r="U333" s="11" t="s">
        <v>1983</v>
      </c>
      <c r="V333" s="11" t="s">
        <v>2368</v>
      </c>
      <c r="W333" s="11" t="s">
        <v>1983</v>
      </c>
      <c r="X333" s="11" t="s">
        <v>1983</v>
      </c>
      <c r="Y333" s="67" t="s">
        <v>1983</v>
      </c>
      <c r="Z333" s="11" t="s">
        <v>1983</v>
      </c>
      <c r="AA333" s="11" t="s">
        <v>1983</v>
      </c>
      <c r="AB333" s="11" t="s">
        <v>1983</v>
      </c>
      <c r="AC333" s="11" t="s">
        <v>1983</v>
      </c>
      <c r="AD333" s="11"/>
    </row>
    <row r="334" spans="20:30" ht="15" customHeight="1">
      <c r="T334" s="11" t="s">
        <v>1983</v>
      </c>
      <c r="U334" s="11" t="s">
        <v>1983</v>
      </c>
      <c r="V334" s="11" t="s">
        <v>2369</v>
      </c>
      <c r="W334" s="11" t="s">
        <v>1983</v>
      </c>
      <c r="X334" s="11" t="s">
        <v>1983</v>
      </c>
      <c r="Y334" s="67" t="s">
        <v>1983</v>
      </c>
      <c r="Z334" s="11" t="s">
        <v>1983</v>
      </c>
      <c r="AA334" s="11" t="s">
        <v>1983</v>
      </c>
      <c r="AB334" s="11" t="s">
        <v>1983</v>
      </c>
      <c r="AC334" s="11" t="s">
        <v>1983</v>
      </c>
      <c r="AD334" s="11"/>
    </row>
    <row r="335" spans="20:30" ht="15" customHeight="1">
      <c r="T335" s="11" t="s">
        <v>1983</v>
      </c>
      <c r="U335" s="11" t="s">
        <v>1983</v>
      </c>
      <c r="V335" s="11" t="s">
        <v>2370</v>
      </c>
      <c r="W335" s="11" t="s">
        <v>1983</v>
      </c>
      <c r="X335" s="11" t="s">
        <v>1983</v>
      </c>
      <c r="Y335" s="67" t="s">
        <v>1983</v>
      </c>
      <c r="Z335" s="11" t="s">
        <v>1983</v>
      </c>
      <c r="AA335" s="11" t="s">
        <v>1983</v>
      </c>
      <c r="AB335" s="11" t="s">
        <v>1983</v>
      </c>
      <c r="AC335" s="11" t="s">
        <v>1983</v>
      </c>
      <c r="AD335" s="11"/>
    </row>
    <row r="336" spans="20:30" ht="15" customHeight="1">
      <c r="T336" s="11" t="s">
        <v>1983</v>
      </c>
      <c r="U336" s="11" t="s">
        <v>1983</v>
      </c>
      <c r="V336" s="11" t="s">
        <v>2371</v>
      </c>
      <c r="W336" s="11" t="s">
        <v>1983</v>
      </c>
      <c r="X336" s="11" t="s">
        <v>1983</v>
      </c>
      <c r="Y336" s="67" t="s">
        <v>1983</v>
      </c>
      <c r="Z336" s="11" t="s">
        <v>1983</v>
      </c>
      <c r="AA336" s="11" t="s">
        <v>1983</v>
      </c>
      <c r="AB336" s="11" t="s">
        <v>1983</v>
      </c>
      <c r="AC336" s="11" t="s">
        <v>1983</v>
      </c>
      <c r="AD336" s="11"/>
    </row>
    <row r="337" spans="20:30" ht="15" customHeight="1">
      <c r="T337" s="11" t="s">
        <v>1983</v>
      </c>
      <c r="U337" s="11" t="s">
        <v>1983</v>
      </c>
      <c r="V337" s="11" t="s">
        <v>2372</v>
      </c>
      <c r="W337" s="11" t="s">
        <v>1983</v>
      </c>
      <c r="X337" s="11" t="s">
        <v>1983</v>
      </c>
      <c r="Y337" s="67" t="s">
        <v>1983</v>
      </c>
      <c r="Z337" s="11" t="s">
        <v>1983</v>
      </c>
      <c r="AA337" s="11" t="s">
        <v>1983</v>
      </c>
      <c r="AB337" s="11" t="s">
        <v>1983</v>
      </c>
      <c r="AC337" s="11" t="s">
        <v>1983</v>
      </c>
      <c r="AD337" s="11"/>
    </row>
    <row r="338" spans="20:30" ht="15" customHeight="1">
      <c r="T338" s="11" t="s">
        <v>1983</v>
      </c>
      <c r="U338" s="11" t="s">
        <v>1983</v>
      </c>
      <c r="V338" s="11" t="s">
        <v>2373</v>
      </c>
      <c r="W338" s="11" t="s">
        <v>1983</v>
      </c>
      <c r="X338" s="11" t="s">
        <v>1983</v>
      </c>
      <c r="Y338" s="67" t="s">
        <v>1983</v>
      </c>
      <c r="Z338" s="11" t="s">
        <v>1983</v>
      </c>
      <c r="AA338" s="11" t="s">
        <v>1983</v>
      </c>
      <c r="AB338" s="11" t="s">
        <v>1983</v>
      </c>
      <c r="AC338" s="11" t="s">
        <v>1983</v>
      </c>
      <c r="AD338" s="11"/>
    </row>
    <row r="339" spans="20:30" ht="15" customHeight="1">
      <c r="T339" s="11" t="s">
        <v>1983</v>
      </c>
      <c r="U339" s="11" t="s">
        <v>1983</v>
      </c>
      <c r="V339" s="11" t="s">
        <v>2374</v>
      </c>
      <c r="W339" s="11" t="s">
        <v>1983</v>
      </c>
      <c r="X339" s="11" t="s">
        <v>1983</v>
      </c>
      <c r="Y339" s="67" t="s">
        <v>1983</v>
      </c>
      <c r="Z339" s="11" t="s">
        <v>1983</v>
      </c>
      <c r="AA339" s="11" t="s">
        <v>1983</v>
      </c>
      <c r="AB339" s="11" t="s">
        <v>1983</v>
      </c>
      <c r="AC339" s="11" t="s">
        <v>1983</v>
      </c>
      <c r="AD339" s="11"/>
    </row>
    <row r="340" spans="20:30" ht="15" customHeight="1">
      <c r="T340" s="11" t="s">
        <v>1983</v>
      </c>
      <c r="U340" s="11" t="s">
        <v>1983</v>
      </c>
      <c r="V340" s="11" t="s">
        <v>2375</v>
      </c>
      <c r="W340" s="11" t="s">
        <v>1983</v>
      </c>
      <c r="X340" s="11" t="s">
        <v>1983</v>
      </c>
      <c r="Y340" s="67" t="s">
        <v>1983</v>
      </c>
      <c r="Z340" s="11" t="s">
        <v>1983</v>
      </c>
      <c r="AA340" s="11" t="s">
        <v>1983</v>
      </c>
      <c r="AB340" s="11" t="s">
        <v>1983</v>
      </c>
      <c r="AC340" s="11" t="s">
        <v>1983</v>
      </c>
      <c r="AD340" s="11"/>
    </row>
    <row r="341" spans="20:30" ht="15" customHeight="1">
      <c r="T341" s="11" t="s">
        <v>1983</v>
      </c>
      <c r="U341" s="11" t="s">
        <v>1983</v>
      </c>
      <c r="V341" s="11" t="s">
        <v>2376</v>
      </c>
      <c r="W341" s="11" t="s">
        <v>1983</v>
      </c>
      <c r="X341" s="11" t="s">
        <v>1983</v>
      </c>
      <c r="Y341" s="67" t="s">
        <v>1983</v>
      </c>
      <c r="Z341" s="11" t="s">
        <v>1983</v>
      </c>
      <c r="AA341" s="11" t="s">
        <v>1983</v>
      </c>
      <c r="AB341" s="11" t="s">
        <v>1983</v>
      </c>
      <c r="AC341" s="11" t="s">
        <v>1983</v>
      </c>
      <c r="AD341" s="11"/>
    </row>
    <row r="342" spans="20:30" ht="15" customHeight="1">
      <c r="T342" s="11" t="s">
        <v>1983</v>
      </c>
      <c r="U342" s="11" t="s">
        <v>1983</v>
      </c>
      <c r="V342" s="11" t="s">
        <v>2377</v>
      </c>
      <c r="W342" s="11" t="s">
        <v>1983</v>
      </c>
      <c r="X342" s="11" t="s">
        <v>1983</v>
      </c>
      <c r="Y342" s="67" t="s">
        <v>1983</v>
      </c>
      <c r="Z342" s="11" t="s">
        <v>1983</v>
      </c>
      <c r="AA342" s="11" t="s">
        <v>1983</v>
      </c>
      <c r="AB342" s="11" t="s">
        <v>1983</v>
      </c>
      <c r="AC342" s="11" t="s">
        <v>1983</v>
      </c>
      <c r="AD342" s="11"/>
    </row>
    <row r="343" spans="20:30" ht="15" customHeight="1">
      <c r="T343" s="11" t="s">
        <v>1983</v>
      </c>
      <c r="U343" s="11" t="s">
        <v>1983</v>
      </c>
      <c r="V343" s="11" t="s">
        <v>2378</v>
      </c>
      <c r="W343" s="11" t="s">
        <v>1983</v>
      </c>
      <c r="X343" s="11" t="s">
        <v>1983</v>
      </c>
      <c r="Y343" s="67" t="s">
        <v>1983</v>
      </c>
      <c r="Z343" s="11" t="s">
        <v>1983</v>
      </c>
      <c r="AA343" s="11" t="s">
        <v>1983</v>
      </c>
      <c r="AB343" s="11" t="s">
        <v>1983</v>
      </c>
      <c r="AC343" s="11" t="s">
        <v>1983</v>
      </c>
      <c r="AD343" s="11"/>
    </row>
    <row r="344" spans="20:30" ht="15" customHeight="1">
      <c r="T344" s="11" t="s">
        <v>1983</v>
      </c>
      <c r="U344" s="11" t="s">
        <v>1983</v>
      </c>
      <c r="V344" s="11" t="s">
        <v>2379</v>
      </c>
      <c r="W344" s="11" t="s">
        <v>1983</v>
      </c>
      <c r="X344" s="11" t="s">
        <v>1983</v>
      </c>
      <c r="Y344" s="67" t="s">
        <v>1983</v>
      </c>
      <c r="Z344" s="11" t="s">
        <v>1983</v>
      </c>
      <c r="AA344" s="11" t="s">
        <v>1983</v>
      </c>
      <c r="AB344" s="11" t="s">
        <v>1983</v>
      </c>
      <c r="AC344" s="11" t="s">
        <v>1983</v>
      </c>
      <c r="AD344" s="11"/>
    </row>
    <row r="345" spans="20:30" ht="15" customHeight="1">
      <c r="T345" s="11" t="s">
        <v>1983</v>
      </c>
      <c r="U345" s="11" t="s">
        <v>1983</v>
      </c>
      <c r="V345" s="11" t="s">
        <v>2380</v>
      </c>
      <c r="W345" s="11" t="s">
        <v>1983</v>
      </c>
      <c r="X345" s="11" t="s">
        <v>1983</v>
      </c>
      <c r="Y345" s="67" t="s">
        <v>1983</v>
      </c>
      <c r="Z345" s="11" t="s">
        <v>1983</v>
      </c>
      <c r="AA345" s="11" t="s">
        <v>1983</v>
      </c>
      <c r="AB345" s="11" t="s">
        <v>1983</v>
      </c>
      <c r="AC345" s="11" t="s">
        <v>1983</v>
      </c>
      <c r="AD345" s="11"/>
    </row>
    <row r="346" spans="20:30" ht="15" customHeight="1">
      <c r="T346" s="11" t="s">
        <v>1983</v>
      </c>
      <c r="U346" s="11" t="s">
        <v>1983</v>
      </c>
      <c r="V346" s="11" t="s">
        <v>2381</v>
      </c>
      <c r="W346" s="11" t="s">
        <v>1983</v>
      </c>
      <c r="X346" s="11" t="s">
        <v>1983</v>
      </c>
      <c r="Y346" s="67" t="s">
        <v>1983</v>
      </c>
      <c r="Z346" s="11" t="s">
        <v>1983</v>
      </c>
      <c r="AA346" s="11" t="s">
        <v>1983</v>
      </c>
      <c r="AB346" s="11" t="s">
        <v>1983</v>
      </c>
      <c r="AC346" s="11" t="s">
        <v>1983</v>
      </c>
      <c r="AD346" s="11"/>
    </row>
    <row r="347" spans="20:30" ht="15" customHeight="1">
      <c r="T347" s="11" t="s">
        <v>1983</v>
      </c>
      <c r="U347" s="11" t="s">
        <v>1983</v>
      </c>
      <c r="V347" s="11" t="s">
        <v>2382</v>
      </c>
      <c r="W347" s="11" t="s">
        <v>1983</v>
      </c>
      <c r="X347" s="11" t="s">
        <v>1983</v>
      </c>
      <c r="Y347" s="67" t="s">
        <v>1983</v>
      </c>
      <c r="Z347" s="11" t="s">
        <v>1983</v>
      </c>
      <c r="AA347" s="11" t="s">
        <v>1983</v>
      </c>
      <c r="AB347" s="11" t="s">
        <v>1983</v>
      </c>
      <c r="AC347" s="11" t="s">
        <v>1983</v>
      </c>
      <c r="AD347" s="11"/>
    </row>
    <row r="348" spans="20:30" ht="15" customHeight="1">
      <c r="T348" s="11" t="s">
        <v>1983</v>
      </c>
      <c r="U348" s="11" t="s">
        <v>1983</v>
      </c>
      <c r="V348" s="11" t="s">
        <v>2383</v>
      </c>
      <c r="W348" s="11" t="s">
        <v>1983</v>
      </c>
      <c r="X348" s="11" t="s">
        <v>1983</v>
      </c>
      <c r="Y348" s="67" t="s">
        <v>1983</v>
      </c>
      <c r="Z348" s="11" t="s">
        <v>1983</v>
      </c>
      <c r="AA348" s="11" t="s">
        <v>1983</v>
      </c>
      <c r="AB348" s="11" t="s">
        <v>1983</v>
      </c>
      <c r="AC348" s="11" t="s">
        <v>1983</v>
      </c>
      <c r="AD348" s="11"/>
    </row>
    <row r="349" spans="20:30" ht="15" customHeight="1">
      <c r="T349" s="11" t="s">
        <v>1983</v>
      </c>
      <c r="U349" s="11">
        <v>0.6</v>
      </c>
      <c r="V349" s="11" t="s">
        <v>2384</v>
      </c>
      <c r="W349" s="11">
        <v>2000</v>
      </c>
      <c r="X349" s="11">
        <v>65</v>
      </c>
      <c r="Y349" s="67">
        <v>65</v>
      </c>
      <c r="Z349" s="11">
        <v>5</v>
      </c>
      <c r="AA349" s="11" t="s">
        <v>1983</v>
      </c>
      <c r="AB349" s="11" t="s">
        <v>1983</v>
      </c>
      <c r="AC349" s="11" t="s">
        <v>1983</v>
      </c>
      <c r="AD349" s="11"/>
    </row>
    <row r="350" spans="20:30" ht="15" customHeight="1">
      <c r="T350" s="11" t="s">
        <v>1983</v>
      </c>
      <c r="U350" s="11">
        <v>0.6</v>
      </c>
      <c r="V350" s="11" t="s">
        <v>2385</v>
      </c>
      <c r="W350" s="11">
        <v>2000</v>
      </c>
      <c r="X350" s="11">
        <v>95</v>
      </c>
      <c r="Y350" s="67">
        <v>95</v>
      </c>
      <c r="Z350" s="11">
        <v>10</v>
      </c>
      <c r="AA350" s="11" t="s">
        <v>1983</v>
      </c>
      <c r="AB350" s="11" t="s">
        <v>1983</v>
      </c>
      <c r="AC350" s="11" t="s">
        <v>1983</v>
      </c>
      <c r="AD350" s="11"/>
    </row>
    <row r="351" spans="20:30" ht="15" customHeight="1">
      <c r="T351" s="11" t="s">
        <v>1983</v>
      </c>
      <c r="U351" s="11" t="s">
        <v>1983</v>
      </c>
      <c r="V351" s="11" t="s">
        <v>2386</v>
      </c>
      <c r="W351" s="11" t="s">
        <v>1983</v>
      </c>
      <c r="X351" s="11" t="s">
        <v>1983</v>
      </c>
      <c r="Y351" s="67" t="s">
        <v>1983</v>
      </c>
      <c r="Z351" s="11" t="s">
        <v>1983</v>
      </c>
      <c r="AA351" s="11" t="s">
        <v>1983</v>
      </c>
      <c r="AB351" s="11" t="s">
        <v>1983</v>
      </c>
      <c r="AC351" s="11" t="s">
        <v>1983</v>
      </c>
      <c r="AD351" s="11"/>
    </row>
    <row r="352" spans="20:30" ht="15" customHeight="1">
      <c r="T352" s="11" t="s">
        <v>1983</v>
      </c>
      <c r="U352" s="11" t="s">
        <v>1983</v>
      </c>
      <c r="V352" s="11" t="s">
        <v>2387</v>
      </c>
      <c r="W352" s="11" t="s">
        <v>1983</v>
      </c>
      <c r="X352" s="11" t="s">
        <v>1983</v>
      </c>
      <c r="Y352" s="67" t="s">
        <v>1983</v>
      </c>
      <c r="Z352" s="11" t="s">
        <v>1983</v>
      </c>
      <c r="AA352" s="11" t="s">
        <v>1983</v>
      </c>
      <c r="AB352" s="11" t="s">
        <v>1983</v>
      </c>
      <c r="AC352" s="11" t="s">
        <v>1983</v>
      </c>
      <c r="AD352" s="11"/>
    </row>
    <row r="353" spans="20:30" ht="15" customHeight="1">
      <c r="T353" s="11" t="s">
        <v>1983</v>
      </c>
      <c r="U353" s="11" t="s">
        <v>1983</v>
      </c>
      <c r="V353" s="11" t="s">
        <v>2388</v>
      </c>
      <c r="W353" s="11" t="s">
        <v>1983</v>
      </c>
      <c r="X353" s="11" t="s">
        <v>1983</v>
      </c>
      <c r="Y353" s="67" t="s">
        <v>1983</v>
      </c>
      <c r="Z353" s="11" t="s">
        <v>1983</v>
      </c>
      <c r="AA353" s="11" t="s">
        <v>1983</v>
      </c>
      <c r="AB353" s="11" t="s">
        <v>1983</v>
      </c>
      <c r="AC353" s="11" t="s">
        <v>1983</v>
      </c>
      <c r="AD353" s="11"/>
    </row>
    <row r="354" spans="20:30" ht="15" customHeight="1">
      <c r="T354" s="11" t="s">
        <v>1983</v>
      </c>
      <c r="U354" s="11" t="s">
        <v>1983</v>
      </c>
      <c r="V354" s="11" t="s">
        <v>2389</v>
      </c>
      <c r="W354" s="11" t="s">
        <v>1983</v>
      </c>
      <c r="X354" s="11" t="s">
        <v>1983</v>
      </c>
      <c r="Y354" s="67" t="s">
        <v>1983</v>
      </c>
      <c r="Z354" s="11" t="s">
        <v>1983</v>
      </c>
      <c r="AA354" s="11" t="s">
        <v>1983</v>
      </c>
      <c r="AB354" s="11" t="s">
        <v>1983</v>
      </c>
      <c r="AC354" s="11" t="s">
        <v>1983</v>
      </c>
      <c r="AD354" s="11"/>
    </row>
    <row r="355" spans="20:30" ht="15" customHeight="1">
      <c r="T355" s="11" t="s">
        <v>1983</v>
      </c>
      <c r="U355" s="11" t="s">
        <v>1983</v>
      </c>
      <c r="V355" s="11" t="s">
        <v>2390</v>
      </c>
      <c r="W355" s="11" t="s">
        <v>1983</v>
      </c>
      <c r="X355" s="11" t="s">
        <v>1983</v>
      </c>
      <c r="Y355" s="67" t="s">
        <v>1983</v>
      </c>
      <c r="Z355" s="11" t="s">
        <v>1983</v>
      </c>
      <c r="AA355" s="11" t="s">
        <v>1983</v>
      </c>
      <c r="AB355" s="11" t="s">
        <v>1983</v>
      </c>
      <c r="AC355" s="11" t="s">
        <v>1983</v>
      </c>
      <c r="AD355" s="11"/>
    </row>
    <row r="356" spans="20:30" ht="15" customHeight="1">
      <c r="T356" s="11" t="s">
        <v>1983</v>
      </c>
      <c r="U356" s="11">
        <v>15</v>
      </c>
      <c r="V356" s="11" t="s">
        <v>2391</v>
      </c>
      <c r="W356" s="11">
        <v>7000</v>
      </c>
      <c r="X356" s="11">
        <v>55</v>
      </c>
      <c r="Y356" s="67" t="s">
        <v>1983</v>
      </c>
      <c r="Z356" s="11">
        <v>9</v>
      </c>
      <c r="AA356" s="11" t="s">
        <v>1777</v>
      </c>
      <c r="AB356" s="11" t="s">
        <v>1777</v>
      </c>
      <c r="AC356" s="11" t="s">
        <v>1983</v>
      </c>
      <c r="AD356" s="11"/>
    </row>
    <row r="357" spans="20:30" ht="15" customHeight="1">
      <c r="T357" s="11" t="s">
        <v>1983</v>
      </c>
      <c r="U357" s="11" t="s">
        <v>1983</v>
      </c>
      <c r="V357" s="11" t="s">
        <v>2392</v>
      </c>
      <c r="W357" s="11" t="s">
        <v>1983</v>
      </c>
      <c r="X357" s="11" t="s">
        <v>1983</v>
      </c>
      <c r="Y357" s="67" t="s">
        <v>1983</v>
      </c>
      <c r="Z357" s="11" t="s">
        <v>1983</v>
      </c>
      <c r="AA357" s="11" t="s">
        <v>1983</v>
      </c>
      <c r="AB357" s="11" t="s">
        <v>1983</v>
      </c>
      <c r="AC357" s="11" t="s">
        <v>1983</v>
      </c>
      <c r="AD357" s="11"/>
    </row>
    <row r="358" spans="20:30" ht="15" customHeight="1">
      <c r="T358" s="11" t="s">
        <v>1983</v>
      </c>
      <c r="U358" s="11" t="s">
        <v>1983</v>
      </c>
      <c r="V358" s="11" t="s">
        <v>2393</v>
      </c>
      <c r="W358" s="11" t="s">
        <v>1983</v>
      </c>
      <c r="X358" s="11" t="s">
        <v>1983</v>
      </c>
      <c r="Y358" s="67" t="s">
        <v>1983</v>
      </c>
      <c r="Z358" s="11" t="s">
        <v>1983</v>
      </c>
      <c r="AA358" s="11" t="s">
        <v>1983</v>
      </c>
      <c r="AB358" s="11" t="s">
        <v>1983</v>
      </c>
      <c r="AC358" s="11" t="s">
        <v>1983</v>
      </c>
      <c r="AD358" s="11"/>
    </row>
    <row r="359" spans="20:30" ht="15" customHeight="1">
      <c r="T359" s="11" t="s">
        <v>1983</v>
      </c>
      <c r="U359" s="11" t="s">
        <v>1983</v>
      </c>
      <c r="V359" s="11" t="s">
        <v>2394</v>
      </c>
      <c r="W359" s="11" t="s">
        <v>1983</v>
      </c>
      <c r="X359" s="11" t="s">
        <v>1983</v>
      </c>
      <c r="Y359" s="67" t="s">
        <v>1983</v>
      </c>
      <c r="Z359" s="11" t="s">
        <v>1983</v>
      </c>
      <c r="AA359" s="11" t="s">
        <v>1983</v>
      </c>
      <c r="AB359" s="11" t="s">
        <v>1983</v>
      </c>
      <c r="AC359" s="11" t="s">
        <v>1983</v>
      </c>
      <c r="AD359" s="11"/>
    </row>
    <row r="360" spans="20:30" ht="15" customHeight="1">
      <c r="T360" s="11" t="s">
        <v>1983</v>
      </c>
      <c r="U360" s="11" t="s">
        <v>1983</v>
      </c>
      <c r="V360" s="11" t="s">
        <v>2395</v>
      </c>
      <c r="W360" s="11" t="s">
        <v>1983</v>
      </c>
      <c r="X360" s="11" t="s">
        <v>1983</v>
      </c>
      <c r="Y360" s="67" t="s">
        <v>1983</v>
      </c>
      <c r="Z360" s="11" t="s">
        <v>1983</v>
      </c>
      <c r="AA360" s="11" t="s">
        <v>1983</v>
      </c>
      <c r="AB360" s="11" t="s">
        <v>1983</v>
      </c>
      <c r="AC360" s="11" t="s">
        <v>1983</v>
      </c>
      <c r="AD360" s="11"/>
    </row>
    <row r="361" spans="20:30" ht="15" customHeight="1">
      <c r="T361" s="11" t="s">
        <v>1983</v>
      </c>
      <c r="U361" s="11" t="s">
        <v>1983</v>
      </c>
      <c r="V361" s="11" t="s">
        <v>2396</v>
      </c>
      <c r="W361" s="11" t="s">
        <v>1983</v>
      </c>
      <c r="X361" s="11" t="s">
        <v>1983</v>
      </c>
      <c r="Y361" s="67" t="s">
        <v>1983</v>
      </c>
      <c r="Z361" s="11" t="s">
        <v>1983</v>
      </c>
      <c r="AA361" s="11" t="s">
        <v>1983</v>
      </c>
      <c r="AB361" s="11" t="s">
        <v>1983</v>
      </c>
      <c r="AC361" s="11" t="s">
        <v>1983</v>
      </c>
      <c r="AD361" s="11"/>
    </row>
    <row r="362" spans="20:30" ht="15" customHeight="1">
      <c r="T362" s="11" t="s">
        <v>1983</v>
      </c>
      <c r="U362" s="11" t="s">
        <v>1983</v>
      </c>
      <c r="V362" s="11" t="s">
        <v>2397</v>
      </c>
      <c r="W362" s="11" t="s">
        <v>1983</v>
      </c>
      <c r="X362" s="11" t="s">
        <v>1983</v>
      </c>
      <c r="Y362" s="67" t="s">
        <v>1983</v>
      </c>
      <c r="Z362" s="11" t="s">
        <v>1983</v>
      </c>
      <c r="AA362" s="11" t="s">
        <v>1983</v>
      </c>
      <c r="AB362" s="11" t="s">
        <v>1983</v>
      </c>
      <c r="AC362" s="11" t="s">
        <v>1983</v>
      </c>
      <c r="AD362" s="11"/>
    </row>
    <row r="363" spans="20:30" ht="15" customHeight="1">
      <c r="T363" s="11" t="s">
        <v>1983</v>
      </c>
      <c r="U363" s="11" t="s">
        <v>1983</v>
      </c>
      <c r="V363" s="11" t="s">
        <v>2398</v>
      </c>
      <c r="W363" s="11" t="s">
        <v>1983</v>
      </c>
      <c r="X363" s="11" t="s">
        <v>1983</v>
      </c>
      <c r="Y363" s="67" t="s">
        <v>1983</v>
      </c>
      <c r="Z363" s="11" t="s">
        <v>1983</v>
      </c>
      <c r="AA363" s="11" t="s">
        <v>1983</v>
      </c>
      <c r="AB363" s="11" t="s">
        <v>1983</v>
      </c>
      <c r="AC363" s="11" t="s">
        <v>1983</v>
      </c>
      <c r="AD363" s="11"/>
    </row>
    <row r="364" spans="20:30" ht="15" customHeight="1">
      <c r="T364" s="11" t="s">
        <v>1983</v>
      </c>
      <c r="U364" s="11" t="s">
        <v>1983</v>
      </c>
      <c r="V364" s="11" t="s">
        <v>2399</v>
      </c>
      <c r="W364" s="11" t="s">
        <v>1983</v>
      </c>
      <c r="X364" s="11" t="s">
        <v>1983</v>
      </c>
      <c r="Y364" s="67" t="s">
        <v>1983</v>
      </c>
      <c r="Z364" s="11" t="s">
        <v>1983</v>
      </c>
      <c r="AA364" s="11" t="s">
        <v>1983</v>
      </c>
      <c r="AB364" s="11" t="s">
        <v>1983</v>
      </c>
      <c r="AC364" s="11" t="s">
        <v>1983</v>
      </c>
      <c r="AD364" s="11"/>
    </row>
    <row r="365" spans="20:30" ht="15" customHeight="1">
      <c r="T365" s="11" t="s">
        <v>1983</v>
      </c>
      <c r="U365" s="11" t="s">
        <v>1983</v>
      </c>
      <c r="V365" s="11" t="s">
        <v>2400</v>
      </c>
      <c r="W365" s="11" t="s">
        <v>1983</v>
      </c>
      <c r="X365" s="11" t="s">
        <v>1983</v>
      </c>
      <c r="Y365" s="67" t="s">
        <v>1983</v>
      </c>
      <c r="Z365" s="11" t="s">
        <v>1983</v>
      </c>
      <c r="AA365" s="11" t="s">
        <v>1983</v>
      </c>
      <c r="AB365" s="11" t="s">
        <v>1983</v>
      </c>
      <c r="AC365" s="11" t="s">
        <v>1983</v>
      </c>
      <c r="AD365" s="11"/>
    </row>
    <row r="366" spans="20:30" ht="15" customHeight="1">
      <c r="T366" s="11" t="s">
        <v>1983</v>
      </c>
      <c r="U366" s="11" t="s">
        <v>1983</v>
      </c>
      <c r="V366" s="11" t="s">
        <v>2401</v>
      </c>
      <c r="W366" s="11" t="s">
        <v>1983</v>
      </c>
      <c r="X366" s="11" t="s">
        <v>1983</v>
      </c>
      <c r="Y366" s="67" t="s">
        <v>1983</v>
      </c>
      <c r="Z366" s="11" t="s">
        <v>1983</v>
      </c>
      <c r="AA366" s="11" t="s">
        <v>1983</v>
      </c>
      <c r="AB366" s="11" t="s">
        <v>1983</v>
      </c>
      <c r="AC366" s="11" t="s">
        <v>1983</v>
      </c>
      <c r="AD366" s="11"/>
    </row>
    <row r="367" spans="20:30" ht="15" customHeight="1">
      <c r="T367" s="11" t="s">
        <v>1983</v>
      </c>
      <c r="U367" s="11" t="s">
        <v>1983</v>
      </c>
      <c r="V367" s="11" t="s">
        <v>2402</v>
      </c>
      <c r="W367" s="11" t="s">
        <v>1983</v>
      </c>
      <c r="X367" s="11" t="s">
        <v>1983</v>
      </c>
      <c r="Y367" s="67" t="s">
        <v>1983</v>
      </c>
      <c r="Z367" s="11" t="s">
        <v>1983</v>
      </c>
      <c r="AA367" s="11" t="s">
        <v>1983</v>
      </c>
      <c r="AB367" s="11" t="s">
        <v>1983</v>
      </c>
      <c r="AC367" s="11" t="s">
        <v>1983</v>
      </c>
      <c r="AD367" s="11"/>
    </row>
    <row r="368" spans="20:30" ht="15" customHeight="1">
      <c r="T368" s="11" t="s">
        <v>1983</v>
      </c>
      <c r="U368" s="11" t="s">
        <v>1983</v>
      </c>
      <c r="V368" s="11" t="s">
        <v>2403</v>
      </c>
      <c r="W368" s="11" t="s">
        <v>1983</v>
      </c>
      <c r="X368" s="11" t="s">
        <v>1983</v>
      </c>
      <c r="Y368" s="67" t="s">
        <v>1983</v>
      </c>
      <c r="Z368" s="11" t="s">
        <v>1983</v>
      </c>
      <c r="AA368" s="11" t="s">
        <v>1983</v>
      </c>
      <c r="AB368" s="11" t="s">
        <v>1983</v>
      </c>
      <c r="AC368" s="11" t="s">
        <v>1983</v>
      </c>
      <c r="AD368" s="11"/>
    </row>
    <row r="369" spans="20:30" ht="15" customHeight="1">
      <c r="T369" s="11" t="s">
        <v>1983</v>
      </c>
      <c r="U369" s="11" t="s">
        <v>1983</v>
      </c>
      <c r="V369" s="11" t="s">
        <v>2404</v>
      </c>
      <c r="W369" s="11" t="s">
        <v>1983</v>
      </c>
      <c r="X369" s="11" t="s">
        <v>1983</v>
      </c>
      <c r="Y369" s="67" t="s">
        <v>1983</v>
      </c>
      <c r="Z369" s="11" t="s">
        <v>1983</v>
      </c>
      <c r="AA369" s="11" t="s">
        <v>1983</v>
      </c>
      <c r="AB369" s="11" t="s">
        <v>1983</v>
      </c>
      <c r="AC369" s="11" t="s">
        <v>1983</v>
      </c>
      <c r="AD369" s="11"/>
    </row>
    <row r="370" spans="20:30" ht="15" customHeight="1">
      <c r="T370" s="11" t="s">
        <v>1983</v>
      </c>
      <c r="U370" s="11" t="s">
        <v>1983</v>
      </c>
      <c r="V370" s="11" t="s">
        <v>2405</v>
      </c>
      <c r="W370" s="11" t="s">
        <v>1983</v>
      </c>
      <c r="X370" s="11" t="s">
        <v>1983</v>
      </c>
      <c r="Y370" s="67" t="s">
        <v>1983</v>
      </c>
      <c r="Z370" s="11" t="s">
        <v>1983</v>
      </c>
      <c r="AA370" s="11" t="s">
        <v>1983</v>
      </c>
      <c r="AB370" s="11" t="s">
        <v>1983</v>
      </c>
      <c r="AC370" s="11" t="s">
        <v>1983</v>
      </c>
      <c r="AD370" s="11"/>
    </row>
    <row r="371" spans="20:30" ht="15" customHeight="1">
      <c r="T371" s="11" t="s">
        <v>1983</v>
      </c>
      <c r="U371" s="11" t="s">
        <v>1983</v>
      </c>
      <c r="V371" s="11" t="s">
        <v>2406</v>
      </c>
      <c r="W371" s="11" t="s">
        <v>1983</v>
      </c>
      <c r="X371" s="11" t="s">
        <v>1983</v>
      </c>
      <c r="Y371" s="67" t="s">
        <v>1983</v>
      </c>
      <c r="Z371" s="11" t="s">
        <v>1983</v>
      </c>
      <c r="AA371" s="11" t="s">
        <v>1983</v>
      </c>
      <c r="AB371" s="11" t="s">
        <v>1983</v>
      </c>
      <c r="AC371" s="11" t="s">
        <v>1983</v>
      </c>
      <c r="AD371" s="11"/>
    </row>
    <row r="372" spans="20:30" ht="15" customHeight="1">
      <c r="T372" s="11" t="s">
        <v>1983</v>
      </c>
      <c r="U372" s="11">
        <v>0.6</v>
      </c>
      <c r="V372" s="11" t="s">
        <v>2407</v>
      </c>
      <c r="W372" s="11">
        <v>1000</v>
      </c>
      <c r="X372" s="11">
        <v>55</v>
      </c>
      <c r="Y372" s="67">
        <v>55</v>
      </c>
      <c r="Z372" s="11">
        <v>9</v>
      </c>
      <c r="AA372" s="11" t="s">
        <v>1983</v>
      </c>
      <c r="AB372" s="11" t="s">
        <v>1983</v>
      </c>
      <c r="AC372" s="11">
        <v>10</v>
      </c>
      <c r="AD372" s="11"/>
    </row>
    <row r="373" spans="20:30" ht="15" customHeight="1">
      <c r="T373" s="11" t="s">
        <v>1983</v>
      </c>
      <c r="U373" s="11" t="s">
        <v>1983</v>
      </c>
      <c r="V373" s="11" t="s">
        <v>2408</v>
      </c>
      <c r="W373" s="11" t="s">
        <v>1983</v>
      </c>
      <c r="X373" s="11" t="s">
        <v>1983</v>
      </c>
      <c r="Y373" s="67" t="s">
        <v>1983</v>
      </c>
      <c r="Z373" s="11" t="s">
        <v>1983</v>
      </c>
      <c r="AA373" s="11" t="s">
        <v>1983</v>
      </c>
      <c r="AB373" s="11" t="s">
        <v>1983</v>
      </c>
      <c r="AC373" s="11" t="s">
        <v>1983</v>
      </c>
      <c r="AD373" s="11"/>
    </row>
    <row r="374" spans="20:30" ht="15" customHeight="1">
      <c r="T374" s="11" t="s">
        <v>1983</v>
      </c>
      <c r="U374" s="11" t="s">
        <v>1983</v>
      </c>
      <c r="V374" s="11" t="s">
        <v>2409</v>
      </c>
      <c r="W374" s="11" t="s">
        <v>1983</v>
      </c>
      <c r="X374" s="11" t="s">
        <v>1983</v>
      </c>
      <c r="Y374" s="67" t="s">
        <v>1983</v>
      </c>
      <c r="Z374" s="11" t="s">
        <v>1983</v>
      </c>
      <c r="AA374" s="11" t="s">
        <v>1983</v>
      </c>
      <c r="AB374" s="11" t="s">
        <v>1983</v>
      </c>
      <c r="AC374" s="11" t="s">
        <v>1983</v>
      </c>
      <c r="AD374" s="11"/>
    </row>
    <row r="375" spans="20:30" ht="15" customHeight="1">
      <c r="T375" s="11" t="s">
        <v>1983</v>
      </c>
      <c r="U375" s="11" t="s">
        <v>1983</v>
      </c>
      <c r="V375" s="11" t="s">
        <v>2410</v>
      </c>
      <c r="W375" s="11" t="s">
        <v>1983</v>
      </c>
      <c r="X375" s="11" t="s">
        <v>1983</v>
      </c>
      <c r="Y375" s="67" t="s">
        <v>1983</v>
      </c>
      <c r="Z375" s="11" t="s">
        <v>1983</v>
      </c>
      <c r="AA375" s="11" t="s">
        <v>1983</v>
      </c>
      <c r="AB375" s="11" t="s">
        <v>1983</v>
      </c>
      <c r="AC375" s="11" t="s">
        <v>1983</v>
      </c>
      <c r="AD375" s="11"/>
    </row>
    <row r="376" spans="20:30" ht="15" customHeight="1">
      <c r="T376" s="11" t="s">
        <v>1983</v>
      </c>
      <c r="U376" s="11" t="s">
        <v>1983</v>
      </c>
      <c r="V376" s="11" t="s">
        <v>2411</v>
      </c>
      <c r="W376" s="11" t="s">
        <v>1983</v>
      </c>
      <c r="X376" s="11" t="s">
        <v>1983</v>
      </c>
      <c r="Y376" s="67" t="s">
        <v>1983</v>
      </c>
      <c r="Z376" s="11" t="s">
        <v>1983</v>
      </c>
      <c r="AA376" s="11" t="s">
        <v>1983</v>
      </c>
      <c r="AB376" s="11" t="s">
        <v>1983</v>
      </c>
      <c r="AC376" s="11" t="s">
        <v>1983</v>
      </c>
      <c r="AD376" s="11"/>
    </row>
    <row r="377" spans="20:30" ht="15" customHeight="1">
      <c r="T377" s="11" t="s">
        <v>1983</v>
      </c>
      <c r="U377" s="11" t="s">
        <v>1983</v>
      </c>
      <c r="V377" s="11" t="s">
        <v>2412</v>
      </c>
      <c r="W377" s="11" t="s">
        <v>1983</v>
      </c>
      <c r="X377" s="11" t="s">
        <v>1983</v>
      </c>
      <c r="Y377" s="67" t="s">
        <v>1983</v>
      </c>
      <c r="Z377" s="11" t="s">
        <v>1983</v>
      </c>
      <c r="AA377" s="11" t="s">
        <v>1983</v>
      </c>
      <c r="AB377" s="11" t="s">
        <v>1983</v>
      </c>
      <c r="AC377" s="11" t="s">
        <v>1983</v>
      </c>
      <c r="AD377" s="11"/>
    </row>
    <row r="378" spans="20:30" ht="15" customHeight="1">
      <c r="T378" s="11" t="s">
        <v>1983</v>
      </c>
      <c r="U378" s="11" t="s">
        <v>1983</v>
      </c>
      <c r="V378" s="11" t="s">
        <v>2413</v>
      </c>
      <c r="W378" s="11" t="s">
        <v>1983</v>
      </c>
      <c r="X378" s="11" t="s">
        <v>1983</v>
      </c>
      <c r="Y378" s="67" t="s">
        <v>1983</v>
      </c>
      <c r="Z378" s="11" t="s">
        <v>1983</v>
      </c>
      <c r="AA378" s="11" t="s">
        <v>1983</v>
      </c>
      <c r="AB378" s="11" t="s">
        <v>1983</v>
      </c>
      <c r="AC378" s="11" t="s">
        <v>1983</v>
      </c>
      <c r="AD378" s="11"/>
    </row>
    <row r="379" spans="20:30" ht="15" customHeight="1">
      <c r="T379" s="11" t="s">
        <v>1983</v>
      </c>
      <c r="U379" s="11" t="s">
        <v>1983</v>
      </c>
      <c r="V379" s="11" t="s">
        <v>2414</v>
      </c>
      <c r="W379" s="11" t="s">
        <v>1983</v>
      </c>
      <c r="X379" s="11" t="s">
        <v>1983</v>
      </c>
      <c r="Y379" s="67" t="s">
        <v>1983</v>
      </c>
      <c r="Z379" s="11" t="s">
        <v>1983</v>
      </c>
      <c r="AA379" s="11" t="s">
        <v>1983</v>
      </c>
      <c r="AB379" s="11" t="s">
        <v>1983</v>
      </c>
      <c r="AC379" s="11" t="s">
        <v>1983</v>
      </c>
      <c r="AD379" s="11"/>
    </row>
    <row r="380" spans="20:30" ht="15" customHeight="1">
      <c r="T380" s="11" t="s">
        <v>1983</v>
      </c>
      <c r="U380" s="11" t="s">
        <v>1983</v>
      </c>
      <c r="V380" s="11" t="s">
        <v>2415</v>
      </c>
      <c r="W380" s="11" t="s">
        <v>1983</v>
      </c>
      <c r="X380" s="11" t="s">
        <v>1983</v>
      </c>
      <c r="Y380" s="67" t="s">
        <v>1983</v>
      </c>
      <c r="Z380" s="11" t="s">
        <v>1983</v>
      </c>
      <c r="AA380" s="11" t="s">
        <v>1983</v>
      </c>
      <c r="AB380" s="11" t="s">
        <v>1983</v>
      </c>
      <c r="AC380" s="11" t="s">
        <v>1983</v>
      </c>
      <c r="AD380" s="11"/>
    </row>
    <row r="381" spans="20:30" ht="15" customHeight="1">
      <c r="T381" s="11" t="s">
        <v>1983</v>
      </c>
      <c r="U381" s="11" t="s">
        <v>1983</v>
      </c>
      <c r="V381" s="11" t="s">
        <v>2416</v>
      </c>
      <c r="W381" s="11" t="s">
        <v>1983</v>
      </c>
      <c r="X381" s="11" t="s">
        <v>1983</v>
      </c>
      <c r="Y381" s="67" t="s">
        <v>1983</v>
      </c>
      <c r="Z381" s="11" t="s">
        <v>1983</v>
      </c>
      <c r="AA381" s="11" t="s">
        <v>1983</v>
      </c>
      <c r="AB381" s="11" t="s">
        <v>1983</v>
      </c>
      <c r="AC381" s="11" t="s">
        <v>1983</v>
      </c>
      <c r="AD381" s="11"/>
    </row>
    <row r="382" spans="20:30" ht="15" customHeight="1">
      <c r="T382" s="11" t="s">
        <v>1983</v>
      </c>
      <c r="U382" s="11" t="s">
        <v>1983</v>
      </c>
      <c r="V382" s="11" t="s">
        <v>2417</v>
      </c>
      <c r="W382" s="11" t="s">
        <v>1983</v>
      </c>
      <c r="X382" s="11" t="s">
        <v>1983</v>
      </c>
      <c r="Y382" s="67" t="s">
        <v>1983</v>
      </c>
      <c r="Z382" s="11" t="s">
        <v>1983</v>
      </c>
      <c r="AA382" s="11" t="s">
        <v>1983</v>
      </c>
      <c r="AB382" s="11" t="s">
        <v>1983</v>
      </c>
      <c r="AC382" s="11" t="s">
        <v>1983</v>
      </c>
      <c r="AD382" s="11"/>
    </row>
    <row r="383" spans="20:30" ht="15" customHeight="1">
      <c r="T383" s="11" t="s">
        <v>1983</v>
      </c>
      <c r="U383" s="11" t="s">
        <v>1983</v>
      </c>
      <c r="V383" s="11" t="s">
        <v>2418</v>
      </c>
      <c r="W383" s="11" t="s">
        <v>1983</v>
      </c>
      <c r="X383" s="11" t="s">
        <v>1983</v>
      </c>
      <c r="Y383" s="67" t="s">
        <v>1983</v>
      </c>
      <c r="Z383" s="11" t="s">
        <v>1983</v>
      </c>
      <c r="AA383" s="11" t="s">
        <v>1983</v>
      </c>
      <c r="AB383" s="11" t="s">
        <v>1983</v>
      </c>
      <c r="AC383" s="11" t="s">
        <v>1983</v>
      </c>
      <c r="AD383" s="11"/>
    </row>
    <row r="384" spans="20:30" ht="15" customHeight="1">
      <c r="T384" s="11" t="s">
        <v>1983</v>
      </c>
      <c r="U384" s="11">
        <v>15</v>
      </c>
      <c r="V384" s="11" t="s">
        <v>2419</v>
      </c>
      <c r="W384" s="11" t="s">
        <v>1983</v>
      </c>
      <c r="X384" s="11" t="s">
        <v>1983</v>
      </c>
      <c r="Y384" s="67" t="s">
        <v>1983</v>
      </c>
      <c r="Z384" s="11" t="s">
        <v>1983</v>
      </c>
      <c r="AA384" s="11" t="s">
        <v>1983</v>
      </c>
      <c r="AB384" s="11" t="s">
        <v>1983</v>
      </c>
      <c r="AC384" s="11" t="s">
        <v>1983</v>
      </c>
      <c r="AD384" s="11"/>
    </row>
    <row r="385" spans="20:30" ht="15" customHeight="1">
      <c r="T385" s="11" t="s">
        <v>1983</v>
      </c>
      <c r="U385" s="11">
        <v>15</v>
      </c>
      <c r="V385" s="11" t="s">
        <v>2420</v>
      </c>
      <c r="W385" s="11">
        <v>3000</v>
      </c>
      <c r="X385" s="11">
        <v>105</v>
      </c>
      <c r="Y385" s="67">
        <v>100</v>
      </c>
      <c r="Z385" s="11">
        <v>9</v>
      </c>
      <c r="AA385" s="11" t="s">
        <v>1983</v>
      </c>
      <c r="AB385" s="11" t="s">
        <v>1983</v>
      </c>
      <c r="AC385" s="11">
        <v>18</v>
      </c>
      <c r="AD385" s="11"/>
    </row>
    <row r="386" spans="20:30" ht="15" customHeight="1">
      <c r="T386" s="11" t="s">
        <v>1983</v>
      </c>
      <c r="U386" s="11" t="s">
        <v>1983</v>
      </c>
      <c r="V386" s="11" t="s">
        <v>2421</v>
      </c>
      <c r="W386" s="11" t="s">
        <v>1983</v>
      </c>
      <c r="X386" s="11" t="s">
        <v>1983</v>
      </c>
      <c r="Y386" s="67" t="s">
        <v>1983</v>
      </c>
      <c r="Z386" s="11" t="s">
        <v>1983</v>
      </c>
      <c r="AA386" s="11" t="s">
        <v>1983</v>
      </c>
      <c r="AB386" s="11" t="s">
        <v>1983</v>
      </c>
      <c r="AC386" s="11" t="s">
        <v>1983</v>
      </c>
      <c r="AD386" s="11"/>
    </row>
    <row r="387" spans="20:30" ht="15" customHeight="1">
      <c r="T387" s="11" t="s">
        <v>1983</v>
      </c>
      <c r="U387" s="11" t="s">
        <v>1983</v>
      </c>
      <c r="V387" s="11" t="s">
        <v>2422</v>
      </c>
      <c r="W387" s="11" t="s">
        <v>1983</v>
      </c>
      <c r="X387" s="11" t="s">
        <v>1983</v>
      </c>
      <c r="Y387" s="67" t="s">
        <v>1983</v>
      </c>
      <c r="Z387" s="11" t="s">
        <v>1983</v>
      </c>
      <c r="AA387" s="11" t="s">
        <v>1983</v>
      </c>
      <c r="AB387" s="11" t="s">
        <v>1983</v>
      </c>
      <c r="AC387" s="11" t="s">
        <v>1983</v>
      </c>
      <c r="AD387" s="11"/>
    </row>
    <row r="388" spans="20:30" ht="15" customHeight="1">
      <c r="T388" s="11" t="s">
        <v>1983</v>
      </c>
      <c r="U388" s="11" t="s">
        <v>1983</v>
      </c>
      <c r="V388" s="11" t="s">
        <v>2423</v>
      </c>
      <c r="W388" s="11" t="s">
        <v>1983</v>
      </c>
      <c r="X388" s="11" t="s">
        <v>1983</v>
      </c>
      <c r="Y388" s="67" t="s">
        <v>1983</v>
      </c>
      <c r="Z388" s="11" t="s">
        <v>1983</v>
      </c>
      <c r="AA388" s="11" t="s">
        <v>1983</v>
      </c>
      <c r="AB388" s="11" t="s">
        <v>1983</v>
      </c>
      <c r="AC388" s="11" t="s">
        <v>1983</v>
      </c>
      <c r="AD388" s="11"/>
    </row>
    <row r="389" spans="20:30" ht="15" customHeight="1">
      <c r="T389" s="11" t="s">
        <v>1983</v>
      </c>
      <c r="U389" s="11" t="s">
        <v>1983</v>
      </c>
      <c r="V389" s="11" t="s">
        <v>2424</v>
      </c>
      <c r="W389" s="11" t="s">
        <v>1983</v>
      </c>
      <c r="X389" s="11" t="s">
        <v>1983</v>
      </c>
      <c r="Y389" s="67" t="s">
        <v>1983</v>
      </c>
      <c r="Z389" s="11" t="s">
        <v>1983</v>
      </c>
      <c r="AA389" s="11" t="s">
        <v>1983</v>
      </c>
      <c r="AB389" s="11" t="s">
        <v>1983</v>
      </c>
      <c r="AC389" s="11" t="s">
        <v>1983</v>
      </c>
      <c r="AD389" s="11"/>
    </row>
    <row r="390" spans="20:30" ht="15" customHeight="1">
      <c r="T390" s="11" t="s">
        <v>1983</v>
      </c>
      <c r="U390" s="11" t="s">
        <v>1983</v>
      </c>
      <c r="V390" s="11" t="s">
        <v>2425</v>
      </c>
      <c r="W390" s="11" t="s">
        <v>1983</v>
      </c>
      <c r="X390" s="11" t="s">
        <v>1983</v>
      </c>
      <c r="Y390" s="67" t="s">
        <v>1983</v>
      </c>
      <c r="Z390" s="11" t="s">
        <v>1983</v>
      </c>
      <c r="AA390" s="11" t="s">
        <v>1983</v>
      </c>
      <c r="AB390" s="11" t="s">
        <v>1983</v>
      </c>
      <c r="AC390" s="11" t="s">
        <v>1983</v>
      </c>
      <c r="AD390" s="11"/>
    </row>
    <row r="391" spans="20:30" ht="15" customHeight="1">
      <c r="T391" s="11" t="s">
        <v>1983</v>
      </c>
      <c r="U391" s="11">
        <v>15</v>
      </c>
      <c r="V391" s="11" t="s">
        <v>2426</v>
      </c>
      <c r="W391" s="11">
        <v>11000</v>
      </c>
      <c r="X391" s="11">
        <v>45</v>
      </c>
      <c r="Y391" s="67" t="s">
        <v>1983</v>
      </c>
      <c r="Z391" s="11">
        <v>9</v>
      </c>
      <c r="AA391" s="11" t="s">
        <v>1983</v>
      </c>
      <c r="AB391" s="11" t="s">
        <v>1983</v>
      </c>
      <c r="AC391" s="11">
        <v>18</v>
      </c>
      <c r="AD391" s="11"/>
    </row>
    <row r="392" spans="20:30" ht="15" customHeight="1">
      <c r="T392" s="11" t="s">
        <v>1983</v>
      </c>
      <c r="U392" s="11" t="s">
        <v>1983</v>
      </c>
      <c r="V392" s="11" t="s">
        <v>2427</v>
      </c>
      <c r="W392" s="11" t="s">
        <v>1983</v>
      </c>
      <c r="X392" s="11" t="s">
        <v>1983</v>
      </c>
      <c r="Y392" s="67" t="s">
        <v>1983</v>
      </c>
      <c r="Z392" s="11" t="s">
        <v>1983</v>
      </c>
      <c r="AA392" s="11" t="s">
        <v>1983</v>
      </c>
      <c r="AB392" s="11" t="s">
        <v>1983</v>
      </c>
      <c r="AC392" s="11" t="s">
        <v>1983</v>
      </c>
      <c r="AD392" s="11"/>
    </row>
    <row r="393" spans="20:30" ht="15" customHeight="1">
      <c r="T393" s="11" t="s">
        <v>1983</v>
      </c>
      <c r="U393" s="11" t="s">
        <v>1983</v>
      </c>
      <c r="V393" s="11" t="s">
        <v>2428</v>
      </c>
      <c r="W393" s="11" t="s">
        <v>1983</v>
      </c>
      <c r="X393" s="11" t="s">
        <v>1983</v>
      </c>
      <c r="Y393" s="67" t="s">
        <v>1983</v>
      </c>
      <c r="Z393" s="11" t="s">
        <v>1983</v>
      </c>
      <c r="AA393" s="11" t="s">
        <v>1983</v>
      </c>
      <c r="AB393" s="11" t="s">
        <v>1983</v>
      </c>
      <c r="AC393" s="11" t="s">
        <v>1983</v>
      </c>
      <c r="AD393" s="11"/>
    </row>
    <row r="394" spans="20:30" ht="15" customHeight="1">
      <c r="T394" s="11" t="s">
        <v>1983</v>
      </c>
      <c r="U394" s="11">
        <v>25</v>
      </c>
      <c r="V394" s="11" t="s">
        <v>2429</v>
      </c>
      <c r="W394" s="11">
        <v>255</v>
      </c>
      <c r="X394" s="11">
        <v>255</v>
      </c>
      <c r="Y394" s="67">
        <v>250</v>
      </c>
      <c r="Z394" s="11">
        <v>15</v>
      </c>
      <c r="AA394" s="11">
        <v>3</v>
      </c>
      <c r="AB394" s="11">
        <v>2.5</v>
      </c>
      <c r="AC394" s="11">
        <v>30</v>
      </c>
      <c r="AD394" s="11" t="s">
        <v>2105</v>
      </c>
    </row>
    <row r="395" spans="20:30" ht="15" customHeight="1">
      <c r="T395" s="11" t="s">
        <v>1983</v>
      </c>
      <c r="U395" s="11">
        <v>25</v>
      </c>
      <c r="V395" s="11" t="s">
        <v>2430</v>
      </c>
      <c r="W395" s="11">
        <v>240</v>
      </c>
      <c r="X395" s="11">
        <v>240</v>
      </c>
      <c r="Y395" s="67">
        <v>235</v>
      </c>
      <c r="Z395" s="11">
        <v>15</v>
      </c>
      <c r="AA395" s="11">
        <v>3</v>
      </c>
      <c r="AB395" s="11">
        <v>2.5</v>
      </c>
      <c r="AC395" s="11">
        <v>25</v>
      </c>
      <c r="AD395" s="11" t="s">
        <v>2105</v>
      </c>
    </row>
    <row r="396" spans="20:30" ht="15" customHeight="1">
      <c r="T396" s="11" t="s">
        <v>1983</v>
      </c>
      <c r="U396" s="11">
        <v>20</v>
      </c>
      <c r="V396" s="11" t="s">
        <v>2431</v>
      </c>
      <c r="W396" s="11">
        <v>195</v>
      </c>
      <c r="X396" s="11">
        <v>195</v>
      </c>
      <c r="Y396" s="67">
        <v>190</v>
      </c>
      <c r="Z396" s="11">
        <v>13</v>
      </c>
      <c r="AA396" s="11">
        <v>3</v>
      </c>
      <c r="AB396" s="11">
        <v>2.5</v>
      </c>
      <c r="AC396" s="11">
        <v>25</v>
      </c>
      <c r="AD396" s="11" t="s">
        <v>2105</v>
      </c>
    </row>
    <row r="397" spans="20:30" ht="15" customHeight="1">
      <c r="T397" s="11" t="s">
        <v>1983</v>
      </c>
      <c r="U397" s="11">
        <v>25</v>
      </c>
      <c r="V397" s="11" t="s">
        <v>2432</v>
      </c>
      <c r="W397" s="11">
        <v>240</v>
      </c>
      <c r="X397" s="11">
        <v>240</v>
      </c>
      <c r="Y397" s="67">
        <v>235</v>
      </c>
      <c r="Z397" s="11">
        <v>15</v>
      </c>
      <c r="AA397" s="11">
        <v>3</v>
      </c>
      <c r="AB397" s="11">
        <v>2.5</v>
      </c>
      <c r="AC397" s="11">
        <v>25</v>
      </c>
      <c r="AD397" s="11" t="s">
        <v>2105</v>
      </c>
    </row>
    <row r="398" spans="20:30" ht="15" customHeight="1">
      <c r="T398" s="11" t="s">
        <v>1983</v>
      </c>
      <c r="U398" s="11">
        <v>25</v>
      </c>
      <c r="V398" s="11" t="s">
        <v>2433</v>
      </c>
      <c r="W398" s="11">
        <v>240</v>
      </c>
      <c r="X398" s="11">
        <v>240</v>
      </c>
      <c r="Y398" s="67">
        <v>235</v>
      </c>
      <c r="Z398" s="11">
        <v>15</v>
      </c>
      <c r="AA398" s="11">
        <v>3</v>
      </c>
      <c r="AB398" s="11">
        <v>2.5</v>
      </c>
      <c r="AC398" s="11">
        <v>25</v>
      </c>
      <c r="AD398" s="11" t="s">
        <v>2105</v>
      </c>
    </row>
    <row r="399" spans="20:30" ht="15" customHeight="1">
      <c r="T399" s="11" t="s">
        <v>1983</v>
      </c>
      <c r="U399" s="11">
        <v>20</v>
      </c>
      <c r="V399" s="11" t="s">
        <v>2434</v>
      </c>
      <c r="W399" s="11">
        <v>195</v>
      </c>
      <c r="X399" s="11">
        <v>195</v>
      </c>
      <c r="Y399" s="67">
        <v>190</v>
      </c>
      <c r="Z399" s="11">
        <v>13</v>
      </c>
      <c r="AA399" s="11">
        <v>3</v>
      </c>
      <c r="AB399" s="11">
        <v>2.5</v>
      </c>
      <c r="AC399" s="11">
        <v>25</v>
      </c>
      <c r="AD399" s="11" t="s">
        <v>2105</v>
      </c>
    </row>
    <row r="400" spans="20:30" ht="15" customHeight="1">
      <c r="T400" s="11" t="s">
        <v>1983</v>
      </c>
      <c r="U400" s="11">
        <v>25</v>
      </c>
      <c r="V400" s="11" t="s">
        <v>2435</v>
      </c>
      <c r="W400" s="11">
        <v>240</v>
      </c>
      <c r="X400" s="11">
        <v>240</v>
      </c>
      <c r="Y400" s="67">
        <v>235</v>
      </c>
      <c r="Z400" s="11">
        <v>15</v>
      </c>
      <c r="AA400" s="11">
        <v>3</v>
      </c>
      <c r="AB400" s="11">
        <v>2.5</v>
      </c>
      <c r="AC400" s="11">
        <v>25</v>
      </c>
      <c r="AD400" s="11" t="s">
        <v>2105</v>
      </c>
    </row>
    <row r="401" spans="20:30" ht="15" customHeight="1">
      <c r="T401" s="11" t="s">
        <v>1983</v>
      </c>
      <c r="U401" s="11">
        <v>25</v>
      </c>
      <c r="V401" s="11" t="s">
        <v>2436</v>
      </c>
      <c r="W401" s="11">
        <v>240</v>
      </c>
      <c r="X401" s="11">
        <v>240</v>
      </c>
      <c r="Y401" s="67">
        <v>235</v>
      </c>
      <c r="Z401" s="11">
        <v>15</v>
      </c>
      <c r="AA401" s="11">
        <v>3</v>
      </c>
      <c r="AB401" s="11">
        <v>2.5</v>
      </c>
      <c r="AC401" s="11">
        <v>25</v>
      </c>
      <c r="AD401" s="11" t="s">
        <v>2105</v>
      </c>
    </row>
    <row r="402" spans="20:30" ht="15" customHeight="1">
      <c r="T402" s="11" t="s">
        <v>1983</v>
      </c>
      <c r="U402" s="11">
        <v>20</v>
      </c>
      <c r="V402" s="11" t="s">
        <v>2437</v>
      </c>
      <c r="W402" s="11">
        <v>195</v>
      </c>
      <c r="X402" s="11">
        <v>195</v>
      </c>
      <c r="Y402" s="67">
        <v>190</v>
      </c>
      <c r="Z402" s="11">
        <v>13</v>
      </c>
      <c r="AA402" s="11">
        <v>3</v>
      </c>
      <c r="AB402" s="11">
        <v>2.5</v>
      </c>
      <c r="AC402" s="11">
        <v>25</v>
      </c>
      <c r="AD402" s="11" t="s">
        <v>2105</v>
      </c>
    </row>
    <row r="403" spans="20:30" ht="15" customHeight="1">
      <c r="T403" s="11" t="s">
        <v>1983</v>
      </c>
      <c r="U403" s="11">
        <v>25</v>
      </c>
      <c r="V403" s="11" t="s">
        <v>2438</v>
      </c>
      <c r="W403" s="11">
        <v>240</v>
      </c>
      <c r="X403" s="11">
        <v>240</v>
      </c>
      <c r="Y403" s="67">
        <v>235</v>
      </c>
      <c r="Z403" s="11">
        <v>13</v>
      </c>
      <c r="AA403" s="11">
        <v>3</v>
      </c>
      <c r="AB403" s="11">
        <v>2.5</v>
      </c>
      <c r="AC403" s="11">
        <v>25</v>
      </c>
      <c r="AD403" s="11" t="s">
        <v>2105</v>
      </c>
    </row>
    <row r="404" spans="20:30" ht="15" customHeight="1">
      <c r="T404" s="11" t="s">
        <v>1983</v>
      </c>
      <c r="U404" s="11">
        <v>25</v>
      </c>
      <c r="V404" s="11" t="s">
        <v>2439</v>
      </c>
      <c r="W404" s="11">
        <v>240</v>
      </c>
      <c r="X404" s="11">
        <v>240</v>
      </c>
      <c r="Y404" s="67">
        <v>235</v>
      </c>
      <c r="Z404" s="11">
        <v>15</v>
      </c>
      <c r="AA404" s="11">
        <v>3</v>
      </c>
      <c r="AB404" s="11">
        <v>2.5</v>
      </c>
      <c r="AC404" s="11">
        <v>25</v>
      </c>
      <c r="AD404" s="11" t="s">
        <v>2105</v>
      </c>
    </row>
    <row r="405" spans="20:30" ht="15" customHeight="1">
      <c r="T405" s="11" t="s">
        <v>1983</v>
      </c>
      <c r="U405" s="11">
        <v>20</v>
      </c>
      <c r="V405" s="11" t="s">
        <v>2440</v>
      </c>
      <c r="W405" s="11">
        <v>195</v>
      </c>
      <c r="X405" s="11">
        <v>195</v>
      </c>
      <c r="Y405" s="67">
        <v>190</v>
      </c>
      <c r="Z405" s="11">
        <v>13</v>
      </c>
      <c r="AA405" s="11">
        <v>3</v>
      </c>
      <c r="AB405" s="11">
        <v>2.5</v>
      </c>
      <c r="AC405" s="11">
        <v>25</v>
      </c>
      <c r="AD405" s="11" t="s">
        <v>2105</v>
      </c>
    </row>
    <row r="406" spans="20:30" ht="15" customHeight="1">
      <c r="T406" s="11" t="s">
        <v>1983</v>
      </c>
      <c r="U406" s="11">
        <v>25</v>
      </c>
      <c r="V406" s="11" t="s">
        <v>2441</v>
      </c>
      <c r="W406" s="11">
        <v>240</v>
      </c>
      <c r="X406" s="11">
        <v>240</v>
      </c>
      <c r="Y406" s="67">
        <v>235</v>
      </c>
      <c r="Z406" s="11">
        <v>15</v>
      </c>
      <c r="AA406" s="11">
        <v>3</v>
      </c>
      <c r="AB406" s="11">
        <v>2.5</v>
      </c>
      <c r="AC406" s="11">
        <v>25</v>
      </c>
      <c r="AD406" s="11" t="s">
        <v>2105</v>
      </c>
    </row>
    <row r="407" spans="20:30" ht="15" customHeight="1">
      <c r="T407" s="11" t="s">
        <v>1983</v>
      </c>
      <c r="U407" s="11">
        <v>25</v>
      </c>
      <c r="V407" s="11" t="s">
        <v>2442</v>
      </c>
      <c r="W407" s="11">
        <v>240</v>
      </c>
      <c r="X407" s="11">
        <v>240</v>
      </c>
      <c r="Y407" s="67">
        <v>235</v>
      </c>
      <c r="Z407" s="11">
        <v>15</v>
      </c>
      <c r="AA407" s="11">
        <v>3</v>
      </c>
      <c r="AB407" s="11">
        <v>2.5</v>
      </c>
      <c r="AC407" s="11">
        <v>25</v>
      </c>
      <c r="AD407" s="11" t="s">
        <v>2105</v>
      </c>
    </row>
    <row r="408" spans="20:30" ht="15" customHeight="1">
      <c r="T408" s="11" t="s">
        <v>1983</v>
      </c>
      <c r="U408" s="11">
        <v>20</v>
      </c>
      <c r="V408" s="11" t="s">
        <v>2443</v>
      </c>
      <c r="W408" s="11">
        <v>175</v>
      </c>
      <c r="X408" s="11">
        <v>175</v>
      </c>
      <c r="Y408" s="67">
        <v>170</v>
      </c>
      <c r="Z408" s="11">
        <v>13</v>
      </c>
      <c r="AA408" s="11">
        <v>3</v>
      </c>
      <c r="AB408" s="11">
        <v>2.5</v>
      </c>
      <c r="AC408" s="11">
        <v>20</v>
      </c>
      <c r="AD408" s="11" t="s">
        <v>2113</v>
      </c>
    </row>
    <row r="409" spans="20:30" ht="15" customHeight="1">
      <c r="T409" s="11" t="s">
        <v>1983</v>
      </c>
      <c r="U409" s="11">
        <v>15</v>
      </c>
      <c r="V409" s="11" t="s">
        <v>2444</v>
      </c>
      <c r="W409" s="11">
        <v>175</v>
      </c>
      <c r="X409" s="11">
        <v>175</v>
      </c>
      <c r="Y409" s="67">
        <v>170</v>
      </c>
      <c r="Z409" s="11">
        <v>13</v>
      </c>
      <c r="AA409" s="11">
        <v>3</v>
      </c>
      <c r="AB409" s="11">
        <v>2.5</v>
      </c>
      <c r="AC409" s="11">
        <v>20</v>
      </c>
      <c r="AD409" s="11" t="s">
        <v>2113</v>
      </c>
    </row>
    <row r="410" spans="20:30" ht="15" customHeight="1">
      <c r="T410" s="11" t="s">
        <v>1983</v>
      </c>
      <c r="U410" s="11">
        <v>0.6</v>
      </c>
      <c r="V410" s="11" t="s">
        <v>2445</v>
      </c>
      <c r="W410" s="11">
        <v>4000</v>
      </c>
      <c r="X410" s="11">
        <v>330</v>
      </c>
      <c r="Y410" s="67">
        <v>330</v>
      </c>
      <c r="Z410" s="11">
        <v>40</v>
      </c>
      <c r="AA410" s="11" t="s">
        <v>1777</v>
      </c>
      <c r="AB410" s="11" t="s">
        <v>1983</v>
      </c>
      <c r="AC410" s="11" t="s">
        <v>1983</v>
      </c>
      <c r="AD410" s="11"/>
    </row>
    <row r="411" spans="20:30" ht="15" customHeight="1">
      <c r="T411" s="11" t="s">
        <v>1983</v>
      </c>
      <c r="U411" s="11">
        <v>0.6</v>
      </c>
      <c r="V411" s="11" t="s">
        <v>2446</v>
      </c>
      <c r="W411" s="11" t="s">
        <v>1983</v>
      </c>
      <c r="X411" s="11" t="s">
        <v>1983</v>
      </c>
      <c r="Y411" s="67" t="s">
        <v>1983</v>
      </c>
      <c r="Z411" s="11" t="s">
        <v>1983</v>
      </c>
      <c r="AA411" s="11" t="s">
        <v>1777</v>
      </c>
      <c r="AB411" s="11" t="s">
        <v>1983</v>
      </c>
      <c r="AC411" s="11" t="s">
        <v>1983</v>
      </c>
      <c r="AD411" s="11"/>
    </row>
    <row r="412" spans="20:30" ht="15" customHeight="1">
      <c r="T412" s="11" t="s">
        <v>1983</v>
      </c>
      <c r="U412" s="11">
        <v>0.6</v>
      </c>
      <c r="V412" s="11" t="s">
        <v>2447</v>
      </c>
      <c r="W412" s="11">
        <v>12000</v>
      </c>
      <c r="X412" s="11">
        <v>650</v>
      </c>
      <c r="Y412" s="67">
        <v>650</v>
      </c>
      <c r="Z412" s="11">
        <v>40</v>
      </c>
      <c r="AA412" s="11" t="s">
        <v>1777</v>
      </c>
      <c r="AB412" s="11" t="s">
        <v>1983</v>
      </c>
      <c r="AC412" s="11" t="s">
        <v>1983</v>
      </c>
      <c r="AD412" s="11"/>
    </row>
    <row r="413" spans="20:30" ht="15" customHeight="1">
      <c r="T413" s="11" t="s">
        <v>1983</v>
      </c>
      <c r="U413" s="11">
        <v>0.6</v>
      </c>
      <c r="V413" s="11" t="s">
        <v>2448</v>
      </c>
      <c r="W413" s="11" t="s">
        <v>1983</v>
      </c>
      <c r="X413" s="11" t="s">
        <v>1983</v>
      </c>
      <c r="Y413" s="67" t="s">
        <v>1983</v>
      </c>
      <c r="Z413" s="11" t="s">
        <v>1983</v>
      </c>
      <c r="AA413" s="11" t="s">
        <v>1777</v>
      </c>
      <c r="AB413" s="11" t="s">
        <v>1983</v>
      </c>
      <c r="AC413" s="11" t="s">
        <v>1983</v>
      </c>
      <c r="AD413" s="11"/>
    </row>
    <row r="414" spans="20:30" ht="15" customHeight="1">
      <c r="T414" s="11" t="s">
        <v>1983</v>
      </c>
      <c r="U414" s="11">
        <v>0.6</v>
      </c>
      <c r="V414" s="11" t="s">
        <v>2449</v>
      </c>
      <c r="W414" s="11" t="s">
        <v>1983</v>
      </c>
      <c r="X414" s="11" t="s">
        <v>1983</v>
      </c>
      <c r="Y414" s="67" t="s">
        <v>1983</v>
      </c>
      <c r="Z414" s="11" t="s">
        <v>1983</v>
      </c>
      <c r="AA414" s="11" t="s">
        <v>1777</v>
      </c>
      <c r="AB414" s="11" t="s">
        <v>1983</v>
      </c>
      <c r="AC414" s="11" t="s">
        <v>1983</v>
      </c>
      <c r="AD414" s="11"/>
    </row>
    <row r="415" spans="20:30" ht="15" customHeight="1">
      <c r="T415" s="11" t="s">
        <v>1983</v>
      </c>
      <c r="U415" s="11" t="s">
        <v>1983</v>
      </c>
      <c r="V415" s="11" t="s">
        <v>2450</v>
      </c>
      <c r="W415" s="11" t="s">
        <v>1983</v>
      </c>
      <c r="X415" s="11" t="s">
        <v>1983</v>
      </c>
      <c r="Y415" s="67" t="s">
        <v>1983</v>
      </c>
      <c r="Z415" s="11" t="s">
        <v>1983</v>
      </c>
      <c r="AA415" s="11" t="s">
        <v>1983</v>
      </c>
      <c r="AB415" s="11" t="s">
        <v>1983</v>
      </c>
      <c r="AC415" s="11" t="s">
        <v>1983</v>
      </c>
      <c r="AD415" s="11"/>
    </row>
    <row r="416" spans="20:30" ht="15" customHeight="1">
      <c r="T416" s="11" t="s">
        <v>1983</v>
      </c>
      <c r="U416" s="11">
        <v>0.9</v>
      </c>
      <c r="V416" s="11" t="s">
        <v>2451</v>
      </c>
      <c r="W416" s="11">
        <v>6000</v>
      </c>
      <c r="X416" s="11">
        <v>400</v>
      </c>
      <c r="Y416" s="67">
        <v>400</v>
      </c>
      <c r="Z416" s="11">
        <v>50</v>
      </c>
      <c r="AA416" s="11" t="s">
        <v>1983</v>
      </c>
      <c r="AB416" s="11" t="s">
        <v>1983</v>
      </c>
      <c r="AC416" s="11" t="s">
        <v>1983</v>
      </c>
      <c r="AD416" s="11"/>
    </row>
    <row r="417" spans="20:30" ht="15" customHeight="1">
      <c r="T417" s="11" t="s">
        <v>1983</v>
      </c>
      <c r="U417" s="11">
        <v>0.9</v>
      </c>
      <c r="V417" s="11" t="s">
        <v>2452</v>
      </c>
      <c r="W417" s="11">
        <v>7000</v>
      </c>
      <c r="X417" s="11">
        <v>490</v>
      </c>
      <c r="Y417" s="67">
        <v>490</v>
      </c>
      <c r="Z417" s="11">
        <v>50</v>
      </c>
      <c r="AA417" s="11" t="s">
        <v>1983</v>
      </c>
      <c r="AB417" s="11" t="s">
        <v>1983</v>
      </c>
      <c r="AC417" s="11" t="s">
        <v>1983</v>
      </c>
      <c r="AD417" s="11"/>
    </row>
    <row r="418" spans="20:30" ht="15" customHeight="1">
      <c r="T418" s="11" t="s">
        <v>1983</v>
      </c>
      <c r="U418" s="11">
        <v>0.9</v>
      </c>
      <c r="V418" s="11" t="s">
        <v>2453</v>
      </c>
      <c r="W418" s="11">
        <v>5000</v>
      </c>
      <c r="X418" s="11">
        <v>360</v>
      </c>
      <c r="Y418" s="67">
        <v>360</v>
      </c>
      <c r="Z418" s="11">
        <v>50</v>
      </c>
      <c r="AA418" s="11" t="s">
        <v>1983</v>
      </c>
      <c r="AB418" s="11" t="s">
        <v>1983</v>
      </c>
      <c r="AC418" s="11" t="s">
        <v>1983</v>
      </c>
      <c r="AD418" s="11"/>
    </row>
    <row r="419" spans="20:30" ht="15" customHeight="1">
      <c r="T419" s="11" t="s">
        <v>1983</v>
      </c>
      <c r="U419" s="11">
        <v>0.9</v>
      </c>
      <c r="V419" s="11" t="s">
        <v>2454</v>
      </c>
      <c r="W419" s="11">
        <v>4000</v>
      </c>
      <c r="X419" s="11">
        <v>310</v>
      </c>
      <c r="Y419" s="67">
        <v>310</v>
      </c>
      <c r="Z419" s="11">
        <v>40</v>
      </c>
      <c r="AA419" s="11" t="s">
        <v>1983</v>
      </c>
      <c r="AB419" s="11" t="s">
        <v>1983</v>
      </c>
      <c r="AC419" s="11" t="s">
        <v>1983</v>
      </c>
      <c r="AD419" s="11"/>
    </row>
    <row r="420" spans="20:30" ht="15" customHeight="1">
      <c r="T420" s="11" t="s">
        <v>1983</v>
      </c>
      <c r="U420" s="11">
        <v>0.9</v>
      </c>
      <c r="V420" s="11" t="s">
        <v>2455</v>
      </c>
      <c r="W420" s="11">
        <v>4000</v>
      </c>
      <c r="X420" s="11">
        <v>280</v>
      </c>
      <c r="Y420" s="67">
        <v>280</v>
      </c>
      <c r="Z420" s="11">
        <v>50</v>
      </c>
      <c r="AA420" s="11" t="s">
        <v>1983</v>
      </c>
      <c r="AB420" s="11" t="s">
        <v>1983</v>
      </c>
      <c r="AC420" s="11" t="s">
        <v>1983</v>
      </c>
      <c r="AD420" s="11"/>
    </row>
    <row r="421" spans="20:30" ht="15" customHeight="1">
      <c r="T421" s="11" t="s">
        <v>1983</v>
      </c>
      <c r="U421" s="11">
        <v>0.6</v>
      </c>
      <c r="V421" s="11" t="s">
        <v>2456</v>
      </c>
      <c r="W421" s="11" t="s">
        <v>1983</v>
      </c>
      <c r="X421" s="11" t="s">
        <v>1983</v>
      </c>
      <c r="Y421" s="67" t="s">
        <v>1983</v>
      </c>
      <c r="Z421" s="11" t="s">
        <v>1983</v>
      </c>
      <c r="AA421" s="11" t="s">
        <v>1983</v>
      </c>
      <c r="AB421" s="11" t="s">
        <v>1983</v>
      </c>
      <c r="AC421" s="11" t="s">
        <v>1983</v>
      </c>
      <c r="AD421" s="11"/>
    </row>
    <row r="422" spans="20:30" ht="15" customHeight="1">
      <c r="T422" s="11" t="s">
        <v>1983</v>
      </c>
      <c r="U422" s="11">
        <v>0.6</v>
      </c>
      <c r="V422" s="11" t="s">
        <v>2457</v>
      </c>
      <c r="W422" s="11" t="s">
        <v>1983</v>
      </c>
      <c r="X422" s="11" t="s">
        <v>1983</v>
      </c>
      <c r="Y422" s="67" t="s">
        <v>1983</v>
      </c>
      <c r="Z422" s="11" t="s">
        <v>1983</v>
      </c>
      <c r="AA422" s="11" t="s">
        <v>1983</v>
      </c>
      <c r="AB422" s="11" t="s">
        <v>1983</v>
      </c>
      <c r="AC422" s="11" t="s">
        <v>1983</v>
      </c>
      <c r="AD422" s="11"/>
    </row>
    <row r="423" spans="20:30" ht="15" customHeight="1">
      <c r="T423" s="11" t="s">
        <v>1983</v>
      </c>
      <c r="U423" s="11">
        <v>0.6</v>
      </c>
      <c r="V423" s="11" t="s">
        <v>2458</v>
      </c>
      <c r="W423" s="11" t="s">
        <v>1983</v>
      </c>
      <c r="X423" s="11" t="s">
        <v>1983</v>
      </c>
      <c r="Y423" s="67" t="s">
        <v>1983</v>
      </c>
      <c r="Z423" s="11" t="s">
        <v>1983</v>
      </c>
      <c r="AA423" s="11" t="s">
        <v>1983</v>
      </c>
      <c r="AB423" s="11" t="s">
        <v>1983</v>
      </c>
      <c r="AC423" s="11" t="s">
        <v>1983</v>
      </c>
      <c r="AD423" s="11"/>
    </row>
    <row r="424" spans="20:30" ht="15" customHeight="1">
      <c r="T424" s="11" t="s">
        <v>1983</v>
      </c>
      <c r="U424" s="11">
        <v>0.6</v>
      </c>
      <c r="V424" s="11" t="s">
        <v>2459</v>
      </c>
      <c r="W424" s="11" t="s">
        <v>1983</v>
      </c>
      <c r="X424" s="11" t="s">
        <v>1983</v>
      </c>
      <c r="Y424" s="67" t="s">
        <v>1983</v>
      </c>
      <c r="Z424" s="11" t="s">
        <v>1983</v>
      </c>
      <c r="AA424" s="11" t="s">
        <v>1983</v>
      </c>
      <c r="AB424" s="11" t="s">
        <v>1983</v>
      </c>
      <c r="AC424" s="11" t="s">
        <v>1983</v>
      </c>
      <c r="AD424" s="11"/>
    </row>
    <row r="425" spans="20:30" ht="15" customHeight="1">
      <c r="T425" s="11" t="s">
        <v>1983</v>
      </c>
      <c r="U425" s="11">
        <v>0.6</v>
      </c>
      <c r="V425" s="11" t="s">
        <v>2460</v>
      </c>
      <c r="W425" s="11" t="s">
        <v>1983</v>
      </c>
      <c r="X425" s="11" t="s">
        <v>1983</v>
      </c>
      <c r="Y425" s="67" t="s">
        <v>1983</v>
      </c>
      <c r="Z425" s="11" t="s">
        <v>1983</v>
      </c>
      <c r="AA425" s="11" t="s">
        <v>1983</v>
      </c>
      <c r="AB425" s="11" t="s">
        <v>1983</v>
      </c>
      <c r="AC425" s="11" t="s">
        <v>1983</v>
      </c>
      <c r="AD425" s="11"/>
    </row>
    <row r="426" spans="20:30" ht="15" customHeight="1">
      <c r="T426" s="11" t="s">
        <v>1983</v>
      </c>
      <c r="U426" s="11">
        <v>0.6</v>
      </c>
      <c r="V426" s="11" t="s">
        <v>2461</v>
      </c>
      <c r="W426" s="11" t="s">
        <v>1983</v>
      </c>
      <c r="X426" s="11" t="s">
        <v>1983</v>
      </c>
      <c r="Y426" s="67" t="s">
        <v>1983</v>
      </c>
      <c r="Z426" s="11" t="s">
        <v>1983</v>
      </c>
      <c r="AA426" s="11" t="s">
        <v>1983</v>
      </c>
      <c r="AB426" s="11" t="s">
        <v>1983</v>
      </c>
      <c r="AC426" s="11" t="s">
        <v>1983</v>
      </c>
      <c r="AD426" s="11"/>
    </row>
    <row r="427" spans="20:30" ht="15" customHeight="1">
      <c r="T427" s="11" t="s">
        <v>1983</v>
      </c>
      <c r="U427" s="11">
        <v>0.6</v>
      </c>
      <c r="V427" s="11" t="s">
        <v>2462</v>
      </c>
      <c r="W427" s="11" t="s">
        <v>1983</v>
      </c>
      <c r="X427" s="11" t="s">
        <v>1983</v>
      </c>
      <c r="Y427" s="67" t="s">
        <v>1983</v>
      </c>
      <c r="Z427" s="11" t="s">
        <v>1983</v>
      </c>
      <c r="AA427" s="11" t="s">
        <v>1983</v>
      </c>
      <c r="AB427" s="11" t="s">
        <v>1983</v>
      </c>
      <c r="AC427" s="11" t="s">
        <v>1983</v>
      </c>
      <c r="AD427" s="11"/>
    </row>
    <row r="428" spans="20:30" ht="15" customHeight="1">
      <c r="T428" s="11" t="s">
        <v>1983</v>
      </c>
      <c r="U428" s="11">
        <v>0.6</v>
      </c>
      <c r="V428" s="11" t="s">
        <v>2463</v>
      </c>
      <c r="W428" s="11" t="s">
        <v>1983</v>
      </c>
      <c r="X428" s="11" t="s">
        <v>1983</v>
      </c>
      <c r="Y428" s="67" t="s">
        <v>1983</v>
      </c>
      <c r="Z428" s="11" t="s">
        <v>1983</v>
      </c>
      <c r="AA428" s="11" t="s">
        <v>1983</v>
      </c>
      <c r="AB428" s="11" t="s">
        <v>1983</v>
      </c>
      <c r="AC428" s="11" t="s">
        <v>1983</v>
      </c>
      <c r="AD428" s="11"/>
    </row>
    <row r="429" spans="20:30" ht="15" customHeight="1">
      <c r="T429" s="11" t="s">
        <v>1983</v>
      </c>
      <c r="U429" s="11">
        <v>0.6</v>
      </c>
      <c r="V429" s="11" t="s">
        <v>2464</v>
      </c>
      <c r="W429" s="11">
        <v>2500</v>
      </c>
      <c r="X429" s="11">
        <v>180</v>
      </c>
      <c r="Y429" s="67">
        <v>180</v>
      </c>
      <c r="Z429" s="11">
        <v>20</v>
      </c>
      <c r="AA429" s="11" t="s">
        <v>1983</v>
      </c>
      <c r="AB429" s="11" t="s">
        <v>1983</v>
      </c>
      <c r="AC429" s="11" t="s">
        <v>1983</v>
      </c>
      <c r="AD429" s="11"/>
    </row>
    <row r="430" spans="20:30" ht="15" customHeight="1">
      <c r="T430" s="11" t="s">
        <v>1983</v>
      </c>
      <c r="U430" s="11"/>
      <c r="V430" s="11" t="s">
        <v>2465</v>
      </c>
      <c r="W430" s="11"/>
      <c r="X430" s="11"/>
      <c r="Y430" s="67"/>
      <c r="Z430" s="11"/>
      <c r="AA430" s="11" t="s">
        <v>1983</v>
      </c>
      <c r="AB430" s="11" t="s">
        <v>1983</v>
      </c>
      <c r="AC430" s="11" t="s">
        <v>1983</v>
      </c>
      <c r="AD430" s="11"/>
    </row>
    <row r="431" spans="20:30" ht="15" customHeight="1">
      <c r="T431" s="11" t="s">
        <v>1983</v>
      </c>
      <c r="U431" s="11"/>
      <c r="V431" s="11" t="s">
        <v>2466</v>
      </c>
      <c r="W431" s="11"/>
      <c r="X431" s="11"/>
      <c r="Y431" s="67"/>
      <c r="Z431" s="11"/>
      <c r="AA431" s="11" t="s">
        <v>1983</v>
      </c>
      <c r="AB431" s="11" t="s">
        <v>1983</v>
      </c>
      <c r="AC431" s="11" t="s">
        <v>1983</v>
      </c>
      <c r="AD431" s="11"/>
    </row>
    <row r="432" spans="20:30" ht="15" customHeight="1">
      <c r="T432" s="11" t="s">
        <v>1983</v>
      </c>
      <c r="U432" s="11"/>
      <c r="V432" s="11" t="s">
        <v>2467</v>
      </c>
      <c r="W432" s="11"/>
      <c r="X432" s="11"/>
      <c r="Y432" s="67"/>
      <c r="Z432" s="11"/>
      <c r="AA432" s="11" t="s">
        <v>1983</v>
      </c>
      <c r="AB432" s="11" t="s">
        <v>1983</v>
      </c>
      <c r="AC432" s="11" t="s">
        <v>1983</v>
      </c>
      <c r="AD432" s="11"/>
    </row>
    <row r="433" spans="20:30" ht="15" customHeight="1">
      <c r="T433" s="11" t="s">
        <v>1983</v>
      </c>
      <c r="U433" s="11"/>
      <c r="V433" s="11" t="s">
        <v>2468</v>
      </c>
      <c r="W433" s="11"/>
      <c r="X433" s="11"/>
      <c r="Y433" s="67"/>
      <c r="Z433" s="11"/>
      <c r="AA433" s="11" t="s">
        <v>1983</v>
      </c>
      <c r="AB433" s="11" t="s">
        <v>1983</v>
      </c>
      <c r="AC433" s="11" t="s">
        <v>1983</v>
      </c>
      <c r="AD433" s="11"/>
    </row>
    <row r="434" spans="20:30" ht="15" customHeight="1">
      <c r="T434" s="11" t="s">
        <v>1983</v>
      </c>
      <c r="U434" s="11"/>
      <c r="V434" s="11" t="s">
        <v>2469</v>
      </c>
      <c r="W434" s="11"/>
      <c r="X434" s="11"/>
      <c r="Y434" s="67"/>
      <c r="Z434" s="11"/>
      <c r="AA434" s="11" t="s">
        <v>1983</v>
      </c>
      <c r="AB434" s="11" t="s">
        <v>1983</v>
      </c>
      <c r="AC434" s="11" t="s">
        <v>1983</v>
      </c>
      <c r="AD434" s="11"/>
    </row>
    <row r="435" spans="20:30" ht="15" customHeight="1">
      <c r="T435" s="11" t="s">
        <v>1983</v>
      </c>
      <c r="U435" s="11"/>
      <c r="V435" s="11" t="s">
        <v>2470</v>
      </c>
      <c r="W435" s="11"/>
      <c r="X435" s="11"/>
      <c r="Y435" s="67"/>
      <c r="Z435" s="11"/>
      <c r="AA435" s="11" t="s">
        <v>1983</v>
      </c>
      <c r="AB435" s="11" t="s">
        <v>1983</v>
      </c>
      <c r="AC435" s="11" t="s">
        <v>1983</v>
      </c>
      <c r="AD435" s="11"/>
    </row>
    <row r="436" spans="20:30" ht="15" customHeight="1">
      <c r="T436" s="11" t="s">
        <v>1983</v>
      </c>
      <c r="U436" s="11">
        <v>0.9</v>
      </c>
      <c r="V436" s="11" t="s">
        <v>2471</v>
      </c>
      <c r="W436" s="11">
        <v>320</v>
      </c>
      <c r="X436" s="11">
        <v>310</v>
      </c>
      <c r="Y436" s="67">
        <v>3000</v>
      </c>
      <c r="Z436" s="11">
        <v>60</v>
      </c>
      <c r="AA436" s="11" t="s">
        <v>1983</v>
      </c>
      <c r="AB436" s="11" t="s">
        <v>1983</v>
      </c>
      <c r="AC436" s="11" t="s">
        <v>1983</v>
      </c>
      <c r="AD436" s="11"/>
    </row>
    <row r="437" spans="20:30" ht="15" customHeight="1">
      <c r="T437" s="11" t="s">
        <v>1983</v>
      </c>
      <c r="U437" s="11"/>
      <c r="V437" s="11" t="s">
        <v>2472</v>
      </c>
      <c r="W437" s="11"/>
      <c r="X437" s="11"/>
      <c r="Y437" s="67"/>
      <c r="Z437" s="11"/>
      <c r="AA437" s="11" t="s">
        <v>1983</v>
      </c>
      <c r="AB437" s="11" t="s">
        <v>1983</v>
      </c>
      <c r="AC437" s="11" t="s">
        <v>1983</v>
      </c>
      <c r="AD437" s="11"/>
    </row>
    <row r="438" spans="20:30" ht="15" customHeight="1">
      <c r="T438" s="11" t="s">
        <v>1983</v>
      </c>
      <c r="U438" s="11"/>
      <c r="V438" s="11" t="s">
        <v>2473</v>
      </c>
      <c r="W438" s="11"/>
      <c r="X438" s="11"/>
      <c r="Y438" s="67"/>
      <c r="Z438" s="11"/>
      <c r="AA438" s="11" t="s">
        <v>1983</v>
      </c>
      <c r="AB438" s="11" t="s">
        <v>1983</v>
      </c>
      <c r="AC438" s="11" t="s">
        <v>1983</v>
      </c>
      <c r="AD438" s="11"/>
    </row>
    <row r="439" spans="20:30" ht="15" customHeight="1">
      <c r="T439" s="11" t="s">
        <v>1983</v>
      </c>
      <c r="U439" s="11"/>
      <c r="V439" s="11" t="s">
        <v>2474</v>
      </c>
      <c r="W439" s="11"/>
      <c r="X439" s="11"/>
      <c r="Y439" s="67"/>
      <c r="Z439" s="11"/>
      <c r="AA439" s="11" t="s">
        <v>1983</v>
      </c>
      <c r="AB439" s="11" t="s">
        <v>1983</v>
      </c>
      <c r="AC439" s="11" t="s">
        <v>1983</v>
      </c>
      <c r="AD439" s="11"/>
    </row>
    <row r="440" spans="20:30" ht="15" customHeight="1">
      <c r="T440" s="11" t="s">
        <v>1983</v>
      </c>
      <c r="U440" s="11"/>
      <c r="V440" s="11" t="s">
        <v>2475</v>
      </c>
      <c r="W440" s="11"/>
      <c r="X440" s="11"/>
      <c r="Y440" s="67"/>
      <c r="Z440" s="11"/>
      <c r="AA440" s="11" t="s">
        <v>1983</v>
      </c>
      <c r="AB440" s="11" t="s">
        <v>1983</v>
      </c>
      <c r="AC440" s="11" t="s">
        <v>1983</v>
      </c>
      <c r="AD440" s="11"/>
    </row>
    <row r="441" spans="20:30" ht="15" customHeight="1">
      <c r="T441" s="11" t="s">
        <v>1983</v>
      </c>
      <c r="U441" s="11"/>
      <c r="V441" s="11" t="s">
        <v>2476</v>
      </c>
      <c r="W441" s="11"/>
      <c r="X441" s="11"/>
      <c r="Y441" s="67"/>
      <c r="Z441" s="11"/>
      <c r="AA441" s="11" t="s">
        <v>1983</v>
      </c>
      <c r="AB441" s="11" t="s">
        <v>1983</v>
      </c>
      <c r="AC441" s="11" t="s">
        <v>1983</v>
      </c>
      <c r="AD441" s="11"/>
    </row>
    <row r="442" spans="20:30" ht="15" customHeight="1">
      <c r="T442" s="11" t="s">
        <v>1983</v>
      </c>
      <c r="U442" s="11"/>
      <c r="V442" s="11" t="s">
        <v>2477</v>
      </c>
      <c r="W442" s="11"/>
      <c r="X442" s="11"/>
      <c r="Y442" s="67"/>
      <c r="Z442" s="11"/>
      <c r="AA442" s="11" t="s">
        <v>1983</v>
      </c>
      <c r="AB442" s="11" t="s">
        <v>1983</v>
      </c>
      <c r="AC442" s="11" t="s">
        <v>1983</v>
      </c>
      <c r="AD442" s="11"/>
    </row>
    <row r="443" spans="20:30" ht="15" customHeight="1">
      <c r="T443" s="11" t="s">
        <v>1983</v>
      </c>
      <c r="U443" s="11"/>
      <c r="V443" s="11" t="s">
        <v>2478</v>
      </c>
      <c r="W443" s="11"/>
      <c r="X443" s="11"/>
      <c r="Y443" s="67"/>
      <c r="Z443" s="11"/>
      <c r="AA443" s="11" t="s">
        <v>1983</v>
      </c>
      <c r="AB443" s="11" t="s">
        <v>1983</v>
      </c>
      <c r="AC443" s="11" t="s">
        <v>1983</v>
      </c>
      <c r="AD443" s="11"/>
    </row>
    <row r="444" spans="20:30" ht="15" customHeight="1">
      <c r="T444" s="11" t="s">
        <v>1983</v>
      </c>
      <c r="U444" s="11"/>
      <c r="V444" s="11" t="s">
        <v>2479</v>
      </c>
      <c r="W444" s="11"/>
      <c r="X444" s="11"/>
      <c r="Y444" s="67"/>
      <c r="Z444" s="11"/>
      <c r="AA444" s="11" t="s">
        <v>1983</v>
      </c>
      <c r="AB444" s="11" t="s">
        <v>1983</v>
      </c>
      <c r="AC444" s="11" t="s">
        <v>1983</v>
      </c>
      <c r="AD444" s="11"/>
    </row>
    <row r="445" spans="20:30" ht="15" customHeight="1">
      <c r="T445" s="11" t="s">
        <v>1983</v>
      </c>
      <c r="U445" s="11"/>
      <c r="V445" s="11" t="s">
        <v>2480</v>
      </c>
      <c r="W445" s="11"/>
      <c r="X445" s="11"/>
      <c r="Y445" s="67"/>
      <c r="Z445" s="11"/>
      <c r="AA445" s="11" t="s">
        <v>1983</v>
      </c>
      <c r="AB445" s="11" t="s">
        <v>1983</v>
      </c>
      <c r="AC445" s="11" t="s">
        <v>1983</v>
      </c>
      <c r="AD445" s="11"/>
    </row>
    <row r="446" spans="20:30" ht="15" customHeight="1">
      <c r="T446" s="11" t="s">
        <v>1983</v>
      </c>
      <c r="U446" s="11"/>
      <c r="V446" s="11" t="s">
        <v>2481</v>
      </c>
      <c r="W446" s="11"/>
      <c r="X446" s="11"/>
      <c r="Y446" s="67"/>
      <c r="Z446" s="11"/>
      <c r="AA446" s="11" t="s">
        <v>1983</v>
      </c>
      <c r="AB446" s="11" t="s">
        <v>1983</v>
      </c>
      <c r="AC446" s="11" t="s">
        <v>1983</v>
      </c>
      <c r="AD446" s="11"/>
    </row>
    <row r="447" spans="20:30" ht="15" customHeight="1">
      <c r="T447" s="11">
        <v>10</v>
      </c>
      <c r="U447" s="11">
        <v>15</v>
      </c>
      <c r="V447" s="11" t="s">
        <v>2482</v>
      </c>
      <c r="W447" s="11">
        <v>140</v>
      </c>
      <c r="X447" s="11">
        <v>140</v>
      </c>
      <c r="Y447" s="67">
        <v>135</v>
      </c>
      <c r="Z447" s="11">
        <v>10</v>
      </c>
      <c r="AA447" s="11">
        <v>3</v>
      </c>
      <c r="AB447" s="11">
        <v>2.5</v>
      </c>
      <c r="AC447" s="11">
        <v>20</v>
      </c>
      <c r="AD447" s="11" t="s">
        <v>2113</v>
      </c>
    </row>
    <row r="448" spans="20:30" ht="15" customHeight="1">
      <c r="T448" s="11" t="s">
        <v>1983</v>
      </c>
      <c r="U448" s="11"/>
      <c r="V448" s="11" t="s">
        <v>2483</v>
      </c>
      <c r="W448" s="11"/>
      <c r="X448" s="11"/>
      <c r="Y448" s="67"/>
      <c r="Z448" s="11"/>
      <c r="AA448" s="11"/>
      <c r="AB448" s="11"/>
      <c r="AC448" s="11"/>
      <c r="AD448" s="11" t="s">
        <v>2113</v>
      </c>
    </row>
    <row r="449" spans="20:30" ht="15" customHeight="1">
      <c r="T449" s="11">
        <v>10</v>
      </c>
      <c r="U449" s="11">
        <v>15</v>
      </c>
      <c r="V449" s="11" t="s">
        <v>2484</v>
      </c>
      <c r="W449" s="11">
        <v>140</v>
      </c>
      <c r="X449" s="11">
        <v>140</v>
      </c>
      <c r="Y449" s="67">
        <v>135</v>
      </c>
      <c r="Z449" s="11">
        <v>10</v>
      </c>
      <c r="AA449" s="11">
        <v>3</v>
      </c>
      <c r="AB449" s="11">
        <v>2.5</v>
      </c>
      <c r="AC449" s="11">
        <v>20</v>
      </c>
      <c r="AD449" s="11" t="s">
        <v>2113</v>
      </c>
    </row>
    <row r="450" spans="20:30" ht="15" customHeight="1">
      <c r="T450" s="11" t="s">
        <v>1983</v>
      </c>
      <c r="U450" s="11"/>
      <c r="V450" s="11" t="s">
        <v>2485</v>
      </c>
      <c r="W450" s="11"/>
      <c r="X450" s="11"/>
      <c r="Y450" s="67"/>
      <c r="Z450" s="11"/>
      <c r="AA450" s="11"/>
      <c r="AB450" s="11"/>
      <c r="AC450" s="11"/>
      <c r="AD450" s="11" t="s">
        <v>2113</v>
      </c>
    </row>
    <row r="451" spans="20:30" ht="15" customHeight="1">
      <c r="T451" s="11">
        <v>10</v>
      </c>
      <c r="U451" s="11">
        <v>15</v>
      </c>
      <c r="V451" s="11" t="s">
        <v>2486</v>
      </c>
      <c r="W451" s="11">
        <v>125</v>
      </c>
      <c r="X451" s="11">
        <v>125</v>
      </c>
      <c r="Y451" s="67">
        <v>120</v>
      </c>
      <c r="Z451" s="11">
        <v>10</v>
      </c>
      <c r="AA451" s="11">
        <v>2.5</v>
      </c>
      <c r="AB451" s="11">
        <v>2.5</v>
      </c>
      <c r="AC451" s="11">
        <v>20</v>
      </c>
      <c r="AD451" s="11" t="s">
        <v>2113</v>
      </c>
    </row>
    <row r="452" spans="20:30" ht="15" customHeight="1">
      <c r="T452" s="11">
        <v>10</v>
      </c>
      <c r="U452" s="11">
        <v>15</v>
      </c>
      <c r="V452" s="11" t="s">
        <v>2487</v>
      </c>
      <c r="W452" s="11">
        <v>135</v>
      </c>
      <c r="X452" s="11">
        <v>135</v>
      </c>
      <c r="Y452" s="67">
        <v>130</v>
      </c>
      <c r="Z452" s="11">
        <v>10</v>
      </c>
      <c r="AA452" s="11">
        <v>3</v>
      </c>
      <c r="AB452" s="11">
        <v>2.5</v>
      </c>
      <c r="AC452" s="11">
        <v>20</v>
      </c>
      <c r="AD452" s="11" t="s">
        <v>2113</v>
      </c>
    </row>
    <row r="453" spans="20:30" ht="15" customHeight="1">
      <c r="T453" s="11"/>
      <c r="U453" s="11"/>
      <c r="V453" s="11" t="s">
        <v>2488</v>
      </c>
      <c r="W453" s="11"/>
      <c r="X453" s="11"/>
      <c r="Y453" s="67"/>
      <c r="Z453" s="11"/>
      <c r="AA453" s="11"/>
      <c r="AB453" s="11"/>
      <c r="AC453" s="11"/>
      <c r="AD453" s="11" t="s">
        <v>2113</v>
      </c>
    </row>
    <row r="454" spans="20:30" ht="15" customHeight="1">
      <c r="T454" s="11"/>
      <c r="U454" s="11">
        <v>25</v>
      </c>
      <c r="V454" s="11" t="s">
        <v>2489</v>
      </c>
      <c r="W454" s="11">
        <v>245</v>
      </c>
      <c r="X454" s="11">
        <v>245</v>
      </c>
      <c r="Y454" s="67">
        <v>240</v>
      </c>
      <c r="Z454" s="11">
        <v>15</v>
      </c>
      <c r="AA454" s="11">
        <v>3.5</v>
      </c>
      <c r="AB454" s="11">
        <v>3.5</v>
      </c>
      <c r="AC454" s="11">
        <v>25</v>
      </c>
      <c r="AD454" s="11" t="s">
        <v>2113</v>
      </c>
    </row>
    <row r="455" spans="20:30" ht="15" customHeight="1">
      <c r="T455" s="11"/>
      <c r="U455" s="11"/>
      <c r="V455" s="11" t="s">
        <v>2490</v>
      </c>
      <c r="W455" s="11"/>
      <c r="X455" s="11"/>
      <c r="Y455" s="67"/>
      <c r="Z455" s="11"/>
      <c r="AA455" s="11"/>
      <c r="AB455" s="11"/>
      <c r="AC455" s="11" t="s">
        <v>1983</v>
      </c>
      <c r="AD455" s="11" t="s">
        <v>2113</v>
      </c>
    </row>
    <row r="456" spans="20:30" ht="15" customHeight="1">
      <c r="T456" s="11" t="s">
        <v>1983</v>
      </c>
      <c r="U456" s="11"/>
      <c r="V456" s="11" t="s">
        <v>2491</v>
      </c>
      <c r="W456" s="11"/>
      <c r="X456" s="11"/>
      <c r="Y456" s="67"/>
      <c r="Z456" s="11"/>
      <c r="AA456" s="11"/>
      <c r="AB456" s="11"/>
      <c r="AC456" s="11" t="s">
        <v>1983</v>
      </c>
      <c r="AD456" s="11"/>
    </row>
    <row r="457" spans="20:30" ht="15" customHeight="1">
      <c r="T457" s="11" t="s">
        <v>1983</v>
      </c>
      <c r="U457" s="11"/>
      <c r="V457" s="11" t="s">
        <v>2492</v>
      </c>
      <c r="W457" s="11"/>
      <c r="X457" s="11"/>
      <c r="Y457" s="67"/>
      <c r="Z457" s="11"/>
      <c r="AA457" s="11" t="s">
        <v>1983</v>
      </c>
      <c r="AB457" s="11" t="s">
        <v>1983</v>
      </c>
      <c r="AC457" s="11" t="s">
        <v>1983</v>
      </c>
      <c r="AD457" s="11"/>
    </row>
    <row r="458" spans="20:30" ht="15" customHeight="1">
      <c r="T458" s="11" t="s">
        <v>1983</v>
      </c>
      <c r="U458" s="11"/>
      <c r="V458" s="11" t="s">
        <v>2493</v>
      </c>
      <c r="W458" s="11"/>
      <c r="X458" s="11"/>
      <c r="Y458" s="67"/>
      <c r="Z458" s="11"/>
      <c r="AA458" s="11" t="s">
        <v>1983</v>
      </c>
      <c r="AB458" s="11" t="s">
        <v>1983</v>
      </c>
      <c r="AC458" s="11" t="s">
        <v>1983</v>
      </c>
      <c r="AD458" s="11"/>
    </row>
    <row r="459" spans="20:30" ht="15" customHeight="1">
      <c r="T459" s="11" t="s">
        <v>1983</v>
      </c>
      <c r="U459" s="11"/>
      <c r="V459" s="11" t="s">
        <v>2494</v>
      </c>
      <c r="W459" s="11"/>
      <c r="X459" s="11"/>
      <c r="Y459" s="67"/>
      <c r="Z459" s="11"/>
      <c r="AA459" s="11" t="s">
        <v>1983</v>
      </c>
      <c r="AB459" s="11" t="s">
        <v>1983</v>
      </c>
      <c r="AC459" s="11" t="s">
        <v>1983</v>
      </c>
      <c r="AD459" s="11"/>
    </row>
    <row r="460" spans="20:30" ht="15" customHeight="1">
      <c r="T460" s="11" t="s">
        <v>1983</v>
      </c>
      <c r="U460" s="11"/>
      <c r="V460" s="11" t="s">
        <v>2495</v>
      </c>
      <c r="W460" s="11"/>
      <c r="X460" s="11"/>
      <c r="Y460" s="67"/>
      <c r="Z460" s="11"/>
      <c r="AA460" s="11" t="s">
        <v>1983</v>
      </c>
      <c r="AB460" s="11" t="s">
        <v>1983</v>
      </c>
      <c r="AC460" s="11" t="s">
        <v>1983</v>
      </c>
      <c r="AD460" s="11"/>
    </row>
    <row r="461" spans="20:30" ht="15" customHeight="1">
      <c r="T461" s="11" t="s">
        <v>1983</v>
      </c>
      <c r="U461" s="11"/>
      <c r="V461" s="11" t="s">
        <v>2496</v>
      </c>
      <c r="W461" s="11"/>
      <c r="X461" s="11"/>
      <c r="Y461" s="67"/>
      <c r="Z461" s="11"/>
      <c r="AA461" s="11" t="s">
        <v>1983</v>
      </c>
      <c r="AB461" s="11" t="s">
        <v>1983</v>
      </c>
      <c r="AC461" s="11" t="s">
        <v>1983</v>
      </c>
      <c r="AD461" s="11"/>
    </row>
    <row r="462" spans="20:30" ht="15" customHeight="1">
      <c r="T462" s="11" t="s">
        <v>1983</v>
      </c>
      <c r="U462" s="11"/>
      <c r="V462" s="11" t="s">
        <v>2497</v>
      </c>
      <c r="W462" s="11"/>
      <c r="X462" s="11"/>
      <c r="Y462" s="67"/>
      <c r="Z462" s="11"/>
      <c r="AA462" s="11" t="s">
        <v>1983</v>
      </c>
      <c r="AB462" s="11" t="s">
        <v>1983</v>
      </c>
      <c r="AC462" s="11" t="s">
        <v>1983</v>
      </c>
      <c r="AD462" s="11"/>
    </row>
    <row r="463" spans="20:30" ht="15" customHeight="1">
      <c r="T463" s="11" t="s">
        <v>1983</v>
      </c>
      <c r="U463" s="11"/>
      <c r="V463" s="11" t="s">
        <v>2498</v>
      </c>
      <c r="W463" s="11"/>
      <c r="X463" s="11"/>
      <c r="Y463" s="67"/>
      <c r="Z463" s="11"/>
      <c r="AA463" s="11" t="s">
        <v>1983</v>
      </c>
      <c r="AB463" s="11" t="s">
        <v>1983</v>
      </c>
      <c r="AC463" s="11" t="s">
        <v>1983</v>
      </c>
      <c r="AD463" s="11"/>
    </row>
    <row r="464" spans="20:30" ht="15" customHeight="1">
      <c r="T464" s="11" t="s">
        <v>1983</v>
      </c>
      <c r="U464" s="11"/>
      <c r="V464" s="11" t="s">
        <v>2499</v>
      </c>
      <c r="W464" s="11"/>
      <c r="X464" s="11"/>
      <c r="Y464" s="67"/>
      <c r="Z464" s="11"/>
      <c r="AA464" s="11" t="s">
        <v>1983</v>
      </c>
      <c r="AB464" s="11" t="s">
        <v>1983</v>
      </c>
      <c r="AC464" s="11" t="s">
        <v>1983</v>
      </c>
      <c r="AD464" s="11"/>
    </row>
    <row r="465" spans="20:30" ht="15" customHeight="1">
      <c r="T465" s="11" t="s">
        <v>1983</v>
      </c>
      <c r="U465" s="11"/>
      <c r="V465" s="11" t="s">
        <v>2500</v>
      </c>
      <c r="W465" s="11"/>
      <c r="X465" s="11"/>
      <c r="Y465" s="67"/>
      <c r="Z465" s="11"/>
      <c r="AA465" s="11" t="s">
        <v>1983</v>
      </c>
      <c r="AB465" s="11" t="s">
        <v>1983</v>
      </c>
      <c r="AC465" s="11" t="s">
        <v>1983</v>
      </c>
      <c r="AD465" s="11"/>
    </row>
    <row r="466" spans="20:30" ht="15" customHeight="1">
      <c r="T466" s="11" t="s">
        <v>1983</v>
      </c>
      <c r="U466" s="11"/>
      <c r="V466" s="11" t="s">
        <v>2501</v>
      </c>
      <c r="W466" s="11"/>
      <c r="X466" s="11"/>
      <c r="Y466" s="67"/>
      <c r="Z466" s="11"/>
      <c r="AA466" s="11" t="s">
        <v>1983</v>
      </c>
      <c r="AB466" s="11" t="s">
        <v>1983</v>
      </c>
      <c r="AC466" s="11" t="s">
        <v>1983</v>
      </c>
      <c r="AD466" s="11"/>
    </row>
    <row r="467" spans="20:30" ht="15" customHeight="1">
      <c r="T467" s="11" t="s">
        <v>1983</v>
      </c>
      <c r="U467" s="11"/>
      <c r="V467" s="11" t="s">
        <v>2502</v>
      </c>
      <c r="W467" s="11"/>
      <c r="X467" s="11"/>
      <c r="Y467" s="67"/>
      <c r="Z467" s="11"/>
      <c r="AA467" s="11" t="s">
        <v>1983</v>
      </c>
      <c r="AB467" s="11" t="s">
        <v>1983</v>
      </c>
      <c r="AC467" s="11" t="s">
        <v>1983</v>
      </c>
      <c r="AD467" s="11"/>
    </row>
    <row r="468" spans="20:30" ht="15" customHeight="1">
      <c r="T468" s="11" t="s">
        <v>1983</v>
      </c>
      <c r="U468" s="11"/>
      <c r="V468" s="11" t="s">
        <v>2503</v>
      </c>
      <c r="W468" s="11"/>
      <c r="X468" s="11"/>
      <c r="Y468" s="67"/>
      <c r="Z468" s="11"/>
      <c r="AA468" s="11" t="s">
        <v>1983</v>
      </c>
      <c r="AB468" s="11" t="s">
        <v>1983</v>
      </c>
      <c r="AC468" s="11" t="s">
        <v>1983</v>
      </c>
      <c r="AD468" s="11"/>
    </row>
    <row r="469" spans="20:30" ht="15" customHeight="1">
      <c r="T469" s="11" t="s">
        <v>1983</v>
      </c>
      <c r="U469" s="11"/>
      <c r="V469" s="11" t="s">
        <v>2504</v>
      </c>
      <c r="W469" s="11"/>
      <c r="X469" s="11"/>
      <c r="Y469" s="67"/>
      <c r="Z469" s="11"/>
      <c r="AA469" s="11" t="s">
        <v>1983</v>
      </c>
      <c r="AB469" s="11" t="s">
        <v>1983</v>
      </c>
      <c r="AC469" s="11" t="s">
        <v>1983</v>
      </c>
      <c r="AD469" s="11"/>
    </row>
    <row r="470" spans="20:30" ht="15" customHeight="1">
      <c r="T470" s="11" t="s">
        <v>1983</v>
      </c>
      <c r="U470" s="11"/>
      <c r="V470" s="11" t="s">
        <v>2505</v>
      </c>
      <c r="W470" s="11"/>
      <c r="X470" s="11"/>
      <c r="Y470" s="67"/>
      <c r="Z470" s="11"/>
      <c r="AA470" s="11" t="s">
        <v>1983</v>
      </c>
      <c r="AB470" s="11" t="s">
        <v>1983</v>
      </c>
      <c r="AC470" s="11" t="s">
        <v>1983</v>
      </c>
      <c r="AD470" s="11"/>
    </row>
    <row r="471" spans="20:30" ht="15" customHeight="1">
      <c r="T471" s="11" t="s">
        <v>1983</v>
      </c>
      <c r="U471" s="11"/>
      <c r="V471" s="11" t="s">
        <v>2506</v>
      </c>
      <c r="W471" s="11"/>
      <c r="X471" s="11"/>
      <c r="Y471" s="67"/>
      <c r="Z471" s="11"/>
      <c r="AA471" s="11" t="s">
        <v>1983</v>
      </c>
      <c r="AB471" s="11" t="s">
        <v>1983</v>
      </c>
      <c r="AC471" s="11" t="s">
        <v>1983</v>
      </c>
      <c r="AD471" s="11"/>
    </row>
    <row r="472" spans="20:30" ht="15" customHeight="1">
      <c r="T472" s="11" t="s">
        <v>1983</v>
      </c>
      <c r="U472" s="11"/>
      <c r="V472" s="11" t="s">
        <v>2507</v>
      </c>
      <c r="W472" s="11"/>
      <c r="X472" s="11"/>
      <c r="Y472" s="67"/>
      <c r="Z472" s="11"/>
      <c r="AA472" s="11" t="s">
        <v>1983</v>
      </c>
      <c r="AB472" s="11" t="s">
        <v>1983</v>
      </c>
      <c r="AC472" s="11" t="s">
        <v>1983</v>
      </c>
      <c r="AD472" s="11"/>
    </row>
    <row r="473" spans="20:30" ht="15" customHeight="1">
      <c r="T473" s="11" t="s">
        <v>1983</v>
      </c>
      <c r="U473" s="11">
        <v>0.6</v>
      </c>
      <c r="V473" s="11" t="s">
        <v>2508</v>
      </c>
      <c r="W473" s="11">
        <v>10000</v>
      </c>
      <c r="X473" s="11">
        <v>650</v>
      </c>
      <c r="Y473" s="67">
        <v>650</v>
      </c>
      <c r="Z473" s="11">
        <v>80</v>
      </c>
      <c r="AA473" s="11" t="s">
        <v>1777</v>
      </c>
      <c r="AB473" s="11" t="s">
        <v>1983</v>
      </c>
      <c r="AC473" s="11" t="s">
        <v>1983</v>
      </c>
      <c r="AD473" s="11"/>
    </row>
    <row r="474" spans="20:30" ht="15" customHeight="1">
      <c r="T474" s="11" t="s">
        <v>1983</v>
      </c>
      <c r="U474" s="11">
        <v>0.6</v>
      </c>
      <c r="V474" s="11" t="s">
        <v>2509</v>
      </c>
      <c r="W474" s="11">
        <v>6000</v>
      </c>
      <c r="X474" s="11">
        <v>500</v>
      </c>
      <c r="Y474" s="67">
        <v>500</v>
      </c>
      <c r="Z474" s="11">
        <v>80</v>
      </c>
      <c r="AA474" s="11" t="s">
        <v>1777</v>
      </c>
      <c r="AB474" s="11" t="s">
        <v>1983</v>
      </c>
      <c r="AC474" s="11" t="s">
        <v>1983</v>
      </c>
      <c r="AD474" s="11"/>
    </row>
    <row r="475" spans="20:30" ht="15" customHeight="1">
      <c r="T475" s="11" t="s">
        <v>1983</v>
      </c>
      <c r="U475" s="11"/>
      <c r="V475" s="11" t="s">
        <v>2510</v>
      </c>
      <c r="W475" s="11"/>
      <c r="X475" s="11"/>
      <c r="Y475" s="67"/>
      <c r="Z475" s="11"/>
      <c r="AA475" s="11" t="s">
        <v>1983</v>
      </c>
      <c r="AB475" s="11" t="s">
        <v>1983</v>
      </c>
      <c r="AC475" s="11" t="s">
        <v>1983</v>
      </c>
      <c r="AD475" s="11"/>
    </row>
    <row r="476" spans="20:30" ht="15" customHeight="1">
      <c r="T476" s="11" t="s">
        <v>1983</v>
      </c>
      <c r="U476" s="11"/>
      <c r="V476" s="11" t="s">
        <v>2511</v>
      </c>
      <c r="W476" s="11"/>
      <c r="X476" s="11"/>
      <c r="Y476" s="67"/>
      <c r="Z476" s="11"/>
      <c r="AA476" s="11" t="s">
        <v>1983</v>
      </c>
      <c r="AB476" s="11" t="s">
        <v>1983</v>
      </c>
      <c r="AC476" s="11" t="s">
        <v>1983</v>
      </c>
      <c r="AD476" s="11"/>
    </row>
    <row r="477" spans="20:30" ht="15" customHeight="1">
      <c r="T477" s="11" t="s">
        <v>1983</v>
      </c>
      <c r="U477" s="11"/>
      <c r="V477" s="11" t="s">
        <v>2512</v>
      </c>
      <c r="W477" s="11"/>
      <c r="X477" s="11"/>
      <c r="Y477" s="67"/>
      <c r="Z477" s="11"/>
      <c r="AA477" s="11" t="s">
        <v>1983</v>
      </c>
      <c r="AB477" s="11" t="s">
        <v>1983</v>
      </c>
      <c r="AC477" s="11" t="s">
        <v>1983</v>
      </c>
      <c r="AD477" s="11"/>
    </row>
    <row r="478" spans="20:30" ht="15" customHeight="1">
      <c r="T478" s="11" t="s">
        <v>1983</v>
      </c>
      <c r="U478" s="11"/>
      <c r="V478" s="11" t="s">
        <v>2513</v>
      </c>
      <c r="W478" s="11"/>
      <c r="X478" s="11"/>
      <c r="Y478" s="67"/>
      <c r="Z478" s="11"/>
      <c r="AA478" s="11" t="s">
        <v>1983</v>
      </c>
      <c r="AB478" s="11" t="s">
        <v>1983</v>
      </c>
      <c r="AC478" s="11" t="s">
        <v>1983</v>
      </c>
      <c r="AD478" s="11"/>
    </row>
    <row r="479" spans="20:30" ht="15" customHeight="1">
      <c r="T479" s="11" t="s">
        <v>1983</v>
      </c>
      <c r="U479" s="11"/>
      <c r="V479" s="11" t="s">
        <v>2514</v>
      </c>
      <c r="W479" s="11"/>
      <c r="X479" s="11"/>
      <c r="Y479" s="67"/>
      <c r="Z479" s="11"/>
      <c r="AA479" s="11" t="s">
        <v>1983</v>
      </c>
      <c r="AB479" s="11" t="s">
        <v>1983</v>
      </c>
      <c r="AC479" s="11" t="s">
        <v>1983</v>
      </c>
      <c r="AD479" s="11"/>
    </row>
    <row r="480" spans="20:30" ht="15" customHeight="1">
      <c r="T480" s="11" t="s">
        <v>1983</v>
      </c>
      <c r="U480" s="11"/>
      <c r="V480" s="11" t="s">
        <v>2515</v>
      </c>
      <c r="W480" s="11"/>
      <c r="X480" s="11"/>
      <c r="Y480" s="67"/>
      <c r="Z480" s="11"/>
      <c r="AA480" s="11" t="s">
        <v>1983</v>
      </c>
      <c r="AB480" s="11" t="s">
        <v>1983</v>
      </c>
      <c r="AC480" s="11" t="s">
        <v>1983</v>
      </c>
      <c r="AD480" s="11"/>
    </row>
    <row r="481" spans="20:30" ht="15" customHeight="1">
      <c r="T481" s="11" t="s">
        <v>1983</v>
      </c>
      <c r="U481" s="11">
        <v>0.6</v>
      </c>
      <c r="V481" s="11" t="s">
        <v>2516</v>
      </c>
      <c r="W481" s="11">
        <v>10000</v>
      </c>
      <c r="X481" s="11">
        <v>760</v>
      </c>
      <c r="Y481" s="67">
        <v>760</v>
      </c>
      <c r="Z481" s="11">
        <v>180</v>
      </c>
      <c r="AA481" s="11" t="s">
        <v>1983</v>
      </c>
      <c r="AB481" s="11" t="s">
        <v>1983</v>
      </c>
      <c r="AC481" s="11" t="s">
        <v>1983</v>
      </c>
      <c r="AD481" s="11"/>
    </row>
    <row r="482" spans="20:30" ht="15" customHeight="1">
      <c r="T482" s="11" t="s">
        <v>1983</v>
      </c>
      <c r="U482" s="11"/>
      <c r="V482" s="11" t="s">
        <v>2517</v>
      </c>
      <c r="W482" s="11"/>
      <c r="X482" s="11"/>
      <c r="Y482" s="67"/>
      <c r="Z482" s="11"/>
      <c r="AA482" s="11" t="s">
        <v>1983</v>
      </c>
      <c r="AB482" s="11" t="s">
        <v>1983</v>
      </c>
      <c r="AC482" s="11" t="s">
        <v>1983</v>
      </c>
      <c r="AD482" s="11"/>
    </row>
    <row r="483" spans="20:30" ht="15" customHeight="1">
      <c r="T483" s="11" t="s">
        <v>1983</v>
      </c>
      <c r="U483" s="11">
        <v>0.6</v>
      </c>
      <c r="V483" s="11" t="s">
        <v>2518</v>
      </c>
      <c r="W483" s="11">
        <v>10000</v>
      </c>
      <c r="X483" s="11">
        <v>550</v>
      </c>
      <c r="Y483" s="67">
        <v>550</v>
      </c>
      <c r="Z483" s="11">
        <v>80</v>
      </c>
      <c r="AA483" s="11" t="s">
        <v>1983</v>
      </c>
      <c r="AB483" s="11" t="s">
        <v>1983</v>
      </c>
      <c r="AC483" s="11" t="s">
        <v>1983</v>
      </c>
      <c r="AD483" s="11"/>
    </row>
    <row r="484" spans="20:30" ht="15" customHeight="1">
      <c r="T484" s="11" t="s">
        <v>1983</v>
      </c>
      <c r="U484" s="11" t="s">
        <v>1983</v>
      </c>
      <c r="V484" s="11" t="s">
        <v>2519</v>
      </c>
      <c r="W484" s="11" t="s">
        <v>1983</v>
      </c>
      <c r="X484" s="11" t="s">
        <v>1983</v>
      </c>
      <c r="Y484" s="67" t="s">
        <v>1983</v>
      </c>
      <c r="Z484" s="11" t="s">
        <v>1983</v>
      </c>
      <c r="AA484" s="11" t="s">
        <v>1983</v>
      </c>
      <c r="AB484" s="11" t="s">
        <v>1983</v>
      </c>
      <c r="AC484" s="11" t="s">
        <v>1983</v>
      </c>
      <c r="AD484" s="11"/>
    </row>
    <row r="485" spans="20:30" ht="15" customHeight="1">
      <c r="T485" s="11" t="s">
        <v>1983</v>
      </c>
      <c r="U485" s="11" t="s">
        <v>1983</v>
      </c>
      <c r="V485" s="11" t="s">
        <v>2520</v>
      </c>
      <c r="W485" s="11" t="s">
        <v>1983</v>
      </c>
      <c r="X485" s="11" t="s">
        <v>1983</v>
      </c>
      <c r="Y485" s="67" t="s">
        <v>1983</v>
      </c>
      <c r="Z485" s="11" t="s">
        <v>1983</v>
      </c>
      <c r="AA485" s="11" t="s">
        <v>1983</v>
      </c>
      <c r="AB485" s="11" t="s">
        <v>1983</v>
      </c>
      <c r="AC485" s="11" t="s">
        <v>1983</v>
      </c>
      <c r="AD485" s="11"/>
    </row>
    <row r="486" spans="20:30" ht="15" customHeight="1">
      <c r="T486" s="11" t="s">
        <v>1983</v>
      </c>
      <c r="U486" s="11" t="s">
        <v>1983</v>
      </c>
      <c r="V486" s="11" t="s">
        <v>2521</v>
      </c>
      <c r="W486" s="11" t="s">
        <v>1983</v>
      </c>
      <c r="X486" s="11" t="s">
        <v>1983</v>
      </c>
      <c r="Y486" s="67" t="s">
        <v>1983</v>
      </c>
      <c r="Z486" s="11" t="s">
        <v>1983</v>
      </c>
      <c r="AA486" s="11" t="s">
        <v>1983</v>
      </c>
      <c r="AB486" s="11" t="s">
        <v>1983</v>
      </c>
      <c r="AC486" s="11" t="s">
        <v>1983</v>
      </c>
      <c r="AD486" s="11"/>
    </row>
    <row r="487" spans="20:30" ht="15" customHeight="1">
      <c r="T487" s="11" t="s">
        <v>1983</v>
      </c>
      <c r="U487" s="11" t="s">
        <v>1983</v>
      </c>
      <c r="V487" s="11" t="s">
        <v>2522</v>
      </c>
      <c r="W487" s="11" t="s">
        <v>1983</v>
      </c>
      <c r="X487" s="11" t="s">
        <v>1983</v>
      </c>
      <c r="Y487" s="67" t="s">
        <v>1983</v>
      </c>
      <c r="Z487" s="11" t="s">
        <v>1983</v>
      </c>
      <c r="AA487" s="11" t="s">
        <v>1983</v>
      </c>
      <c r="AB487" s="11" t="s">
        <v>1983</v>
      </c>
      <c r="AC487" s="11" t="s">
        <v>1983</v>
      </c>
      <c r="AD487" s="11"/>
    </row>
    <row r="488" spans="20:30" ht="15" customHeight="1">
      <c r="T488" s="11" t="s">
        <v>1983</v>
      </c>
      <c r="U488" s="11" t="s">
        <v>1983</v>
      </c>
      <c r="V488" s="11" t="s">
        <v>2523</v>
      </c>
      <c r="W488" s="11" t="s">
        <v>1983</v>
      </c>
      <c r="X488" s="11" t="s">
        <v>1983</v>
      </c>
      <c r="Y488" s="67" t="s">
        <v>1983</v>
      </c>
      <c r="Z488" s="11" t="s">
        <v>1983</v>
      </c>
      <c r="AA488" s="11" t="s">
        <v>1983</v>
      </c>
      <c r="AB488" s="11" t="s">
        <v>1983</v>
      </c>
      <c r="AC488" s="11" t="s">
        <v>1983</v>
      </c>
      <c r="AD488" s="11"/>
    </row>
    <row r="489" spans="20:30" ht="15" customHeight="1">
      <c r="T489" s="11" t="s">
        <v>1983</v>
      </c>
      <c r="U489" s="11">
        <v>0.6</v>
      </c>
      <c r="V489" s="11" t="s">
        <v>2524</v>
      </c>
      <c r="W489" s="11">
        <v>2000</v>
      </c>
      <c r="X489" s="11">
        <v>90</v>
      </c>
      <c r="Y489" s="67">
        <v>90</v>
      </c>
      <c r="Z489" s="11"/>
      <c r="AA489" s="11" t="s">
        <v>1777</v>
      </c>
      <c r="AB489" s="11" t="s">
        <v>1777</v>
      </c>
      <c r="AC489" s="11" t="s">
        <v>1983</v>
      </c>
      <c r="AD489" s="11"/>
    </row>
    <row r="490" spans="20:30" ht="15" customHeight="1">
      <c r="T490" s="11" t="s">
        <v>1983</v>
      </c>
      <c r="U490" s="11">
        <v>0.6</v>
      </c>
      <c r="V490" s="11" t="s">
        <v>2525</v>
      </c>
      <c r="W490" s="11">
        <v>1000</v>
      </c>
      <c r="X490" s="11">
        <v>50</v>
      </c>
      <c r="Y490" s="67">
        <v>50</v>
      </c>
      <c r="Z490" s="11" t="s">
        <v>1983</v>
      </c>
      <c r="AA490" s="11" t="s">
        <v>1777</v>
      </c>
      <c r="AB490" s="11" t="s">
        <v>1777</v>
      </c>
      <c r="AC490" s="11" t="s">
        <v>1983</v>
      </c>
      <c r="AD490" s="11"/>
    </row>
    <row r="491" spans="20:30" ht="15" customHeight="1">
      <c r="T491" s="11"/>
      <c r="U491" s="11"/>
      <c r="V491" s="11"/>
      <c r="W491" s="11"/>
      <c r="X491" s="11"/>
      <c r="Y491" s="67"/>
      <c r="Z491" s="11"/>
      <c r="AA491" s="11"/>
      <c r="AB491" s="11"/>
      <c r="AC491" s="11"/>
      <c r="AD491" s="11"/>
    </row>
    <row r="492" spans="20:30" ht="15" customHeight="1">
      <c r="T492" s="11"/>
      <c r="U492" s="11"/>
      <c r="V492" s="11"/>
      <c r="W492" s="11"/>
      <c r="X492" s="11"/>
      <c r="Y492" s="67"/>
      <c r="Z492" s="11"/>
      <c r="AA492" s="11"/>
      <c r="AB492" s="11"/>
      <c r="AC492" s="11"/>
      <c r="AD492" s="11"/>
    </row>
    <row r="493" spans="20:30" ht="15" customHeight="1">
      <c r="T493" s="11" t="s">
        <v>1983</v>
      </c>
      <c r="U493" s="11" t="s">
        <v>1983</v>
      </c>
      <c r="V493" s="11"/>
      <c r="W493" s="11" t="s">
        <v>1983</v>
      </c>
      <c r="X493" s="11" t="s">
        <v>1983</v>
      </c>
      <c r="Y493" s="67" t="s">
        <v>1983</v>
      </c>
      <c r="Z493" s="11" t="s">
        <v>1983</v>
      </c>
      <c r="AA493" s="11" t="s">
        <v>1983</v>
      </c>
      <c r="AB493" s="11" t="s">
        <v>1983</v>
      </c>
      <c r="AC493" s="11" t="s">
        <v>1983</v>
      </c>
      <c r="AD493" s="11"/>
    </row>
    <row r="494" spans="20:30" ht="15" customHeight="1">
      <c r="T494" s="11" t="s">
        <v>1983</v>
      </c>
      <c r="U494" s="11" t="s">
        <v>1983</v>
      </c>
      <c r="V494" s="11"/>
      <c r="W494" s="11" t="s">
        <v>1983</v>
      </c>
      <c r="X494" s="11" t="s">
        <v>1983</v>
      </c>
      <c r="Y494" s="67" t="s">
        <v>1983</v>
      </c>
      <c r="Z494" s="11" t="s">
        <v>1983</v>
      </c>
      <c r="AA494" s="11" t="s">
        <v>1983</v>
      </c>
      <c r="AB494" s="11" t="s">
        <v>1983</v>
      </c>
      <c r="AC494" s="11" t="s">
        <v>1983</v>
      </c>
      <c r="AD494" s="11"/>
    </row>
    <row r="495" spans="20:30" ht="15" customHeight="1">
      <c r="T495" s="11" t="s">
        <v>1983</v>
      </c>
      <c r="U495" s="11" t="s">
        <v>1983</v>
      </c>
      <c r="V495" s="11"/>
      <c r="W495" s="11" t="s">
        <v>1983</v>
      </c>
      <c r="X495" s="11" t="s">
        <v>1983</v>
      </c>
      <c r="Y495" s="67" t="s">
        <v>1983</v>
      </c>
      <c r="Z495" s="11" t="s">
        <v>1983</v>
      </c>
      <c r="AA495" s="11" t="s">
        <v>1983</v>
      </c>
      <c r="AB495" s="11" t="s">
        <v>1983</v>
      </c>
      <c r="AC495" s="11" t="s">
        <v>1983</v>
      </c>
      <c r="AD495" s="11"/>
    </row>
    <row r="496" spans="20:30" ht="15" customHeight="1">
      <c r="T496" s="11" t="s">
        <v>1983</v>
      </c>
      <c r="U496" s="11" t="s">
        <v>1983</v>
      </c>
      <c r="V496" s="11"/>
      <c r="W496" s="11" t="s">
        <v>1983</v>
      </c>
      <c r="X496" s="11" t="s">
        <v>1983</v>
      </c>
      <c r="Y496" s="67" t="s">
        <v>1983</v>
      </c>
      <c r="Z496" s="11" t="s">
        <v>1983</v>
      </c>
      <c r="AA496" s="11" t="s">
        <v>1983</v>
      </c>
      <c r="AB496" s="11" t="s">
        <v>1983</v>
      </c>
      <c r="AC496" s="11" t="s">
        <v>1983</v>
      </c>
      <c r="AD496" s="11"/>
    </row>
    <row r="497" spans="20:30" ht="15" customHeight="1">
      <c r="T497" s="11" t="s">
        <v>1983</v>
      </c>
      <c r="U497" s="11" t="s">
        <v>1983</v>
      </c>
      <c r="V497" s="11"/>
      <c r="W497" s="11" t="s">
        <v>1983</v>
      </c>
      <c r="X497" s="11" t="s">
        <v>1983</v>
      </c>
      <c r="Y497" s="67" t="s">
        <v>1983</v>
      </c>
      <c r="Z497" s="11" t="s">
        <v>1983</v>
      </c>
      <c r="AA497" s="11" t="s">
        <v>1983</v>
      </c>
      <c r="AB497" s="11" t="s">
        <v>1983</v>
      </c>
      <c r="AC497" s="11" t="s">
        <v>1983</v>
      </c>
      <c r="AD497" s="11"/>
    </row>
    <row r="498" spans="20:30" ht="15" customHeight="1">
      <c r="T498" s="11" t="s">
        <v>1983</v>
      </c>
      <c r="U498" s="11" t="s">
        <v>1983</v>
      </c>
      <c r="V498" s="11"/>
      <c r="W498" s="11" t="s">
        <v>1983</v>
      </c>
      <c r="X498" s="11" t="s">
        <v>1983</v>
      </c>
      <c r="Y498" s="67" t="s">
        <v>1983</v>
      </c>
      <c r="Z498" s="11" t="s">
        <v>1983</v>
      </c>
      <c r="AA498" s="11" t="s">
        <v>1983</v>
      </c>
      <c r="AB498" s="11" t="s">
        <v>1983</v>
      </c>
      <c r="AC498" s="11" t="s">
        <v>1983</v>
      </c>
      <c r="AD498" s="11"/>
    </row>
    <row r="499" spans="20:30" ht="15" customHeight="1">
      <c r="T499" s="11" t="s">
        <v>1983</v>
      </c>
      <c r="U499" s="11" t="s">
        <v>1983</v>
      </c>
      <c r="V499" s="11"/>
      <c r="W499" s="11" t="s">
        <v>1983</v>
      </c>
      <c r="X499" s="11" t="s">
        <v>1983</v>
      </c>
      <c r="Y499" s="67" t="s">
        <v>1983</v>
      </c>
      <c r="Z499" s="11" t="s">
        <v>1983</v>
      </c>
      <c r="AA499" s="11" t="s">
        <v>1983</v>
      </c>
      <c r="AB499" s="11" t="s">
        <v>1983</v>
      </c>
      <c r="AC499" s="11" t="s">
        <v>1983</v>
      </c>
      <c r="AD499" s="11"/>
    </row>
    <row r="500" spans="20:30" ht="15" customHeight="1">
      <c r="T500" s="11" t="s">
        <v>1983</v>
      </c>
      <c r="U500" s="11" t="s">
        <v>1983</v>
      </c>
      <c r="V500" s="11"/>
      <c r="W500" s="11" t="s">
        <v>1983</v>
      </c>
      <c r="X500" s="11" t="s">
        <v>1983</v>
      </c>
      <c r="Y500" s="67" t="s">
        <v>1983</v>
      </c>
      <c r="Z500" s="11" t="s">
        <v>1983</v>
      </c>
      <c r="AA500" s="11" t="s">
        <v>1983</v>
      </c>
      <c r="AB500" s="11" t="s">
        <v>1983</v>
      </c>
      <c r="AC500" s="11" t="s">
        <v>1983</v>
      </c>
      <c r="AD500" s="11"/>
    </row>
    <row r="501" spans="20:30" ht="15" customHeight="1">
      <c r="T501" s="11" t="s">
        <v>1983</v>
      </c>
      <c r="U501" s="11" t="s">
        <v>1983</v>
      </c>
      <c r="V501" s="11"/>
      <c r="W501" s="11" t="s">
        <v>1983</v>
      </c>
      <c r="X501" s="11" t="s">
        <v>1983</v>
      </c>
      <c r="Y501" s="67" t="s">
        <v>1983</v>
      </c>
      <c r="Z501" s="11" t="s">
        <v>1983</v>
      </c>
      <c r="AA501" s="11" t="s">
        <v>1983</v>
      </c>
      <c r="AB501" s="11" t="s">
        <v>1983</v>
      </c>
      <c r="AC501" s="11" t="s">
        <v>1983</v>
      </c>
      <c r="AD501" s="11"/>
    </row>
    <row r="502" spans="20:30" ht="15" customHeight="1">
      <c r="T502" s="11" t="s">
        <v>1983</v>
      </c>
      <c r="U502" s="11" t="s">
        <v>1983</v>
      </c>
      <c r="V502" s="11"/>
      <c r="W502" s="11" t="s">
        <v>1983</v>
      </c>
      <c r="X502" s="11" t="s">
        <v>1983</v>
      </c>
      <c r="Y502" s="67" t="s">
        <v>1983</v>
      </c>
      <c r="Z502" s="11" t="s">
        <v>1983</v>
      </c>
      <c r="AA502" s="11" t="s">
        <v>1983</v>
      </c>
      <c r="AB502" s="11" t="s">
        <v>1983</v>
      </c>
      <c r="AC502" s="11" t="s">
        <v>1983</v>
      </c>
      <c r="AD502" s="11"/>
    </row>
    <row r="503" spans="20:30" ht="15" customHeight="1">
      <c r="T503" s="11" t="s">
        <v>1983</v>
      </c>
      <c r="U503" s="11" t="s">
        <v>1983</v>
      </c>
      <c r="V503" s="11"/>
      <c r="W503" s="11" t="s">
        <v>1983</v>
      </c>
      <c r="X503" s="11" t="s">
        <v>1983</v>
      </c>
      <c r="Y503" s="67" t="s">
        <v>1983</v>
      </c>
      <c r="Z503" s="11" t="s">
        <v>1983</v>
      </c>
      <c r="AA503" s="11" t="s">
        <v>1983</v>
      </c>
      <c r="AB503" s="11" t="s">
        <v>1983</v>
      </c>
      <c r="AC503" s="11" t="s">
        <v>1983</v>
      </c>
      <c r="AD503" s="11"/>
    </row>
    <row r="504" spans="20:30" ht="15" customHeight="1">
      <c r="T504" s="11" t="s">
        <v>1983</v>
      </c>
      <c r="U504" s="11" t="s">
        <v>1983</v>
      </c>
      <c r="V504" s="11"/>
      <c r="W504" s="11" t="s">
        <v>1983</v>
      </c>
      <c r="X504" s="11" t="s">
        <v>1983</v>
      </c>
      <c r="Y504" s="67" t="s">
        <v>1983</v>
      </c>
      <c r="Z504" s="11" t="s">
        <v>1983</v>
      </c>
      <c r="AA504" s="11" t="s">
        <v>1983</v>
      </c>
      <c r="AB504" s="11" t="s">
        <v>1983</v>
      </c>
      <c r="AC504" s="11" t="s">
        <v>1983</v>
      </c>
      <c r="AD504" s="11"/>
    </row>
    <row r="505" spans="20:30" ht="15" customHeight="1">
      <c r="T505" s="11" t="s">
        <v>1983</v>
      </c>
      <c r="U505" s="11" t="s">
        <v>1983</v>
      </c>
      <c r="V505" s="11"/>
      <c r="W505" s="11" t="s">
        <v>1983</v>
      </c>
      <c r="X505" s="11" t="s">
        <v>1983</v>
      </c>
      <c r="Y505" s="67" t="s">
        <v>1983</v>
      </c>
      <c r="Z505" s="11" t="s">
        <v>1983</v>
      </c>
      <c r="AA505" s="11" t="s">
        <v>1983</v>
      </c>
      <c r="AB505" s="11" t="s">
        <v>1983</v>
      </c>
      <c r="AC505" s="11" t="s">
        <v>1983</v>
      </c>
      <c r="AD505" s="11"/>
    </row>
    <row r="506" spans="20:30" ht="15" customHeight="1">
      <c r="T506" s="11" t="s">
        <v>1983</v>
      </c>
      <c r="U506" s="11" t="s">
        <v>1983</v>
      </c>
      <c r="V506" s="11"/>
      <c r="W506" s="11" t="s">
        <v>1983</v>
      </c>
      <c r="X506" s="11" t="s">
        <v>1983</v>
      </c>
      <c r="Y506" s="67" t="s">
        <v>1983</v>
      </c>
      <c r="Z506" s="11" t="s">
        <v>1983</v>
      </c>
      <c r="AA506" s="11" t="s">
        <v>1983</v>
      </c>
      <c r="AB506" s="11" t="s">
        <v>1983</v>
      </c>
      <c r="AC506" s="11" t="s">
        <v>1983</v>
      </c>
      <c r="AD506" s="11"/>
    </row>
    <row r="507" spans="20:30" ht="15" customHeight="1">
      <c r="T507" s="11" t="s">
        <v>1983</v>
      </c>
      <c r="U507" s="11" t="s">
        <v>1983</v>
      </c>
      <c r="V507" s="11"/>
      <c r="W507" s="11" t="s">
        <v>1983</v>
      </c>
      <c r="X507" s="11" t="s">
        <v>1983</v>
      </c>
      <c r="Y507" s="67" t="s">
        <v>1983</v>
      </c>
      <c r="Z507" s="11" t="s">
        <v>1983</v>
      </c>
      <c r="AA507" s="11" t="s">
        <v>1983</v>
      </c>
      <c r="AB507" s="11" t="s">
        <v>1983</v>
      </c>
      <c r="AC507" s="11" t="s">
        <v>1983</v>
      </c>
      <c r="AD507" s="11"/>
    </row>
    <row r="508" spans="20:30" ht="15" customHeight="1">
      <c r="T508" s="11" t="s">
        <v>1983</v>
      </c>
      <c r="U508" s="11" t="s">
        <v>1983</v>
      </c>
      <c r="V508" s="11"/>
      <c r="W508" s="11" t="s">
        <v>1983</v>
      </c>
      <c r="X508" s="11" t="s">
        <v>1983</v>
      </c>
      <c r="Y508" s="67" t="s">
        <v>1983</v>
      </c>
      <c r="Z508" s="11" t="s">
        <v>1983</v>
      </c>
      <c r="AA508" s="11" t="s">
        <v>1983</v>
      </c>
      <c r="AB508" s="11" t="s">
        <v>1983</v>
      </c>
      <c r="AC508" s="11" t="s">
        <v>1983</v>
      </c>
      <c r="AD508" s="11"/>
    </row>
    <row r="509" spans="20:30" ht="15" customHeight="1">
      <c r="T509" s="11" t="s">
        <v>1983</v>
      </c>
      <c r="U509" s="11" t="s">
        <v>1983</v>
      </c>
      <c r="V509" s="11"/>
      <c r="W509" s="11" t="s">
        <v>1983</v>
      </c>
      <c r="X509" s="11" t="s">
        <v>1983</v>
      </c>
      <c r="Y509" s="67" t="s">
        <v>1983</v>
      </c>
      <c r="Z509" s="11" t="s">
        <v>1983</v>
      </c>
      <c r="AA509" s="11" t="s">
        <v>1983</v>
      </c>
      <c r="AB509" s="11" t="s">
        <v>1983</v>
      </c>
      <c r="AC509" s="11" t="s">
        <v>1983</v>
      </c>
      <c r="AD509" s="11"/>
    </row>
    <row r="510" spans="20:30" ht="15" customHeight="1">
      <c r="T510" s="11" t="s">
        <v>1983</v>
      </c>
      <c r="U510" s="11" t="s">
        <v>1983</v>
      </c>
      <c r="V510" s="11"/>
      <c r="W510" s="11" t="s">
        <v>1983</v>
      </c>
      <c r="X510" s="11" t="s">
        <v>1983</v>
      </c>
      <c r="Y510" s="67" t="s">
        <v>1983</v>
      </c>
      <c r="Z510" s="11" t="s">
        <v>1983</v>
      </c>
      <c r="AA510" s="11" t="s">
        <v>1983</v>
      </c>
      <c r="AB510" s="11" t="s">
        <v>1983</v>
      </c>
      <c r="AC510" s="11" t="s">
        <v>1983</v>
      </c>
      <c r="AD510" s="11"/>
    </row>
    <row r="511" spans="20:30" ht="15" customHeight="1">
      <c r="T511" s="11" t="s">
        <v>1983</v>
      </c>
      <c r="U511" s="11" t="s">
        <v>1983</v>
      </c>
      <c r="V511" s="11"/>
      <c r="W511" s="11" t="s">
        <v>1983</v>
      </c>
      <c r="X511" s="11" t="s">
        <v>1983</v>
      </c>
      <c r="Y511" s="67" t="s">
        <v>1983</v>
      </c>
      <c r="Z511" s="11" t="s">
        <v>1983</v>
      </c>
      <c r="AA511" s="11" t="s">
        <v>1983</v>
      </c>
      <c r="AB511" s="11" t="s">
        <v>1983</v>
      </c>
      <c r="AC511" s="11" t="s">
        <v>1983</v>
      </c>
      <c r="AD511" s="11"/>
    </row>
    <row r="512" spans="20:30" ht="15" customHeight="1">
      <c r="T512" s="11" t="s">
        <v>1983</v>
      </c>
      <c r="U512" s="11" t="s">
        <v>1983</v>
      </c>
      <c r="V512" s="11"/>
      <c r="W512" s="11" t="s">
        <v>1983</v>
      </c>
      <c r="X512" s="11" t="s">
        <v>1983</v>
      </c>
      <c r="Y512" s="67" t="s">
        <v>1983</v>
      </c>
      <c r="Z512" s="11" t="s">
        <v>1983</v>
      </c>
      <c r="AA512" s="11" t="s">
        <v>1983</v>
      </c>
      <c r="AB512" s="11" t="s">
        <v>1983</v>
      </c>
      <c r="AC512" s="11" t="s">
        <v>1983</v>
      </c>
      <c r="AD512" s="11"/>
    </row>
    <row r="513" spans="20:30" ht="15" customHeight="1">
      <c r="T513" s="11" t="s">
        <v>1983</v>
      </c>
      <c r="U513" s="11" t="s">
        <v>1983</v>
      </c>
      <c r="V513" s="11"/>
      <c r="W513" s="11" t="s">
        <v>1983</v>
      </c>
      <c r="X513" s="11" t="s">
        <v>1983</v>
      </c>
      <c r="Y513" s="67" t="s">
        <v>1983</v>
      </c>
      <c r="Z513" s="11" t="s">
        <v>1983</v>
      </c>
      <c r="AA513" s="11" t="s">
        <v>1983</v>
      </c>
      <c r="AB513" s="11" t="s">
        <v>1983</v>
      </c>
      <c r="AC513" s="11" t="s">
        <v>1983</v>
      </c>
      <c r="AD513" s="11"/>
    </row>
    <row r="514" spans="20:30" ht="15" customHeight="1">
      <c r="T514" s="11" t="s">
        <v>1983</v>
      </c>
      <c r="U514" s="11" t="s">
        <v>1983</v>
      </c>
      <c r="V514" s="11"/>
      <c r="W514" s="11" t="s">
        <v>1983</v>
      </c>
      <c r="X514" s="11" t="s">
        <v>1983</v>
      </c>
      <c r="Y514" s="67" t="s">
        <v>1983</v>
      </c>
      <c r="Z514" s="11" t="s">
        <v>1983</v>
      </c>
      <c r="AA514" s="11" t="s">
        <v>1983</v>
      </c>
      <c r="AB514" s="11" t="s">
        <v>1983</v>
      </c>
      <c r="AC514" s="11" t="s">
        <v>1983</v>
      </c>
      <c r="AD514" s="11"/>
    </row>
    <row r="515" spans="20:30" ht="15" customHeight="1">
      <c r="T515" s="11" t="s">
        <v>1983</v>
      </c>
      <c r="U515" s="11" t="s">
        <v>1983</v>
      </c>
      <c r="V515" s="11"/>
      <c r="W515" s="11" t="s">
        <v>1983</v>
      </c>
      <c r="X515" s="11" t="s">
        <v>1983</v>
      </c>
      <c r="Y515" s="67" t="s">
        <v>1983</v>
      </c>
      <c r="Z515" s="11" t="s">
        <v>1983</v>
      </c>
      <c r="AA515" s="11" t="s">
        <v>1983</v>
      </c>
      <c r="AB515" s="11" t="s">
        <v>1983</v>
      </c>
      <c r="AC515" s="11" t="s">
        <v>1983</v>
      </c>
      <c r="AD515" s="11"/>
    </row>
    <row r="516" spans="20:30" ht="15" customHeight="1">
      <c r="T516" s="11" t="s">
        <v>1983</v>
      </c>
      <c r="U516" s="11" t="s">
        <v>1983</v>
      </c>
      <c r="V516" s="11"/>
      <c r="W516" s="11" t="s">
        <v>1983</v>
      </c>
      <c r="X516" s="11" t="s">
        <v>1983</v>
      </c>
      <c r="Y516" s="67" t="s">
        <v>1983</v>
      </c>
      <c r="Z516" s="11" t="s">
        <v>1983</v>
      </c>
      <c r="AA516" s="11" t="s">
        <v>1983</v>
      </c>
      <c r="AB516" s="11" t="s">
        <v>1983</v>
      </c>
      <c r="AC516" s="11" t="s">
        <v>1983</v>
      </c>
      <c r="AD516" s="11"/>
    </row>
    <row r="517" spans="20:30" ht="15" customHeight="1">
      <c r="T517" s="11" t="s">
        <v>1983</v>
      </c>
      <c r="U517" s="11" t="s">
        <v>1983</v>
      </c>
      <c r="V517" s="11"/>
      <c r="W517" s="11" t="s">
        <v>1983</v>
      </c>
      <c r="X517" s="11" t="s">
        <v>1983</v>
      </c>
      <c r="Y517" s="67" t="s">
        <v>1983</v>
      </c>
      <c r="Z517" s="11" t="s">
        <v>1983</v>
      </c>
      <c r="AA517" s="11" t="s">
        <v>1983</v>
      </c>
      <c r="AB517" s="11" t="s">
        <v>1983</v>
      </c>
      <c r="AC517" s="11" t="s">
        <v>1983</v>
      </c>
      <c r="AD517" s="11"/>
    </row>
    <row r="518" spans="20:30" ht="15" customHeight="1">
      <c r="T518" s="11" t="s">
        <v>1983</v>
      </c>
      <c r="U518" s="11" t="s">
        <v>1983</v>
      </c>
      <c r="V518" s="11"/>
      <c r="W518" s="11" t="s">
        <v>1983</v>
      </c>
      <c r="X518" s="11" t="s">
        <v>1983</v>
      </c>
      <c r="Y518" s="67" t="s">
        <v>1983</v>
      </c>
      <c r="Z518" s="11" t="s">
        <v>1983</v>
      </c>
      <c r="AA518" s="11" t="s">
        <v>1983</v>
      </c>
      <c r="AB518" s="11" t="s">
        <v>1983</v>
      </c>
      <c r="AC518" s="11" t="s">
        <v>1983</v>
      </c>
      <c r="AD518" s="11"/>
    </row>
    <row r="519" spans="20:30" ht="15" customHeight="1">
      <c r="T519" s="11" t="s">
        <v>1983</v>
      </c>
      <c r="U519" s="11" t="s">
        <v>1983</v>
      </c>
      <c r="V519" s="11"/>
      <c r="W519" s="11" t="s">
        <v>1983</v>
      </c>
      <c r="X519" s="11" t="s">
        <v>1983</v>
      </c>
      <c r="Y519" s="67" t="s">
        <v>1983</v>
      </c>
      <c r="Z519" s="11" t="s">
        <v>1983</v>
      </c>
      <c r="AA519" s="11" t="s">
        <v>1983</v>
      </c>
      <c r="AB519" s="11" t="s">
        <v>1983</v>
      </c>
      <c r="AC519" s="11" t="s">
        <v>1983</v>
      </c>
      <c r="AD519" s="11"/>
    </row>
    <row r="520" spans="20:30" ht="15" customHeight="1">
      <c r="T520" s="11" t="s">
        <v>1983</v>
      </c>
      <c r="U520" s="11" t="s">
        <v>1983</v>
      </c>
      <c r="V520" s="11"/>
      <c r="W520" s="11" t="s">
        <v>1983</v>
      </c>
      <c r="X520" s="11" t="s">
        <v>1983</v>
      </c>
      <c r="Y520" s="67" t="s">
        <v>1983</v>
      </c>
      <c r="Z520" s="11" t="s">
        <v>1983</v>
      </c>
      <c r="AA520" s="11" t="s">
        <v>1983</v>
      </c>
      <c r="AB520" s="11" t="s">
        <v>1983</v>
      </c>
      <c r="AC520" s="11" t="s">
        <v>1983</v>
      </c>
      <c r="AD520" s="11"/>
    </row>
    <row r="521" spans="20:30" ht="15" customHeight="1">
      <c r="T521" s="11" t="s">
        <v>1983</v>
      </c>
      <c r="U521" s="11" t="s">
        <v>1983</v>
      </c>
      <c r="V521" s="11"/>
      <c r="W521" s="11" t="s">
        <v>1983</v>
      </c>
      <c r="X521" s="11" t="s">
        <v>1983</v>
      </c>
      <c r="Y521" s="67" t="s">
        <v>1983</v>
      </c>
      <c r="Z521" s="11" t="s">
        <v>1983</v>
      </c>
      <c r="AA521" s="11" t="s">
        <v>1983</v>
      </c>
      <c r="AB521" s="11" t="s">
        <v>1983</v>
      </c>
      <c r="AC521" s="11" t="s">
        <v>1983</v>
      </c>
      <c r="AD521" s="11"/>
    </row>
    <row r="522" spans="20:30" ht="15" customHeight="1">
      <c r="T522" s="11" t="s">
        <v>1983</v>
      </c>
      <c r="U522" s="11" t="s">
        <v>1983</v>
      </c>
      <c r="V522" s="11"/>
      <c r="W522" s="11" t="s">
        <v>1983</v>
      </c>
      <c r="X522" s="11" t="s">
        <v>1983</v>
      </c>
      <c r="Y522" s="67" t="s">
        <v>1983</v>
      </c>
      <c r="Z522" s="11" t="s">
        <v>1983</v>
      </c>
      <c r="AA522" s="11" t="s">
        <v>1983</v>
      </c>
      <c r="AB522" s="11" t="s">
        <v>1983</v>
      </c>
      <c r="AC522" s="11" t="s">
        <v>1983</v>
      </c>
      <c r="AD522" s="11"/>
    </row>
    <row r="523" spans="20:30" ht="15" customHeight="1">
      <c r="T523" s="11" t="s">
        <v>1983</v>
      </c>
      <c r="U523" s="11" t="s">
        <v>1983</v>
      </c>
      <c r="V523" s="11"/>
      <c r="W523" s="11" t="s">
        <v>1983</v>
      </c>
      <c r="X523" s="11" t="s">
        <v>1983</v>
      </c>
      <c r="Y523" s="67" t="s">
        <v>1983</v>
      </c>
      <c r="Z523" s="11" t="s">
        <v>1983</v>
      </c>
      <c r="AA523" s="11" t="s">
        <v>1983</v>
      </c>
      <c r="AB523" s="11" t="s">
        <v>1983</v>
      </c>
      <c r="AC523" s="11" t="s">
        <v>1983</v>
      </c>
      <c r="AD523" s="11"/>
    </row>
    <row r="524" spans="20:30" ht="15" customHeight="1">
      <c r="T524" s="11" t="s">
        <v>1983</v>
      </c>
      <c r="U524" s="11" t="s">
        <v>1983</v>
      </c>
      <c r="V524" s="11"/>
      <c r="W524" s="11" t="s">
        <v>1983</v>
      </c>
      <c r="X524" s="11" t="s">
        <v>1983</v>
      </c>
      <c r="Y524" s="67" t="s">
        <v>1983</v>
      </c>
      <c r="Z524" s="11" t="s">
        <v>1983</v>
      </c>
      <c r="AA524" s="11" t="s">
        <v>1983</v>
      </c>
      <c r="AB524" s="11" t="s">
        <v>1983</v>
      </c>
      <c r="AC524" s="11" t="s">
        <v>1983</v>
      </c>
      <c r="AD524" s="11"/>
    </row>
    <row r="525" spans="20:30" ht="15" customHeight="1">
      <c r="T525" s="11" t="s">
        <v>1983</v>
      </c>
      <c r="U525" s="11" t="s">
        <v>1983</v>
      </c>
      <c r="V525" s="11"/>
      <c r="W525" s="11" t="s">
        <v>1983</v>
      </c>
      <c r="X525" s="11" t="s">
        <v>1983</v>
      </c>
      <c r="Y525" s="67" t="s">
        <v>1983</v>
      </c>
      <c r="Z525" s="11" t="s">
        <v>1983</v>
      </c>
      <c r="AA525" s="11" t="s">
        <v>1983</v>
      </c>
      <c r="AB525" s="11" t="s">
        <v>1983</v>
      </c>
      <c r="AC525" s="11" t="s">
        <v>1983</v>
      </c>
      <c r="AD525" s="11"/>
    </row>
    <row r="526" spans="20:30" ht="15" customHeight="1">
      <c r="T526" s="11" t="s">
        <v>1983</v>
      </c>
      <c r="U526" s="11" t="s">
        <v>1983</v>
      </c>
      <c r="V526" s="11"/>
      <c r="W526" s="11" t="s">
        <v>1983</v>
      </c>
      <c r="X526" s="11" t="s">
        <v>1983</v>
      </c>
      <c r="Y526" s="67" t="s">
        <v>1983</v>
      </c>
      <c r="Z526" s="11" t="s">
        <v>1983</v>
      </c>
      <c r="AA526" s="11" t="s">
        <v>1983</v>
      </c>
      <c r="AB526" s="11" t="s">
        <v>1983</v>
      </c>
      <c r="AC526" s="11" t="s">
        <v>1983</v>
      </c>
      <c r="AD526" s="11"/>
    </row>
    <row r="527" spans="20:30" ht="15" customHeight="1">
      <c r="T527" s="11" t="s">
        <v>1983</v>
      </c>
      <c r="U527" s="11" t="s">
        <v>1983</v>
      </c>
      <c r="V527" s="11"/>
      <c r="W527" s="11" t="s">
        <v>1983</v>
      </c>
      <c r="X527" s="11" t="s">
        <v>1983</v>
      </c>
      <c r="Y527" s="67" t="s">
        <v>1983</v>
      </c>
      <c r="Z527" s="11" t="s">
        <v>1983</v>
      </c>
      <c r="AA527" s="11" t="s">
        <v>1983</v>
      </c>
      <c r="AB527" s="11" t="s">
        <v>1983</v>
      </c>
      <c r="AC527" s="11" t="s">
        <v>1983</v>
      </c>
      <c r="AD527" s="11"/>
    </row>
    <row r="528" spans="20:30" ht="15" customHeight="1">
      <c r="T528" s="11" t="s">
        <v>1983</v>
      </c>
      <c r="U528" s="11" t="s">
        <v>1983</v>
      </c>
      <c r="V528" s="11"/>
      <c r="W528" s="11" t="s">
        <v>1983</v>
      </c>
      <c r="X528" s="11" t="s">
        <v>1983</v>
      </c>
      <c r="Y528" s="67" t="s">
        <v>1983</v>
      </c>
      <c r="Z528" s="11" t="s">
        <v>1983</v>
      </c>
      <c r="AA528" s="11" t="s">
        <v>1983</v>
      </c>
      <c r="AB528" s="11" t="s">
        <v>1983</v>
      </c>
      <c r="AC528" s="11" t="s">
        <v>1983</v>
      </c>
      <c r="AD528" s="11"/>
    </row>
    <row r="529" spans="20:30" ht="15" customHeight="1">
      <c r="T529" s="11" t="s">
        <v>1983</v>
      </c>
      <c r="U529" s="11" t="s">
        <v>1983</v>
      </c>
      <c r="V529" s="11"/>
      <c r="W529" s="11" t="s">
        <v>1983</v>
      </c>
      <c r="X529" s="11" t="s">
        <v>1983</v>
      </c>
      <c r="Y529" s="67" t="s">
        <v>1983</v>
      </c>
      <c r="Z529" s="11" t="s">
        <v>1983</v>
      </c>
      <c r="AA529" s="11" t="s">
        <v>1983</v>
      </c>
      <c r="AB529" s="11" t="s">
        <v>1983</v>
      </c>
      <c r="AC529" s="11" t="s">
        <v>1983</v>
      </c>
      <c r="AD529" s="11"/>
    </row>
    <row r="530" spans="20:30" ht="15" customHeight="1">
      <c r="T530" s="11" t="s">
        <v>1983</v>
      </c>
      <c r="U530" s="11" t="s">
        <v>1983</v>
      </c>
      <c r="V530" s="11"/>
      <c r="W530" s="11" t="s">
        <v>1983</v>
      </c>
      <c r="X530" s="11" t="s">
        <v>1983</v>
      </c>
      <c r="Y530" s="67" t="s">
        <v>1983</v>
      </c>
      <c r="Z530" s="11" t="s">
        <v>1983</v>
      </c>
      <c r="AA530" s="11" t="s">
        <v>1983</v>
      </c>
      <c r="AB530" s="11" t="s">
        <v>1983</v>
      </c>
      <c r="AC530" s="11" t="s">
        <v>1983</v>
      </c>
      <c r="AD530" s="11"/>
    </row>
  </sheetData>
  <sheetProtection sheet="1" objects="1" scenarios="1" formatCells="0" sort="0" autoFilter="0"/>
  <protectedRanges>
    <protectedRange sqref="T1:AD1048576" name="범위1"/>
  </protectedRanges>
  <mergeCells count="29">
    <mergeCell ref="A1:C3"/>
    <mergeCell ref="D1:F3"/>
    <mergeCell ref="AC4:AC5"/>
    <mergeCell ref="L2:M3"/>
    <mergeCell ref="K2:K3"/>
    <mergeCell ref="G1:M1"/>
    <mergeCell ref="W4:W5"/>
    <mergeCell ref="X4:X5"/>
    <mergeCell ref="Y4:Y5"/>
    <mergeCell ref="Z4:Z5"/>
    <mergeCell ref="AA4:AA5"/>
    <mergeCell ref="AB4:AB5"/>
    <mergeCell ref="O4:O5"/>
    <mergeCell ref="Q4:R5"/>
    <mergeCell ref="T2:V3"/>
    <mergeCell ref="T4:U4"/>
    <mergeCell ref="AD4:AD5"/>
    <mergeCell ref="V4:V5"/>
    <mergeCell ref="L4:L5"/>
    <mergeCell ref="A4:B4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honeticPr fontId="2" type="noConversion"/>
  <conditionalFormatting sqref="M6:M50">
    <cfRule type="containsBlanks" dxfId="8" priority="1">
      <formula>LEN(TRIM(M6))=0</formula>
    </cfRule>
    <cfRule type="cellIs" dxfId="7" priority="2" operator="greaterThan">
      <formula>9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3E44-C421-4E1E-B954-4AD73C3F8DD8}">
  <dimension ref="A1:A42"/>
  <sheetViews>
    <sheetView workbookViewId="0">
      <selection activeCell="A33" sqref="A33"/>
    </sheetView>
  </sheetViews>
  <sheetFormatPr defaultRowHeight="16.5"/>
  <cols>
    <col min="1" max="1" width="16.375" bestFit="1" customWidth="1"/>
  </cols>
  <sheetData>
    <row r="1" spans="1:1">
      <c r="A1" t="str" cm="1">
        <f t="array" ref="A1:A42">_xlfn.UNIQUE(_xlfn._xlws.FILTER(■입주정보!B4:B1000,TRIM(■입주정보!B4:B1000&lt;&gt;"")))</f>
        <v>제이앤제이</v>
      </c>
    </row>
    <row r="2" spans="1:1">
      <c r="A2" t="str">
        <v>스타빌</v>
      </c>
    </row>
    <row r="3" spans="1:1">
      <c r="A3" t="str">
        <v>아페이론</v>
      </c>
    </row>
    <row r="4" spans="1:1">
      <c r="A4" t="str">
        <v>다존하우스</v>
      </c>
    </row>
    <row r="5" spans="1:1">
      <c r="A5" t="str">
        <v>W하우스</v>
      </c>
    </row>
    <row r="6" spans="1:1">
      <c r="A6" t="str">
        <v>포유빌</v>
      </c>
    </row>
    <row r="7" spans="1:1">
      <c r="A7" t="str">
        <v>미래홈</v>
      </c>
    </row>
    <row r="8" spans="1:1">
      <c r="A8" t="str">
        <v>굿모닝빌</v>
      </c>
    </row>
    <row r="9" spans="1:1">
      <c r="A9" t="str">
        <v>모닝빌</v>
      </c>
    </row>
    <row r="10" spans="1:1">
      <c r="A10" t="str">
        <v>에덴빌</v>
      </c>
    </row>
    <row r="11" spans="1:1">
      <c r="A11" t="str">
        <v>와이원빈티지</v>
      </c>
    </row>
    <row r="12" spans="1:1">
      <c r="A12" t="str">
        <v>한스텔</v>
      </c>
    </row>
    <row r="13" spans="1:1">
      <c r="A13" t="str">
        <v>지앤지2</v>
      </c>
    </row>
    <row r="14" spans="1:1">
      <c r="A14" t="str">
        <v>풍림빌딩</v>
      </c>
    </row>
    <row r="15" spans="1:1">
      <c r="A15" t="str">
        <v>토브미하우스</v>
      </c>
    </row>
    <row r="16" spans="1:1">
      <c r="A16" t="str">
        <v>리트코하우스</v>
      </c>
    </row>
    <row r="17" spans="1:1">
      <c r="A17" t="str">
        <v>모던하우스</v>
      </c>
    </row>
    <row r="18" spans="1:1">
      <c r="A18" t="str">
        <v>모던라이프</v>
      </c>
    </row>
    <row r="19" spans="1:1">
      <c r="A19" t="str">
        <v>서우하우스</v>
      </c>
    </row>
    <row r="20" spans="1:1">
      <c r="A20" t="str">
        <v>제이에스하우스</v>
      </c>
    </row>
    <row r="21" spans="1:1">
      <c r="A21" t="str">
        <v>우진빌딩</v>
      </c>
    </row>
    <row r="22" spans="1:1">
      <c r="A22" t="str">
        <v>우영빌딩</v>
      </c>
    </row>
    <row r="23" spans="1:1">
      <c r="A23" t="str">
        <v>대치칼텍빌딩</v>
      </c>
    </row>
    <row r="24" spans="1:1">
      <c r="A24" t="str">
        <v>서연빌</v>
      </c>
    </row>
    <row r="25" spans="1:1">
      <c r="A25" t="str">
        <v>더힐하우스101동</v>
      </c>
    </row>
    <row r="26" spans="1:1">
      <c r="A26" t="str">
        <v>더힐하우스102동</v>
      </c>
    </row>
    <row r="27" spans="1:1">
      <c r="A27" t="str">
        <v>더힐하우스103동</v>
      </c>
    </row>
    <row r="28" spans="1:1">
      <c r="A28" t="str">
        <v>더힐하우스104동</v>
      </c>
    </row>
    <row r="29" spans="1:1">
      <c r="A29" t="str">
        <v>신림프리미어</v>
      </c>
    </row>
    <row r="30" spans="1:1">
      <c r="A30" t="str">
        <v>메종빌</v>
      </c>
    </row>
    <row r="31" spans="1:1">
      <c r="A31" t="str">
        <v>문화빌딩</v>
      </c>
    </row>
    <row r="32" spans="1:1">
      <c r="A32" t="str">
        <v>어반그레이</v>
      </c>
    </row>
    <row r="33" spans="1:1">
      <c r="A33" t="str">
        <v>집현전빌딩</v>
      </c>
    </row>
    <row r="34" spans="1:1">
      <c r="A34" t="str">
        <v>이례빌딩</v>
      </c>
    </row>
    <row r="35" spans="1:1">
      <c r="A35" t="str">
        <v>KMC코리아</v>
      </c>
    </row>
    <row r="36" spans="1:1">
      <c r="A36" t="str">
        <v>제이드하우스</v>
      </c>
    </row>
    <row r="37" spans="1:1">
      <c r="A37" t="str">
        <v>양지빌딩</v>
      </c>
    </row>
    <row r="38" spans="1:1">
      <c r="A38" t="str">
        <v>상건빌딩</v>
      </c>
    </row>
    <row r="39" spans="1:1">
      <c r="A39" t="str">
        <v>미진빌딩</v>
      </c>
    </row>
    <row r="40" spans="1:1">
      <c r="A40" t="str">
        <v>유석빌딩</v>
      </c>
    </row>
    <row r="41" spans="1:1">
      <c r="A41" t="str">
        <v>에이스빌딩</v>
      </c>
    </row>
    <row r="42" spans="1:1">
      <c r="A42" t="str">
        <v>평해빌딩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583A-DC77-433D-B007-14E955ACDD6F}">
  <sheetPr filterMode="1">
    <tabColor theme="7" tint="0.59999389629810485"/>
  </sheetPr>
  <dimension ref="A1:P1001"/>
  <sheetViews>
    <sheetView workbookViewId="0">
      <pane ySplit="3" topLeftCell="A109" activePane="bottomLeft" state="frozen"/>
      <selection pane="bottomLeft" activeCell="S136" sqref="S136"/>
    </sheetView>
  </sheetViews>
  <sheetFormatPr defaultColWidth="9" defaultRowHeight="20.100000000000001" customHeight="1"/>
  <cols>
    <col min="1" max="1" width="5.625" style="100" customWidth="1"/>
    <col min="2" max="2" width="12.625" style="252" customWidth="1"/>
    <col min="3" max="3" width="6.375" style="248" customWidth="1"/>
    <col min="4" max="4" width="1.5" style="259" hidden="1" customWidth="1"/>
    <col min="5" max="5" width="9" style="249"/>
    <col min="6" max="6" width="9" style="256"/>
    <col min="7" max="7" width="9" style="101"/>
    <col min="8" max="8" width="10.625" style="102" customWidth="1"/>
    <col min="9" max="10" width="10.625" style="103" customWidth="1"/>
    <col min="11" max="15" width="10.625" style="340" customWidth="1"/>
    <col min="16" max="16" width="10.625" style="102" customWidth="1"/>
    <col min="17" max="16384" width="9" style="1"/>
  </cols>
  <sheetData>
    <row r="1" spans="1:16" ht="20.100000000000001" customHeight="1">
      <c r="A1" s="1"/>
      <c r="B1" s="1"/>
      <c r="C1" s="1"/>
      <c r="D1" s="371"/>
      <c r="E1" s="1"/>
      <c r="F1" s="1"/>
      <c r="G1" s="1"/>
      <c r="H1" s="4"/>
      <c r="I1" s="4"/>
      <c r="J1" s="4"/>
      <c r="K1" s="342"/>
      <c r="L1" s="342"/>
      <c r="M1" s="342"/>
      <c r="N1" s="342"/>
      <c r="O1" s="342"/>
      <c r="P1" s="4"/>
    </row>
    <row r="2" spans="1:16" ht="35.1" customHeight="1">
      <c r="A2" s="97" t="s">
        <v>2526</v>
      </c>
      <c r="B2" s="250" t="s">
        <v>2527</v>
      </c>
      <c r="C2" s="245" t="s">
        <v>1</v>
      </c>
      <c r="D2" s="257" t="s">
        <v>2528</v>
      </c>
      <c r="E2" s="246" t="s">
        <v>2529</v>
      </c>
      <c r="F2" s="253" t="s">
        <v>2530</v>
      </c>
      <c r="G2" s="98" t="s">
        <v>2531</v>
      </c>
      <c r="H2" s="233" t="s">
        <v>2532</v>
      </c>
      <c r="I2" s="99" t="s">
        <v>8</v>
      </c>
      <c r="J2" s="99" t="s">
        <v>9</v>
      </c>
      <c r="K2" s="223" t="s">
        <v>2533</v>
      </c>
      <c r="L2" s="223" t="s">
        <v>2534</v>
      </c>
      <c r="M2" s="223" t="s">
        <v>14</v>
      </c>
      <c r="N2" s="223" t="s">
        <v>1977</v>
      </c>
      <c r="O2" s="223" t="s">
        <v>2535</v>
      </c>
      <c r="P2" s="233" t="s">
        <v>2536</v>
      </c>
    </row>
    <row r="3" spans="1:16" ht="15.75" customHeight="1">
      <c r="A3" s="224">
        <v>1</v>
      </c>
      <c r="B3" s="251">
        <v>2</v>
      </c>
      <c r="C3" s="247" t="s">
        <v>2537</v>
      </c>
      <c r="D3" s="258">
        <v>4</v>
      </c>
      <c r="E3" s="247">
        <v>5</v>
      </c>
      <c r="F3" s="254">
        <v>6</v>
      </c>
      <c r="G3" s="225">
        <v>7</v>
      </c>
      <c r="H3" s="224">
        <v>8</v>
      </c>
      <c r="I3" s="224">
        <v>9</v>
      </c>
      <c r="J3" s="224">
        <v>10</v>
      </c>
      <c r="K3" s="224">
        <v>11</v>
      </c>
      <c r="L3" s="224">
        <v>12</v>
      </c>
      <c r="M3" s="224">
        <v>13</v>
      </c>
      <c r="N3" s="224">
        <v>14</v>
      </c>
      <c r="O3" s="224">
        <v>15</v>
      </c>
      <c r="P3" s="224">
        <v>16</v>
      </c>
    </row>
    <row r="4" spans="1:16" ht="20.100000000000001" hidden="1" customHeight="1">
      <c r="A4" s="100">
        <v>1</v>
      </c>
      <c r="B4" s="252" t="s">
        <v>2022</v>
      </c>
      <c r="C4" s="248" t="s">
        <v>2538</v>
      </c>
      <c r="D4" s="259" t="str">
        <f t="shared" ref="D4:D56" si="0">_xlfn.CONCAT(B4,C4)</f>
        <v>에덴빌201</v>
      </c>
      <c r="E4" s="249">
        <v>45743</v>
      </c>
      <c r="F4" s="256">
        <v>2659</v>
      </c>
      <c r="G4" s="101">
        <v>4031</v>
      </c>
      <c r="H4" s="102" t="s">
        <v>2539</v>
      </c>
      <c r="I4" s="103">
        <v>43217</v>
      </c>
      <c r="J4" s="103">
        <v>43307</v>
      </c>
      <c r="K4" s="340">
        <v>900000</v>
      </c>
      <c r="L4" s="340">
        <v>900000</v>
      </c>
      <c r="M4" s="340">
        <v>60000</v>
      </c>
      <c r="N4" s="340">
        <v>100000</v>
      </c>
      <c r="O4" s="340">
        <v>150000</v>
      </c>
    </row>
    <row r="5" spans="1:16" ht="20.100000000000001" hidden="1" customHeight="1">
      <c r="A5" s="100">
        <v>2</v>
      </c>
      <c r="B5" s="252" t="s">
        <v>2030</v>
      </c>
      <c r="C5" s="248" t="s">
        <v>2540</v>
      </c>
      <c r="D5" s="260" t="str">
        <f t="shared" si="0"/>
        <v>토브미하우스203</v>
      </c>
      <c r="E5" s="249">
        <v>45914</v>
      </c>
      <c r="F5" s="255">
        <v>12718</v>
      </c>
      <c r="G5" s="226">
        <v>317</v>
      </c>
      <c r="H5" s="102" t="s">
        <v>2541</v>
      </c>
      <c r="I5" s="103">
        <v>45853</v>
      </c>
      <c r="J5" s="103">
        <v>45944</v>
      </c>
      <c r="K5" s="341">
        <v>1650000</v>
      </c>
      <c r="L5" s="341">
        <v>1650000</v>
      </c>
      <c r="M5" s="341">
        <v>100000</v>
      </c>
      <c r="N5" s="341">
        <v>200000</v>
      </c>
      <c r="O5" s="341">
        <v>200000</v>
      </c>
      <c r="P5" s="341"/>
    </row>
    <row r="6" spans="1:16" ht="20.100000000000001" hidden="1" customHeight="1">
      <c r="A6" s="100">
        <v>3</v>
      </c>
      <c r="B6" s="252" t="s">
        <v>1986</v>
      </c>
      <c r="C6" s="248" t="s">
        <v>2542</v>
      </c>
      <c r="D6" s="259" t="str">
        <f t="shared" si="0"/>
        <v>스타빌102</v>
      </c>
      <c r="E6" s="249">
        <v>45915</v>
      </c>
      <c r="F6" s="256">
        <v>1647</v>
      </c>
      <c r="G6" s="101">
        <v>1514</v>
      </c>
      <c r="H6" s="102" t="s">
        <v>2543</v>
      </c>
      <c r="I6" s="103">
        <v>45787</v>
      </c>
      <c r="J6" s="103">
        <v>45878</v>
      </c>
      <c r="K6" s="340">
        <v>600000</v>
      </c>
      <c r="L6" s="340">
        <v>600000</v>
      </c>
      <c r="M6" s="340">
        <v>80000</v>
      </c>
      <c r="N6" s="340">
        <v>100000</v>
      </c>
      <c r="O6" s="340">
        <v>100000</v>
      </c>
    </row>
    <row r="7" spans="1:16" ht="20.100000000000001" hidden="1" customHeight="1">
      <c r="A7" s="100">
        <v>4</v>
      </c>
      <c r="B7" s="252" t="s">
        <v>1968</v>
      </c>
      <c r="C7" s="248" t="s">
        <v>2544</v>
      </c>
      <c r="D7" s="259" t="str">
        <f t="shared" si="0"/>
        <v>다존하우스603</v>
      </c>
      <c r="E7" s="249">
        <v>45916</v>
      </c>
      <c r="F7" s="256">
        <v>9353</v>
      </c>
      <c r="G7" s="101">
        <v>347</v>
      </c>
      <c r="H7" s="102" t="s">
        <v>2545</v>
      </c>
      <c r="I7" s="103">
        <v>45368</v>
      </c>
      <c r="J7" s="103">
        <v>45459</v>
      </c>
      <c r="K7" s="340">
        <v>500000</v>
      </c>
      <c r="L7" s="340">
        <v>400000</v>
      </c>
      <c r="M7" s="340">
        <v>70000</v>
      </c>
      <c r="N7" s="340">
        <v>80000</v>
      </c>
      <c r="O7" s="340">
        <v>100000</v>
      </c>
    </row>
    <row r="8" spans="1:16" ht="20.100000000000001" hidden="1" customHeight="1">
      <c r="A8" s="100">
        <v>5</v>
      </c>
      <c r="B8" s="252" t="s">
        <v>2002</v>
      </c>
      <c r="C8" s="248" t="s">
        <v>2546</v>
      </c>
      <c r="D8" s="259" t="str">
        <f t="shared" si="0"/>
        <v>W하우스303</v>
      </c>
      <c r="E8" s="249">
        <v>45916</v>
      </c>
      <c r="F8" s="256">
        <v>1110</v>
      </c>
      <c r="G8" s="101">
        <v>1561</v>
      </c>
      <c r="H8" s="102" t="s">
        <v>2547</v>
      </c>
      <c r="I8" s="103">
        <v>45602</v>
      </c>
      <c r="J8" s="103">
        <v>45782</v>
      </c>
      <c r="K8" s="340">
        <v>1450000</v>
      </c>
      <c r="L8" s="340">
        <v>1450000</v>
      </c>
      <c r="M8" s="340">
        <v>80000</v>
      </c>
      <c r="N8" s="340">
        <v>180000</v>
      </c>
      <c r="O8" s="340">
        <v>200000</v>
      </c>
    </row>
    <row r="9" spans="1:16" ht="20.100000000000001" hidden="1" customHeight="1">
      <c r="A9" s="100">
        <v>6</v>
      </c>
      <c r="B9" s="252" t="s">
        <v>2002</v>
      </c>
      <c r="C9" s="248" t="s">
        <v>2548</v>
      </c>
      <c r="D9" s="259" t="str">
        <f t="shared" si="0"/>
        <v>W하우스403</v>
      </c>
      <c r="E9" s="249">
        <v>45916</v>
      </c>
      <c r="F9" s="256">
        <v>7188</v>
      </c>
      <c r="G9" s="101">
        <v>2006</v>
      </c>
      <c r="H9" s="102" t="s">
        <v>2549</v>
      </c>
      <c r="I9" s="103">
        <v>45794</v>
      </c>
      <c r="J9" s="103">
        <v>45885</v>
      </c>
      <c r="K9" s="340">
        <v>2300000</v>
      </c>
      <c r="L9" s="340">
        <v>2300000</v>
      </c>
      <c r="M9" s="340">
        <v>150000</v>
      </c>
      <c r="N9" s="340">
        <v>200000</v>
      </c>
      <c r="O9" s="340">
        <v>250000</v>
      </c>
    </row>
    <row r="10" spans="1:16" ht="20.100000000000001" hidden="1" customHeight="1">
      <c r="A10" s="100">
        <v>7</v>
      </c>
      <c r="B10" s="252" t="s">
        <v>1986</v>
      </c>
      <c r="C10" s="248" t="s">
        <v>2548</v>
      </c>
      <c r="D10" s="259" t="str">
        <f t="shared" si="0"/>
        <v>스타빌403</v>
      </c>
      <c r="E10" s="249">
        <v>45917</v>
      </c>
      <c r="F10" s="256">
        <v>2142</v>
      </c>
      <c r="G10" s="101">
        <v>988</v>
      </c>
      <c r="H10" s="102" t="s">
        <v>2550</v>
      </c>
      <c r="I10" s="103">
        <v>45765</v>
      </c>
      <c r="J10" s="103">
        <v>45855</v>
      </c>
      <c r="K10" s="340">
        <v>700000</v>
      </c>
      <c r="L10" s="340">
        <v>700000</v>
      </c>
      <c r="M10" s="340">
        <v>80000</v>
      </c>
      <c r="N10" s="340">
        <v>100000</v>
      </c>
      <c r="O10" s="340">
        <v>100000</v>
      </c>
    </row>
    <row r="11" spans="1:16" ht="20.100000000000001" hidden="1" customHeight="1">
      <c r="A11" s="100">
        <v>8</v>
      </c>
      <c r="B11" s="252" t="s">
        <v>2015</v>
      </c>
      <c r="C11" s="248" t="s">
        <v>2551</v>
      </c>
      <c r="D11" s="259" t="str">
        <f t="shared" si="0"/>
        <v>와이원빈티지402</v>
      </c>
      <c r="E11" s="249">
        <v>45918</v>
      </c>
      <c r="F11" s="256">
        <v>554</v>
      </c>
      <c r="G11" s="101">
        <v>1112</v>
      </c>
      <c r="H11" s="102" t="s">
        <v>2552</v>
      </c>
      <c r="I11" s="103">
        <v>43618</v>
      </c>
      <c r="J11" s="103">
        <v>43709</v>
      </c>
      <c r="K11" s="340">
        <v>1300000</v>
      </c>
      <c r="L11" s="340">
        <v>1300000</v>
      </c>
      <c r="M11" s="340">
        <v>80000</v>
      </c>
      <c r="N11" s="340">
        <v>150000</v>
      </c>
      <c r="O11" s="340">
        <v>200000</v>
      </c>
    </row>
    <row r="12" spans="1:16" ht="20.100000000000001" hidden="1" customHeight="1">
      <c r="A12" s="100">
        <v>9</v>
      </c>
      <c r="B12" s="252" t="s">
        <v>2030</v>
      </c>
      <c r="C12" s="248" t="s">
        <v>2553</v>
      </c>
      <c r="D12" s="259" t="str">
        <f t="shared" si="0"/>
        <v>토브미하우스302</v>
      </c>
      <c r="E12" s="249">
        <v>45919</v>
      </c>
      <c r="F12" s="256">
        <v>12667</v>
      </c>
      <c r="G12" s="101">
        <v>377</v>
      </c>
      <c r="H12" s="102" t="s">
        <v>2554</v>
      </c>
      <c r="I12" s="103">
        <v>45738</v>
      </c>
      <c r="J12" s="103">
        <v>45829</v>
      </c>
      <c r="K12" s="340">
        <v>1700000</v>
      </c>
      <c r="L12" s="340">
        <v>1700000</v>
      </c>
      <c r="M12" s="340">
        <v>100000</v>
      </c>
      <c r="N12" s="340">
        <v>200000</v>
      </c>
      <c r="O12" s="340">
        <v>200000</v>
      </c>
    </row>
    <row r="13" spans="1:16" ht="20.100000000000001" hidden="1" customHeight="1">
      <c r="A13" s="100">
        <v>10</v>
      </c>
      <c r="B13" s="252" t="s">
        <v>2043</v>
      </c>
      <c r="C13" s="248" t="s">
        <v>2555</v>
      </c>
      <c r="D13" s="259" t="str">
        <f t="shared" si="0"/>
        <v>신림프리미어1003</v>
      </c>
      <c r="E13" s="249">
        <v>45923</v>
      </c>
      <c r="F13" s="256">
        <v>7504</v>
      </c>
      <c r="G13" s="101">
        <v>4</v>
      </c>
      <c r="H13" s="102" t="s">
        <v>2556</v>
      </c>
      <c r="I13" s="103">
        <v>44736</v>
      </c>
      <c r="J13" s="103">
        <v>45466</v>
      </c>
      <c r="K13" s="340">
        <v>110000000</v>
      </c>
      <c r="L13" s="340">
        <v>420000</v>
      </c>
      <c r="M13" s="340">
        <v>70000</v>
      </c>
      <c r="N13" s="340">
        <v>100000</v>
      </c>
      <c r="O13" s="340">
        <v>150000</v>
      </c>
    </row>
    <row r="14" spans="1:16" ht="20.100000000000001" hidden="1" customHeight="1">
      <c r="A14" s="100">
        <v>11</v>
      </c>
      <c r="B14" s="252" t="s">
        <v>1986</v>
      </c>
      <c r="C14" s="248" t="s">
        <v>2551</v>
      </c>
      <c r="D14" s="259" t="str">
        <f t="shared" si="0"/>
        <v>스타빌402</v>
      </c>
      <c r="E14" s="249">
        <v>45925</v>
      </c>
      <c r="F14" s="256">
        <v>2607</v>
      </c>
      <c r="G14" s="101">
        <v>1109</v>
      </c>
      <c r="H14" s="102" t="s">
        <v>2557</v>
      </c>
      <c r="I14" s="103">
        <v>45709</v>
      </c>
      <c r="J14" s="103">
        <v>45797</v>
      </c>
      <c r="K14" s="340">
        <v>750000</v>
      </c>
      <c r="L14" s="340">
        <v>750000</v>
      </c>
      <c r="M14" s="340">
        <v>80000</v>
      </c>
      <c r="N14" s="340">
        <v>100000</v>
      </c>
      <c r="O14" s="340">
        <v>100000</v>
      </c>
    </row>
    <row r="15" spans="1:16" ht="20.100000000000001" hidden="1" customHeight="1">
      <c r="A15" s="100">
        <v>12</v>
      </c>
      <c r="B15" s="252" t="s">
        <v>2015</v>
      </c>
      <c r="C15" s="248" t="s">
        <v>2553</v>
      </c>
      <c r="D15" s="259" t="str">
        <f t="shared" si="0"/>
        <v>와이원빈티지302</v>
      </c>
      <c r="E15" s="249">
        <v>45925</v>
      </c>
      <c r="F15" s="256">
        <v>905</v>
      </c>
      <c r="G15" s="101">
        <v>491</v>
      </c>
      <c r="H15" s="102" t="s">
        <v>2558</v>
      </c>
      <c r="I15" s="103">
        <v>45803</v>
      </c>
      <c r="J15" s="103">
        <v>45894</v>
      </c>
      <c r="K15" s="340">
        <v>900000</v>
      </c>
      <c r="L15" s="340">
        <v>900000</v>
      </c>
      <c r="M15" s="340">
        <v>80000</v>
      </c>
      <c r="N15" s="340">
        <v>180000</v>
      </c>
      <c r="O15" s="340">
        <v>150000</v>
      </c>
    </row>
    <row r="16" spans="1:16" ht="20.100000000000001" hidden="1" customHeight="1">
      <c r="A16" s="100">
        <v>13</v>
      </c>
      <c r="B16" s="252" t="s">
        <v>1968</v>
      </c>
      <c r="C16" s="248" t="s">
        <v>2559</v>
      </c>
      <c r="D16" s="259" t="str">
        <f t="shared" si="0"/>
        <v>다존하우스206</v>
      </c>
      <c r="E16" s="249">
        <v>45927</v>
      </c>
      <c r="F16" s="256">
        <v>8725</v>
      </c>
      <c r="G16" s="101">
        <v>640</v>
      </c>
      <c r="H16" s="102" t="s">
        <v>2560</v>
      </c>
      <c r="I16" s="103">
        <v>45730</v>
      </c>
      <c r="J16" s="103">
        <v>45882</v>
      </c>
      <c r="K16" s="340">
        <v>500000</v>
      </c>
      <c r="L16" s="340">
        <v>400000</v>
      </c>
      <c r="M16" s="340">
        <v>70000</v>
      </c>
      <c r="N16" s="340">
        <v>80000</v>
      </c>
      <c r="O16" s="340">
        <v>100000</v>
      </c>
    </row>
    <row r="17" spans="1:15" ht="20.100000000000001" hidden="1" customHeight="1">
      <c r="A17" s="100">
        <v>14</v>
      </c>
      <c r="B17" s="252" t="s">
        <v>2002</v>
      </c>
      <c r="C17" s="248" t="s">
        <v>2553</v>
      </c>
      <c r="D17" s="259" t="str">
        <f t="shared" si="0"/>
        <v>W하우스302</v>
      </c>
      <c r="E17" s="249">
        <v>45929</v>
      </c>
      <c r="F17" s="256">
        <v>570</v>
      </c>
      <c r="G17" s="101">
        <v>2003</v>
      </c>
      <c r="H17" s="102" t="s">
        <v>2561</v>
      </c>
      <c r="I17" s="103">
        <v>45720</v>
      </c>
      <c r="J17" s="103">
        <v>45811</v>
      </c>
      <c r="K17" s="340">
        <v>1350000</v>
      </c>
      <c r="L17" s="340">
        <v>1350000</v>
      </c>
      <c r="M17" s="340">
        <v>80000</v>
      </c>
      <c r="N17" s="340">
        <v>180000</v>
      </c>
      <c r="O17" s="340">
        <v>150000</v>
      </c>
    </row>
    <row r="18" spans="1:15" ht="20.100000000000001" hidden="1" customHeight="1">
      <c r="A18" s="100">
        <v>15</v>
      </c>
      <c r="B18" s="252" t="s">
        <v>2562</v>
      </c>
      <c r="C18" s="248" t="s">
        <v>2563</v>
      </c>
      <c r="D18" s="259" t="str">
        <f t="shared" si="0"/>
        <v>대치칼텍빌딩3층</v>
      </c>
      <c r="E18" s="249">
        <v>45929</v>
      </c>
      <c r="I18" s="103">
        <v>45250</v>
      </c>
      <c r="J18" s="103">
        <v>45980</v>
      </c>
      <c r="K18" s="340">
        <v>50000000</v>
      </c>
      <c r="L18" s="340">
        <v>4200000</v>
      </c>
      <c r="M18" s="340">
        <v>420000</v>
      </c>
    </row>
    <row r="19" spans="1:15" ht="20.100000000000001" hidden="1" customHeight="1">
      <c r="A19" s="100">
        <v>16</v>
      </c>
      <c r="B19" s="252" t="s">
        <v>2002</v>
      </c>
      <c r="C19" s="248" t="s">
        <v>2564</v>
      </c>
      <c r="D19" s="259" t="str">
        <f t="shared" si="0"/>
        <v>W하우스304</v>
      </c>
      <c r="E19" s="249">
        <v>45930</v>
      </c>
      <c r="F19" s="256">
        <v>990</v>
      </c>
      <c r="G19" s="101">
        <v>2371</v>
      </c>
      <c r="H19" s="102" t="s">
        <v>2565</v>
      </c>
      <c r="I19" s="103">
        <v>45778</v>
      </c>
      <c r="J19" s="103">
        <v>45869</v>
      </c>
      <c r="K19" s="340">
        <v>1300000</v>
      </c>
      <c r="L19" s="340">
        <v>1300000</v>
      </c>
      <c r="M19" s="340">
        <v>80000</v>
      </c>
      <c r="N19" s="340">
        <v>180000</v>
      </c>
      <c r="O19" s="340">
        <v>150000</v>
      </c>
    </row>
    <row r="20" spans="1:15" ht="20.100000000000001" hidden="1" customHeight="1">
      <c r="A20" s="100">
        <v>17</v>
      </c>
      <c r="B20" s="252" t="s">
        <v>2006</v>
      </c>
      <c r="C20" s="248" t="s">
        <v>2566</v>
      </c>
      <c r="D20" s="259" t="str">
        <f t="shared" si="0"/>
        <v>모던하우스401</v>
      </c>
      <c r="E20" s="249">
        <v>45930</v>
      </c>
      <c r="F20" s="256">
        <v>2703</v>
      </c>
      <c r="G20" s="101">
        <v>14</v>
      </c>
      <c r="H20" s="102" t="s">
        <v>2567</v>
      </c>
      <c r="I20" s="103">
        <v>45444</v>
      </c>
      <c r="J20" s="103">
        <v>45565</v>
      </c>
      <c r="K20" s="340">
        <v>1200000</v>
      </c>
      <c r="L20" s="340">
        <v>1200000</v>
      </c>
      <c r="M20" s="340">
        <v>80000</v>
      </c>
      <c r="N20" s="340">
        <v>150000</v>
      </c>
      <c r="O20" s="340">
        <v>150000</v>
      </c>
    </row>
    <row r="21" spans="1:15" ht="20.100000000000001" hidden="1" customHeight="1">
      <c r="A21" s="100">
        <v>18</v>
      </c>
      <c r="B21" s="252" t="s">
        <v>1996</v>
      </c>
      <c r="C21" s="248" t="s">
        <v>2568</v>
      </c>
      <c r="D21" s="259" t="str">
        <f t="shared" si="0"/>
        <v>미래홈404</v>
      </c>
      <c r="E21" s="249">
        <v>45931</v>
      </c>
      <c r="F21" s="256">
        <v>1211</v>
      </c>
      <c r="G21" s="101">
        <v>756</v>
      </c>
      <c r="H21" s="102" t="s">
        <v>2569</v>
      </c>
      <c r="I21" s="103">
        <v>45503</v>
      </c>
      <c r="J21" s="103">
        <v>45594</v>
      </c>
      <c r="K21" s="340">
        <v>700000</v>
      </c>
      <c r="L21" s="340">
        <v>500000</v>
      </c>
      <c r="M21" s="340">
        <v>70000</v>
      </c>
      <c r="N21" s="340">
        <v>80000</v>
      </c>
      <c r="O21" s="340">
        <v>110000</v>
      </c>
    </row>
    <row r="22" spans="1:15" ht="20.100000000000001" hidden="1" customHeight="1">
      <c r="A22" s="100">
        <v>19</v>
      </c>
      <c r="B22" s="252" t="s">
        <v>2030</v>
      </c>
      <c r="C22" s="248" t="s">
        <v>2570</v>
      </c>
      <c r="D22" s="259" t="str">
        <f t="shared" si="0"/>
        <v>토브미하우스601</v>
      </c>
      <c r="E22" s="249">
        <v>45932</v>
      </c>
      <c r="F22" s="256">
        <v>19434</v>
      </c>
      <c r="G22" s="101">
        <v>0</v>
      </c>
      <c r="H22" s="102" t="s">
        <v>2571</v>
      </c>
      <c r="I22" s="103">
        <v>45682</v>
      </c>
      <c r="J22" s="103">
        <v>45771</v>
      </c>
      <c r="K22" s="340">
        <v>1200000</v>
      </c>
      <c r="L22" s="340">
        <v>1050000</v>
      </c>
      <c r="M22" s="340">
        <v>90000</v>
      </c>
      <c r="N22" s="340">
        <v>180000</v>
      </c>
      <c r="O22" s="340">
        <v>150000</v>
      </c>
    </row>
    <row r="23" spans="1:15" ht="20.100000000000001" hidden="1" customHeight="1">
      <c r="A23" s="100">
        <v>20</v>
      </c>
      <c r="B23" s="252" t="s">
        <v>2006</v>
      </c>
      <c r="C23" s="248" t="s">
        <v>2572</v>
      </c>
      <c r="D23" s="259" t="str">
        <f t="shared" si="0"/>
        <v>모던하우스504</v>
      </c>
      <c r="E23" s="249">
        <v>45933</v>
      </c>
      <c r="F23" s="256">
        <v>9978</v>
      </c>
      <c r="G23" s="101">
        <v>535</v>
      </c>
      <c r="H23" s="102" t="s">
        <v>2573</v>
      </c>
      <c r="I23" s="103">
        <v>44998</v>
      </c>
      <c r="J23" s="103">
        <v>45089</v>
      </c>
      <c r="K23" s="340">
        <v>2500000</v>
      </c>
      <c r="L23" s="340">
        <v>2200000</v>
      </c>
      <c r="M23" s="340">
        <v>150000</v>
      </c>
      <c r="N23" s="340">
        <v>250000</v>
      </c>
      <c r="O23" s="340">
        <v>250000</v>
      </c>
    </row>
    <row r="24" spans="1:15" ht="20.100000000000001" hidden="1" customHeight="1">
      <c r="A24" s="100">
        <v>21</v>
      </c>
      <c r="B24" s="252" t="s">
        <v>1996</v>
      </c>
      <c r="C24" s="248" t="s">
        <v>2548</v>
      </c>
      <c r="D24" s="259" t="str">
        <f t="shared" si="0"/>
        <v>미래홈403</v>
      </c>
      <c r="E24" s="249">
        <v>45933</v>
      </c>
      <c r="F24" s="256">
        <v>906</v>
      </c>
      <c r="G24" s="101">
        <v>569</v>
      </c>
      <c r="H24" s="102" t="s">
        <v>2574</v>
      </c>
      <c r="I24" s="103">
        <v>45546</v>
      </c>
      <c r="J24" s="103">
        <v>45726</v>
      </c>
      <c r="K24" s="340">
        <v>700000</v>
      </c>
      <c r="L24" s="340">
        <v>500000</v>
      </c>
      <c r="M24" s="340">
        <v>70000</v>
      </c>
      <c r="N24" s="340">
        <v>80000</v>
      </c>
      <c r="O24" s="340">
        <v>165000</v>
      </c>
    </row>
    <row r="25" spans="1:15" ht="20.100000000000001" hidden="1" customHeight="1">
      <c r="A25" s="100">
        <v>22</v>
      </c>
      <c r="B25" s="252" t="s">
        <v>1986</v>
      </c>
      <c r="C25" s="248" t="s">
        <v>2546</v>
      </c>
      <c r="D25" s="259" t="str">
        <f t="shared" si="0"/>
        <v>스타빌303</v>
      </c>
      <c r="E25" s="249">
        <v>45933</v>
      </c>
      <c r="F25" s="256">
        <v>1819</v>
      </c>
      <c r="G25" s="101">
        <v>964</v>
      </c>
      <c r="H25" s="102" t="s">
        <v>2575</v>
      </c>
      <c r="I25" s="103">
        <v>45881</v>
      </c>
      <c r="J25" s="103">
        <v>45972</v>
      </c>
      <c r="K25" s="340">
        <v>750000</v>
      </c>
      <c r="L25" s="340">
        <v>750000</v>
      </c>
      <c r="M25" s="340">
        <v>80000</v>
      </c>
      <c r="N25" s="340">
        <v>100000</v>
      </c>
      <c r="O25" s="340">
        <v>100000</v>
      </c>
    </row>
    <row r="26" spans="1:15" ht="20.100000000000001" hidden="1" customHeight="1">
      <c r="A26" s="100">
        <v>23</v>
      </c>
      <c r="B26" s="252" t="s">
        <v>2015</v>
      </c>
      <c r="C26" s="248" t="s">
        <v>2546</v>
      </c>
      <c r="D26" s="259" t="str">
        <f t="shared" si="0"/>
        <v>와이원빈티지303</v>
      </c>
      <c r="E26" s="249">
        <v>45934</v>
      </c>
      <c r="F26" s="256">
        <v>1038</v>
      </c>
      <c r="G26" s="101">
        <v>780</v>
      </c>
      <c r="H26" s="102" t="s">
        <v>2576</v>
      </c>
      <c r="I26" s="103">
        <v>45778</v>
      </c>
      <c r="J26" s="103">
        <v>45869</v>
      </c>
      <c r="K26" s="340">
        <v>950000</v>
      </c>
      <c r="L26" s="340">
        <v>950000</v>
      </c>
      <c r="M26" s="340">
        <v>80000</v>
      </c>
      <c r="N26" s="340">
        <v>180000</v>
      </c>
      <c r="O26" s="340">
        <v>150000</v>
      </c>
    </row>
    <row r="27" spans="1:15" ht="20.100000000000001" hidden="1" customHeight="1">
      <c r="A27" s="100">
        <v>24</v>
      </c>
      <c r="B27" s="252" t="s">
        <v>2022</v>
      </c>
      <c r="C27" s="248" t="s">
        <v>2546</v>
      </c>
      <c r="D27" s="259" t="str">
        <f t="shared" si="0"/>
        <v>에덴빌303</v>
      </c>
      <c r="E27" s="249">
        <v>45935</v>
      </c>
      <c r="F27" s="256">
        <v>4364</v>
      </c>
      <c r="G27" s="101">
        <v>1389</v>
      </c>
      <c r="H27" s="102" t="s">
        <v>2577</v>
      </c>
      <c r="I27" s="103">
        <v>45880</v>
      </c>
      <c r="J27" s="103">
        <v>45971</v>
      </c>
      <c r="K27" s="340">
        <v>950000</v>
      </c>
      <c r="L27" s="340">
        <v>950000</v>
      </c>
      <c r="M27" s="340">
        <v>80000</v>
      </c>
      <c r="N27" s="340">
        <v>180000</v>
      </c>
      <c r="O27" s="340">
        <v>150000</v>
      </c>
    </row>
    <row r="28" spans="1:15" ht="20.100000000000001" hidden="1" customHeight="1">
      <c r="A28" s="100">
        <v>25</v>
      </c>
      <c r="B28" s="252" t="s">
        <v>1986</v>
      </c>
      <c r="C28" s="248" t="s">
        <v>2578</v>
      </c>
      <c r="D28" s="259" t="str">
        <f t="shared" si="0"/>
        <v>스타빌301</v>
      </c>
      <c r="E28" s="249">
        <v>45937</v>
      </c>
      <c r="F28" s="256">
        <v>1456</v>
      </c>
      <c r="G28" s="101">
        <v>560</v>
      </c>
      <c r="H28" s="102" t="s">
        <v>2579</v>
      </c>
      <c r="I28" s="103">
        <v>45846</v>
      </c>
      <c r="J28" s="103">
        <v>45907</v>
      </c>
      <c r="K28" s="340">
        <v>700000</v>
      </c>
      <c r="L28" s="340">
        <v>700000</v>
      </c>
      <c r="M28" s="340">
        <v>80000</v>
      </c>
      <c r="N28" s="340">
        <v>100000</v>
      </c>
      <c r="O28" s="340">
        <v>100000</v>
      </c>
    </row>
    <row r="29" spans="1:15" ht="20.100000000000001" hidden="1" customHeight="1">
      <c r="A29" s="100">
        <v>26</v>
      </c>
      <c r="B29" s="252" t="s">
        <v>1996</v>
      </c>
      <c r="C29" s="248" t="s">
        <v>2580</v>
      </c>
      <c r="D29" s="259" t="str">
        <f t="shared" si="0"/>
        <v>미래홈103</v>
      </c>
      <c r="E29" s="249">
        <v>45941</v>
      </c>
      <c r="F29" s="256">
        <v>866</v>
      </c>
      <c r="G29" s="101">
        <v>689</v>
      </c>
      <c r="H29" s="102" t="s">
        <v>2581</v>
      </c>
      <c r="I29" s="103">
        <v>45850</v>
      </c>
      <c r="J29" s="103">
        <v>45941</v>
      </c>
      <c r="K29" s="340">
        <v>500000</v>
      </c>
      <c r="L29" s="340">
        <v>350000</v>
      </c>
      <c r="M29" s="340">
        <v>70000</v>
      </c>
      <c r="N29" s="340">
        <v>80000</v>
      </c>
      <c r="O29" s="340">
        <v>110000</v>
      </c>
    </row>
    <row r="30" spans="1:15" ht="20.100000000000001" hidden="1" customHeight="1">
      <c r="A30" s="100">
        <v>27</v>
      </c>
      <c r="B30" s="252" t="s">
        <v>1968</v>
      </c>
      <c r="C30" s="248" t="s">
        <v>2582</v>
      </c>
      <c r="D30" s="259" t="str">
        <f t="shared" si="0"/>
        <v>다존하우스602</v>
      </c>
      <c r="E30" s="249">
        <v>45944</v>
      </c>
      <c r="F30" s="256">
        <v>8845</v>
      </c>
      <c r="G30" s="101">
        <v>1077</v>
      </c>
      <c r="H30" s="102" t="s">
        <v>2583</v>
      </c>
      <c r="I30" s="103">
        <v>45853</v>
      </c>
      <c r="J30" s="103">
        <v>45944</v>
      </c>
      <c r="K30" s="340">
        <v>500000</v>
      </c>
      <c r="L30" s="340">
        <v>400000</v>
      </c>
      <c r="M30" s="340">
        <v>70000</v>
      </c>
      <c r="N30" s="340">
        <v>80000</v>
      </c>
      <c r="O30" s="340">
        <v>100000</v>
      </c>
    </row>
    <row r="31" spans="1:15" ht="20.100000000000001" hidden="1" customHeight="1">
      <c r="A31" s="100">
        <v>28</v>
      </c>
      <c r="B31" s="252" t="s">
        <v>1968</v>
      </c>
      <c r="C31" s="248" t="s">
        <v>2584</v>
      </c>
      <c r="D31" s="259" t="str">
        <f t="shared" si="0"/>
        <v>다존하우스605</v>
      </c>
      <c r="E31" s="249">
        <v>45944</v>
      </c>
      <c r="F31" s="256">
        <v>9756</v>
      </c>
      <c r="G31" s="101">
        <v>1168</v>
      </c>
      <c r="H31" s="102" t="s">
        <v>2585</v>
      </c>
      <c r="I31" s="103">
        <v>45849</v>
      </c>
      <c r="J31" s="103">
        <v>45940</v>
      </c>
      <c r="K31" s="340">
        <v>500000</v>
      </c>
      <c r="L31" s="340">
        <v>400000</v>
      </c>
      <c r="M31" s="340">
        <v>70000</v>
      </c>
      <c r="N31" s="340">
        <v>80000</v>
      </c>
      <c r="O31" s="340">
        <v>100000</v>
      </c>
    </row>
    <row r="32" spans="1:15" ht="20.100000000000001" hidden="1" customHeight="1">
      <c r="A32" s="100">
        <v>29</v>
      </c>
      <c r="B32" s="252" t="s">
        <v>2006</v>
      </c>
      <c r="C32" s="248" t="s">
        <v>2553</v>
      </c>
      <c r="D32" s="259" t="str">
        <f t="shared" si="0"/>
        <v>모던하우스302</v>
      </c>
      <c r="E32" s="249">
        <v>45944</v>
      </c>
      <c r="F32" s="256">
        <v>2753</v>
      </c>
      <c r="G32" s="101">
        <v>1262</v>
      </c>
      <c r="H32" s="102" t="s">
        <v>2586</v>
      </c>
      <c r="I32" s="103">
        <v>45853</v>
      </c>
      <c r="J32" s="103">
        <v>45944</v>
      </c>
      <c r="K32" s="340">
        <v>1200000</v>
      </c>
      <c r="L32" s="340">
        <v>1200000</v>
      </c>
      <c r="M32" s="340">
        <v>100000</v>
      </c>
      <c r="N32" s="340">
        <v>180000</v>
      </c>
      <c r="O32" s="340">
        <v>150000</v>
      </c>
    </row>
    <row r="33" spans="1:15" ht="20.100000000000001" hidden="1" customHeight="1">
      <c r="A33" s="100">
        <v>30</v>
      </c>
      <c r="B33" s="252" t="s">
        <v>1968</v>
      </c>
      <c r="C33" s="248" t="s">
        <v>2553</v>
      </c>
      <c r="D33" s="259" t="str">
        <f t="shared" si="0"/>
        <v>다존하우스302</v>
      </c>
      <c r="E33" s="249">
        <v>45944</v>
      </c>
      <c r="F33" s="256">
        <v>10390</v>
      </c>
      <c r="G33" s="101">
        <v>895</v>
      </c>
      <c r="H33" s="102" t="s">
        <v>1509</v>
      </c>
      <c r="I33" s="103">
        <v>45824</v>
      </c>
      <c r="J33" s="103">
        <v>45915</v>
      </c>
      <c r="K33" s="340">
        <v>500000</v>
      </c>
      <c r="L33" s="340">
        <v>400000</v>
      </c>
      <c r="M33" s="340">
        <v>70000</v>
      </c>
      <c r="N33" s="340">
        <v>80000</v>
      </c>
      <c r="O33" s="340">
        <v>100000</v>
      </c>
    </row>
    <row r="34" spans="1:15" ht="20.100000000000001" hidden="1" customHeight="1">
      <c r="A34" s="100">
        <v>31</v>
      </c>
      <c r="B34" s="252" t="s">
        <v>2012</v>
      </c>
      <c r="C34" s="248" t="s">
        <v>2587</v>
      </c>
      <c r="D34" s="259" t="str">
        <f t="shared" si="0"/>
        <v>리트코하우스704</v>
      </c>
      <c r="E34" s="249">
        <v>45945</v>
      </c>
      <c r="F34" s="256">
        <v>16587</v>
      </c>
      <c r="G34" s="101">
        <v>41</v>
      </c>
      <c r="H34" s="102" t="s">
        <v>2588</v>
      </c>
      <c r="I34" s="103">
        <v>45885</v>
      </c>
      <c r="J34" s="103">
        <v>46068</v>
      </c>
      <c r="K34" s="340">
        <v>1850000</v>
      </c>
      <c r="L34" s="340">
        <v>1850000</v>
      </c>
      <c r="M34" s="340">
        <v>120000</v>
      </c>
      <c r="N34" s="340">
        <v>200000</v>
      </c>
      <c r="O34" s="340">
        <v>275000</v>
      </c>
    </row>
    <row r="35" spans="1:15" ht="20.100000000000001" hidden="1" customHeight="1">
      <c r="A35" s="100">
        <v>32</v>
      </c>
      <c r="B35" s="252" t="s">
        <v>2030</v>
      </c>
      <c r="C35" s="248" t="s">
        <v>2578</v>
      </c>
      <c r="D35" s="259" t="str">
        <f t="shared" si="0"/>
        <v>토브미하우스301</v>
      </c>
      <c r="E35" s="249">
        <v>45948</v>
      </c>
      <c r="F35" s="256">
        <v>16386</v>
      </c>
      <c r="G35" s="101">
        <v>2040</v>
      </c>
      <c r="H35" s="102" t="s">
        <v>2589</v>
      </c>
      <c r="I35" s="103">
        <v>45798</v>
      </c>
      <c r="J35" s="103">
        <v>45889</v>
      </c>
      <c r="K35" s="340">
        <v>1700000</v>
      </c>
      <c r="L35" s="340">
        <v>1700000</v>
      </c>
      <c r="M35" s="340">
        <v>100000</v>
      </c>
      <c r="N35" s="340">
        <v>200000</v>
      </c>
      <c r="O35" s="340">
        <v>200000</v>
      </c>
    </row>
    <row r="36" spans="1:15" ht="20.100000000000001" hidden="1" customHeight="1">
      <c r="A36" s="100">
        <v>33</v>
      </c>
      <c r="B36" s="252" t="s">
        <v>1968</v>
      </c>
      <c r="C36" s="248" t="s">
        <v>2570</v>
      </c>
      <c r="D36" s="259" t="str">
        <f t="shared" si="0"/>
        <v>다존하우스601</v>
      </c>
      <c r="E36" s="249">
        <v>45949</v>
      </c>
      <c r="F36" s="256">
        <v>11540</v>
      </c>
      <c r="G36" s="101">
        <v>1399</v>
      </c>
      <c r="H36" s="102" t="s">
        <v>2590</v>
      </c>
      <c r="I36" s="103">
        <v>45768</v>
      </c>
      <c r="J36" s="103">
        <v>45920</v>
      </c>
      <c r="K36" s="340">
        <v>500000</v>
      </c>
      <c r="L36" s="340">
        <v>400000</v>
      </c>
      <c r="M36" s="340">
        <v>70000</v>
      </c>
      <c r="N36" s="340">
        <v>80000</v>
      </c>
      <c r="O36" s="340">
        <v>100000</v>
      </c>
    </row>
    <row r="37" spans="1:15" ht="20.100000000000001" hidden="1" customHeight="1">
      <c r="A37" s="100">
        <v>34</v>
      </c>
      <c r="B37" s="252" t="s">
        <v>2015</v>
      </c>
      <c r="C37" s="248" t="s">
        <v>2591</v>
      </c>
      <c r="D37" s="259" t="str">
        <f t="shared" si="0"/>
        <v>와이원빈티지204</v>
      </c>
      <c r="E37" s="249">
        <v>45950</v>
      </c>
      <c r="F37" s="256">
        <v>1010</v>
      </c>
      <c r="G37" s="101">
        <v>1440</v>
      </c>
      <c r="H37" s="102" t="s">
        <v>2592</v>
      </c>
      <c r="I37" s="103">
        <v>45859</v>
      </c>
      <c r="J37" s="103">
        <v>45950</v>
      </c>
      <c r="K37" s="340">
        <v>1100000</v>
      </c>
      <c r="L37" s="340">
        <v>1000000</v>
      </c>
      <c r="M37" s="340">
        <v>80000</v>
      </c>
      <c r="N37" s="340">
        <v>180000</v>
      </c>
      <c r="O37" s="340">
        <v>150000</v>
      </c>
    </row>
    <row r="38" spans="1:15" ht="20.100000000000001" hidden="1" customHeight="1">
      <c r="A38" s="100">
        <v>35</v>
      </c>
      <c r="B38" s="252" t="s">
        <v>2006</v>
      </c>
      <c r="C38" s="248" t="s">
        <v>2593</v>
      </c>
      <c r="D38" s="259" t="str">
        <f t="shared" si="0"/>
        <v>모던하우스305</v>
      </c>
      <c r="E38" s="249">
        <v>45950</v>
      </c>
      <c r="F38" s="256">
        <v>3729</v>
      </c>
      <c r="G38" s="101">
        <v>1683</v>
      </c>
      <c r="H38" s="102" t="s">
        <v>2594</v>
      </c>
      <c r="I38" s="103">
        <v>45850</v>
      </c>
      <c r="J38" s="103">
        <v>45941</v>
      </c>
      <c r="K38" s="340">
        <v>1200000</v>
      </c>
      <c r="L38" s="340">
        <v>1200000</v>
      </c>
      <c r="M38" s="340">
        <v>100000</v>
      </c>
      <c r="N38" s="340">
        <v>180000</v>
      </c>
      <c r="O38" s="340">
        <v>150000</v>
      </c>
    </row>
    <row r="39" spans="1:15" ht="20.100000000000001" hidden="1" customHeight="1">
      <c r="A39" s="100">
        <v>36</v>
      </c>
      <c r="B39" s="252" t="s">
        <v>2034</v>
      </c>
      <c r="C39" s="248" t="s">
        <v>2595</v>
      </c>
      <c r="D39" s="259" t="str">
        <f t="shared" si="0"/>
        <v>제이에스하우스502</v>
      </c>
      <c r="E39" s="249">
        <v>45952</v>
      </c>
      <c r="F39" s="256">
        <v>4440</v>
      </c>
      <c r="G39" s="101">
        <v>536</v>
      </c>
      <c r="H39" s="102" t="s">
        <v>2596</v>
      </c>
      <c r="I39" s="103">
        <v>45770</v>
      </c>
      <c r="J39" s="103">
        <v>45860</v>
      </c>
      <c r="K39" s="340">
        <v>500000</v>
      </c>
      <c r="L39" s="340">
        <v>450000</v>
      </c>
      <c r="M39" s="340">
        <v>50000</v>
      </c>
      <c r="N39" s="340">
        <v>70000</v>
      </c>
      <c r="O39" s="340">
        <v>100000</v>
      </c>
    </row>
    <row r="40" spans="1:15" ht="20.100000000000001" hidden="1" customHeight="1">
      <c r="A40" s="100">
        <v>37</v>
      </c>
      <c r="B40" s="252" t="s">
        <v>2025</v>
      </c>
      <c r="C40" s="248" t="s">
        <v>2597</v>
      </c>
      <c r="D40" s="259" t="str">
        <f t="shared" si="0"/>
        <v>한스텔B02</v>
      </c>
      <c r="E40" s="249">
        <v>45953</v>
      </c>
      <c r="F40" s="256">
        <v>2641</v>
      </c>
      <c r="G40" s="101">
        <v>865</v>
      </c>
      <c r="H40" s="102" t="s">
        <v>2598</v>
      </c>
      <c r="I40" s="103">
        <v>45376</v>
      </c>
      <c r="J40" s="103">
        <v>45467</v>
      </c>
      <c r="K40" s="340">
        <v>700000</v>
      </c>
      <c r="L40" s="340">
        <v>650000</v>
      </c>
      <c r="M40" s="340">
        <v>70000</v>
      </c>
      <c r="N40" s="340">
        <v>100000</v>
      </c>
      <c r="O40" s="340">
        <v>100000</v>
      </c>
    </row>
    <row r="41" spans="1:15" ht="20.100000000000001" hidden="1" customHeight="1">
      <c r="A41" s="100">
        <v>38</v>
      </c>
      <c r="B41" s="252" t="s">
        <v>2009</v>
      </c>
      <c r="C41" s="248" t="s">
        <v>2570</v>
      </c>
      <c r="D41" s="259" t="str">
        <f t="shared" si="0"/>
        <v>모던라이프601</v>
      </c>
      <c r="E41" s="249">
        <v>45953</v>
      </c>
      <c r="F41" s="256">
        <v>4203</v>
      </c>
      <c r="G41" s="101">
        <v>7025</v>
      </c>
      <c r="H41" s="102" t="s">
        <v>2599</v>
      </c>
      <c r="I41" s="103">
        <v>45862</v>
      </c>
      <c r="J41" s="103">
        <v>45953</v>
      </c>
      <c r="K41" s="340">
        <v>1450000</v>
      </c>
      <c r="L41" s="340">
        <v>1450000</v>
      </c>
      <c r="M41" s="340">
        <v>80000</v>
      </c>
      <c r="N41" s="340">
        <v>180000</v>
      </c>
      <c r="O41" s="340">
        <v>150000</v>
      </c>
    </row>
    <row r="42" spans="1:15" ht="20.100000000000001" hidden="1" customHeight="1">
      <c r="A42" s="100">
        <v>39</v>
      </c>
      <c r="B42" s="252" t="s">
        <v>2002</v>
      </c>
      <c r="C42" s="248" t="s">
        <v>2544</v>
      </c>
      <c r="D42" s="259" t="str">
        <f t="shared" si="0"/>
        <v>W하우스603</v>
      </c>
      <c r="E42" s="249">
        <v>45953</v>
      </c>
      <c r="F42" s="256">
        <v>3645</v>
      </c>
      <c r="G42" s="101">
        <v>1670</v>
      </c>
      <c r="H42" s="102" t="s">
        <v>2600</v>
      </c>
      <c r="I42" s="103">
        <v>45823</v>
      </c>
      <c r="J42" s="103">
        <v>45914</v>
      </c>
      <c r="K42" s="340">
        <v>1600000</v>
      </c>
      <c r="L42" s="340">
        <v>1600000</v>
      </c>
      <c r="M42" s="340">
        <v>150000</v>
      </c>
      <c r="N42" s="340">
        <v>200000</v>
      </c>
      <c r="O42" s="340">
        <v>150000</v>
      </c>
    </row>
    <row r="43" spans="1:15" ht="20.100000000000001" hidden="1" customHeight="1">
      <c r="A43" s="100">
        <v>40</v>
      </c>
      <c r="B43" s="252" t="s">
        <v>1996</v>
      </c>
      <c r="C43" s="248" t="s">
        <v>2591</v>
      </c>
      <c r="D43" s="259" t="str">
        <f t="shared" si="0"/>
        <v>미래홈204</v>
      </c>
      <c r="E43" s="249">
        <v>45953</v>
      </c>
      <c r="F43" s="256">
        <v>600</v>
      </c>
      <c r="G43" s="101">
        <v>464</v>
      </c>
      <c r="H43" s="102" t="s">
        <v>2601</v>
      </c>
      <c r="I43" s="103">
        <v>45862</v>
      </c>
      <c r="J43" s="103">
        <v>45953</v>
      </c>
      <c r="K43" s="340">
        <v>700000</v>
      </c>
      <c r="L43" s="340">
        <v>500000</v>
      </c>
      <c r="M43" s="340">
        <v>70000</v>
      </c>
      <c r="N43" s="340">
        <v>80000</v>
      </c>
      <c r="O43" s="340">
        <v>0</v>
      </c>
    </row>
    <row r="44" spans="1:15" ht="20.100000000000001" hidden="1" customHeight="1">
      <c r="A44" s="100">
        <v>41</v>
      </c>
      <c r="B44" s="252" t="s">
        <v>2027</v>
      </c>
      <c r="C44" s="248" t="s">
        <v>2578</v>
      </c>
      <c r="D44" s="259" t="str">
        <f t="shared" si="0"/>
        <v>지앤지2301</v>
      </c>
      <c r="E44" s="249">
        <v>45958</v>
      </c>
      <c r="F44" s="256">
        <v>7052</v>
      </c>
      <c r="G44" s="101">
        <v>1200</v>
      </c>
      <c r="H44" s="102" t="s">
        <v>2602</v>
      </c>
      <c r="I44" s="103">
        <v>45509</v>
      </c>
      <c r="J44" s="103">
        <v>45600</v>
      </c>
      <c r="K44" s="340">
        <v>1900000</v>
      </c>
      <c r="L44" s="340">
        <v>1900000</v>
      </c>
      <c r="M44" s="340">
        <v>120000</v>
      </c>
      <c r="N44" s="340">
        <v>200000</v>
      </c>
      <c r="O44" s="340">
        <v>200000</v>
      </c>
    </row>
    <row r="45" spans="1:15" ht="20.100000000000001" hidden="1" customHeight="1">
      <c r="A45" s="100">
        <v>42</v>
      </c>
      <c r="B45" s="252" t="s">
        <v>2002</v>
      </c>
      <c r="C45" s="248" t="s">
        <v>2578</v>
      </c>
      <c r="D45" s="259" t="str">
        <f t="shared" si="0"/>
        <v>W하우스301</v>
      </c>
      <c r="E45" s="249">
        <v>45962</v>
      </c>
      <c r="F45" s="256">
        <v>1314</v>
      </c>
      <c r="G45" s="101">
        <v>1493</v>
      </c>
      <c r="H45" s="102" t="s">
        <v>2603</v>
      </c>
      <c r="I45" s="103">
        <v>45206</v>
      </c>
      <c r="J45" s="103">
        <v>45297</v>
      </c>
      <c r="K45" s="340">
        <v>1400000</v>
      </c>
      <c r="L45" s="340">
        <v>1400000</v>
      </c>
      <c r="M45" s="340">
        <v>80000</v>
      </c>
      <c r="N45" s="340">
        <v>150000</v>
      </c>
      <c r="O45" s="340">
        <v>150000</v>
      </c>
    </row>
    <row r="46" spans="1:15" ht="20.100000000000001" hidden="1" customHeight="1">
      <c r="A46" s="100">
        <v>43</v>
      </c>
      <c r="B46" s="252" t="s">
        <v>2012</v>
      </c>
      <c r="C46" s="248" t="s">
        <v>2604</v>
      </c>
      <c r="D46" s="259" t="str">
        <f t="shared" si="0"/>
        <v>리트코하우스703</v>
      </c>
      <c r="E46" s="249">
        <v>45963</v>
      </c>
      <c r="F46" s="256">
        <v>11412</v>
      </c>
      <c r="G46" s="101">
        <v>213</v>
      </c>
      <c r="H46" s="102" t="s">
        <v>2605</v>
      </c>
      <c r="I46" s="103">
        <v>45864</v>
      </c>
      <c r="J46" s="103">
        <v>45955</v>
      </c>
      <c r="K46" s="340">
        <v>1250000</v>
      </c>
      <c r="L46" s="340">
        <v>1250000</v>
      </c>
      <c r="M46" s="340">
        <v>100000</v>
      </c>
      <c r="N46" s="340">
        <v>180000</v>
      </c>
      <c r="O46" s="340">
        <v>220000</v>
      </c>
    </row>
    <row r="47" spans="1:15" ht="20.100000000000001" hidden="1" customHeight="1">
      <c r="A47" s="100">
        <v>44</v>
      </c>
      <c r="B47" s="252" t="s">
        <v>1990</v>
      </c>
      <c r="C47" s="248" t="s">
        <v>2538</v>
      </c>
      <c r="D47" s="259" t="str">
        <f t="shared" si="0"/>
        <v>아페이론201</v>
      </c>
      <c r="E47" s="249">
        <v>45963</v>
      </c>
      <c r="F47" s="256">
        <v>18766</v>
      </c>
      <c r="G47" s="101">
        <v>15</v>
      </c>
      <c r="H47" s="102" t="s">
        <v>2606</v>
      </c>
      <c r="I47" s="103">
        <v>45818</v>
      </c>
      <c r="J47" s="103">
        <v>45909</v>
      </c>
      <c r="K47" s="340">
        <v>1200000</v>
      </c>
      <c r="L47" s="340">
        <v>1200000</v>
      </c>
      <c r="M47" s="340">
        <v>80000</v>
      </c>
      <c r="N47" s="340">
        <v>180000</v>
      </c>
      <c r="O47" s="340">
        <v>200000</v>
      </c>
    </row>
    <row r="48" spans="1:15" ht="20.100000000000001" hidden="1" customHeight="1">
      <c r="A48" s="100">
        <v>45</v>
      </c>
      <c r="B48" s="252" t="s">
        <v>2009</v>
      </c>
      <c r="C48" s="248" t="s">
        <v>2607</v>
      </c>
      <c r="D48" s="260" t="str">
        <f t="shared" si="0"/>
        <v>모던라이프202</v>
      </c>
      <c r="E48" s="249">
        <v>45964</v>
      </c>
      <c r="F48" s="255">
        <v>1540</v>
      </c>
      <c r="G48" s="226">
        <v>2032</v>
      </c>
      <c r="H48" s="102" t="s">
        <v>2608</v>
      </c>
      <c r="I48" s="103">
        <v>45873</v>
      </c>
      <c r="J48" s="103">
        <v>45964</v>
      </c>
      <c r="K48" s="340">
        <v>1800000</v>
      </c>
      <c r="L48" s="340">
        <v>1800000</v>
      </c>
      <c r="M48" s="340">
        <v>100000</v>
      </c>
      <c r="N48" s="340">
        <v>250000</v>
      </c>
      <c r="O48" s="340">
        <v>200000</v>
      </c>
    </row>
    <row r="49" spans="1:15" ht="20.100000000000001" hidden="1" customHeight="1">
      <c r="A49" s="100">
        <v>46</v>
      </c>
      <c r="B49" s="252" t="s">
        <v>2009</v>
      </c>
      <c r="C49" s="248" t="s">
        <v>2607</v>
      </c>
      <c r="D49" s="259" t="str">
        <f t="shared" si="0"/>
        <v>모던라이프202</v>
      </c>
      <c r="E49" s="249">
        <v>45964</v>
      </c>
      <c r="F49" s="256">
        <v>1540</v>
      </c>
      <c r="G49" s="101">
        <v>2032</v>
      </c>
      <c r="H49" s="102" t="s">
        <v>2608</v>
      </c>
      <c r="I49" s="103">
        <v>45873</v>
      </c>
      <c r="J49" s="103">
        <v>45964</v>
      </c>
      <c r="K49" s="340">
        <v>1800000</v>
      </c>
      <c r="L49" s="340">
        <v>1800000</v>
      </c>
      <c r="M49" s="340">
        <v>100000</v>
      </c>
      <c r="N49" s="340">
        <v>250000</v>
      </c>
      <c r="O49" s="340">
        <v>200000</v>
      </c>
    </row>
    <row r="50" spans="1:15" ht="20.100000000000001" hidden="1" customHeight="1">
      <c r="A50" s="100">
        <v>47</v>
      </c>
      <c r="B50" s="252" t="s">
        <v>2034</v>
      </c>
      <c r="C50" s="248" t="s">
        <v>2609</v>
      </c>
      <c r="D50" s="259" t="str">
        <f t="shared" si="0"/>
        <v>제이에스하우스503</v>
      </c>
      <c r="E50" s="249">
        <v>45966</v>
      </c>
      <c r="F50" s="256">
        <v>5340</v>
      </c>
      <c r="G50" s="101">
        <v>548</v>
      </c>
      <c r="H50" s="102" t="s">
        <v>2610</v>
      </c>
      <c r="I50" s="103">
        <v>45616</v>
      </c>
      <c r="J50" s="103">
        <v>45707</v>
      </c>
      <c r="K50" s="340">
        <v>500000</v>
      </c>
      <c r="L50" s="340">
        <v>450000</v>
      </c>
      <c r="M50" s="340">
        <v>50000</v>
      </c>
      <c r="N50" s="340">
        <v>70000</v>
      </c>
      <c r="O50" s="340">
        <v>100000</v>
      </c>
    </row>
    <row r="51" spans="1:15" ht="20.100000000000001" hidden="1" customHeight="1">
      <c r="A51" s="100">
        <v>48</v>
      </c>
      <c r="B51" s="252" t="s">
        <v>2019</v>
      </c>
      <c r="C51" s="248" t="s">
        <v>2591</v>
      </c>
      <c r="D51" s="259" t="str">
        <f t="shared" si="0"/>
        <v>모닝빌204</v>
      </c>
      <c r="E51" s="249">
        <v>45969</v>
      </c>
      <c r="F51" s="256">
        <v>4080</v>
      </c>
      <c r="G51" s="101">
        <v>1754</v>
      </c>
      <c r="H51" s="102" t="s">
        <v>2611</v>
      </c>
      <c r="I51" s="103">
        <v>45878</v>
      </c>
      <c r="J51" s="103">
        <v>45969</v>
      </c>
      <c r="K51" s="340">
        <v>940000</v>
      </c>
      <c r="L51" s="340">
        <v>940000</v>
      </c>
      <c r="M51" s="340">
        <v>80000</v>
      </c>
      <c r="N51" s="340">
        <v>180000</v>
      </c>
      <c r="O51" s="340">
        <v>150000</v>
      </c>
    </row>
    <row r="52" spans="1:15" ht="20.100000000000001" hidden="1" customHeight="1">
      <c r="A52" s="100">
        <v>49</v>
      </c>
      <c r="B52" s="252" t="s">
        <v>2043</v>
      </c>
      <c r="C52" s="248" t="s">
        <v>2612</v>
      </c>
      <c r="D52" s="259" t="str">
        <f t="shared" si="0"/>
        <v>신림프리미어801</v>
      </c>
      <c r="E52" s="249">
        <v>45969</v>
      </c>
      <c r="F52" s="256">
        <v>11357</v>
      </c>
      <c r="G52" s="101">
        <v>21</v>
      </c>
      <c r="H52" s="102" t="s">
        <v>2613</v>
      </c>
      <c r="I52" s="103">
        <v>45835</v>
      </c>
      <c r="J52" s="103">
        <v>45968</v>
      </c>
      <c r="K52" s="340">
        <v>50000000</v>
      </c>
      <c r="L52" s="340">
        <v>900000</v>
      </c>
      <c r="M52" s="340">
        <v>90000</v>
      </c>
      <c r="N52" s="340">
        <v>150000</v>
      </c>
      <c r="O52" s="340">
        <v>150000</v>
      </c>
    </row>
    <row r="53" spans="1:15" ht="20.100000000000001" hidden="1" customHeight="1">
      <c r="A53" s="100">
        <v>50</v>
      </c>
      <c r="B53" s="252" t="s">
        <v>1990</v>
      </c>
      <c r="C53" s="248" t="s">
        <v>2607</v>
      </c>
      <c r="D53" s="259" t="str">
        <f t="shared" si="0"/>
        <v>아페이론202</v>
      </c>
      <c r="E53" s="249">
        <v>45973</v>
      </c>
      <c r="F53" s="256">
        <v>19298</v>
      </c>
      <c r="G53" s="101">
        <v>53</v>
      </c>
      <c r="H53" s="102" t="s">
        <v>2614</v>
      </c>
      <c r="I53" s="103">
        <v>45863</v>
      </c>
      <c r="J53" s="103">
        <v>45954</v>
      </c>
      <c r="K53" s="340">
        <v>1200000</v>
      </c>
      <c r="L53" s="340">
        <v>1200000</v>
      </c>
      <c r="M53" s="340">
        <v>100000</v>
      </c>
      <c r="N53" s="340">
        <v>180000</v>
      </c>
      <c r="O53" s="340">
        <v>200000</v>
      </c>
    </row>
    <row r="54" spans="1:15" ht="20.100000000000001" hidden="1" customHeight="1">
      <c r="A54" s="100">
        <v>51</v>
      </c>
      <c r="B54" s="252" t="s">
        <v>2019</v>
      </c>
      <c r="C54" s="248" t="s">
        <v>2615</v>
      </c>
      <c r="D54" s="259" t="str">
        <f t="shared" si="0"/>
        <v>모닝빌405</v>
      </c>
      <c r="E54" s="249">
        <v>45973</v>
      </c>
      <c r="F54" s="256">
        <v>11173</v>
      </c>
      <c r="G54" s="101">
        <v>689</v>
      </c>
      <c r="H54" s="102" t="s">
        <v>2616</v>
      </c>
      <c r="I54" s="103">
        <v>44063</v>
      </c>
      <c r="J54" s="103">
        <v>44154</v>
      </c>
      <c r="K54" s="340">
        <v>1100000</v>
      </c>
      <c r="L54" s="340">
        <v>1100000</v>
      </c>
      <c r="M54" s="340">
        <v>60000</v>
      </c>
      <c r="N54" s="340">
        <v>150000</v>
      </c>
      <c r="O54" s="340">
        <v>150000</v>
      </c>
    </row>
    <row r="55" spans="1:15" ht="20.100000000000001" hidden="1" customHeight="1">
      <c r="A55" s="100">
        <v>52</v>
      </c>
      <c r="B55" s="252" t="s">
        <v>1986</v>
      </c>
      <c r="C55" s="248" t="s">
        <v>2578</v>
      </c>
      <c r="D55" s="259" t="str">
        <f t="shared" si="0"/>
        <v>스타빌301</v>
      </c>
      <c r="E55" s="249">
        <v>45974</v>
      </c>
      <c r="F55" s="256">
        <v>1653</v>
      </c>
      <c r="G55" s="101">
        <v>567</v>
      </c>
      <c r="H55" s="102" t="s">
        <v>2617</v>
      </c>
      <c r="I55" s="103">
        <v>45942</v>
      </c>
      <c r="J55" s="103">
        <v>46033</v>
      </c>
      <c r="K55" s="340">
        <v>700000</v>
      </c>
      <c r="L55" s="340">
        <v>700000</v>
      </c>
      <c r="M55" s="340">
        <v>80000</v>
      </c>
      <c r="N55" s="340">
        <v>100000</v>
      </c>
      <c r="O55" s="340">
        <v>100000</v>
      </c>
    </row>
    <row r="56" spans="1:15" ht="20.100000000000001" hidden="1" customHeight="1">
      <c r="A56" s="100">
        <v>53</v>
      </c>
      <c r="B56" s="252" t="s">
        <v>2012</v>
      </c>
      <c r="C56" s="248" t="s">
        <v>2595</v>
      </c>
      <c r="D56" s="259" t="str">
        <f t="shared" si="0"/>
        <v>리트코하우스502</v>
      </c>
      <c r="E56" s="249">
        <v>45975</v>
      </c>
      <c r="F56" s="256">
        <v>10202</v>
      </c>
      <c r="G56" s="101">
        <v>62</v>
      </c>
      <c r="H56" s="102" t="s">
        <v>2618</v>
      </c>
      <c r="I56" s="103">
        <v>45181</v>
      </c>
      <c r="J56" s="103">
        <v>45210</v>
      </c>
      <c r="K56" s="340">
        <v>1250000</v>
      </c>
      <c r="L56" s="340">
        <v>1250000</v>
      </c>
      <c r="M56" s="340">
        <v>100000</v>
      </c>
      <c r="N56" s="340">
        <v>150000</v>
      </c>
      <c r="O56" s="340">
        <v>220000</v>
      </c>
    </row>
    <row r="57" spans="1:15" ht="20.100000000000001" hidden="1" customHeight="1">
      <c r="A57" s="100">
        <v>54</v>
      </c>
      <c r="B57" s="252" t="s">
        <v>2040</v>
      </c>
      <c r="C57" s="248" t="s">
        <v>2544</v>
      </c>
      <c r="D57" s="259" t="str">
        <f t="shared" ref="D57:D88" si="1">_xlfn.CONCAT(B57,C57)</f>
        <v>메종빌603</v>
      </c>
      <c r="E57" s="249">
        <v>45975</v>
      </c>
      <c r="F57" s="256">
        <v>3142</v>
      </c>
      <c r="G57" s="101">
        <v>270</v>
      </c>
      <c r="H57" s="102" t="s">
        <v>2619</v>
      </c>
      <c r="I57" s="103">
        <v>45729</v>
      </c>
      <c r="J57" s="103">
        <v>45820</v>
      </c>
      <c r="K57" s="340">
        <v>1600000</v>
      </c>
      <c r="L57" s="340">
        <v>1550000</v>
      </c>
      <c r="M57" s="340">
        <v>130000</v>
      </c>
      <c r="N57" s="340">
        <v>200000</v>
      </c>
      <c r="O57" s="340">
        <v>200000</v>
      </c>
    </row>
    <row r="58" spans="1:15" ht="20.100000000000001" hidden="1" customHeight="1">
      <c r="A58" s="100">
        <v>55</v>
      </c>
      <c r="B58" s="252" t="s">
        <v>2025</v>
      </c>
      <c r="C58" s="248" t="s">
        <v>2620</v>
      </c>
      <c r="D58" s="259" t="str">
        <f t="shared" si="1"/>
        <v>한스텔101</v>
      </c>
      <c r="E58" s="249">
        <v>45975</v>
      </c>
      <c r="F58" s="256">
        <v>5238</v>
      </c>
      <c r="G58" s="101">
        <v>2544</v>
      </c>
      <c r="H58" s="102" t="s">
        <v>2621</v>
      </c>
      <c r="I58" s="103">
        <v>45202</v>
      </c>
      <c r="J58" s="103">
        <v>45293</v>
      </c>
      <c r="K58" s="340">
        <v>1000000</v>
      </c>
      <c r="L58" s="340">
        <v>1000000</v>
      </c>
      <c r="M58" s="340">
        <v>80000</v>
      </c>
      <c r="N58" s="340">
        <v>150000</v>
      </c>
      <c r="O58" s="340">
        <v>150000</v>
      </c>
    </row>
    <row r="59" spans="1:15" ht="20.100000000000001" hidden="1" customHeight="1">
      <c r="A59" s="100">
        <v>56</v>
      </c>
      <c r="B59" s="252" t="s">
        <v>2022</v>
      </c>
      <c r="C59" s="248" t="s">
        <v>2578</v>
      </c>
      <c r="D59" s="259" t="str">
        <f t="shared" si="1"/>
        <v>에덴빌301</v>
      </c>
      <c r="E59" s="249">
        <v>45979</v>
      </c>
      <c r="F59" s="256">
        <v>3353</v>
      </c>
      <c r="G59" s="101">
        <v>1239</v>
      </c>
      <c r="H59" s="102" t="s">
        <v>2622</v>
      </c>
      <c r="I59" s="103">
        <v>45707</v>
      </c>
      <c r="J59" s="103">
        <v>45795</v>
      </c>
      <c r="K59" s="340">
        <v>950000</v>
      </c>
      <c r="L59" s="340">
        <v>950000</v>
      </c>
      <c r="M59" s="340">
        <v>80000</v>
      </c>
      <c r="N59" s="340">
        <v>150000</v>
      </c>
      <c r="O59" s="340">
        <v>150000</v>
      </c>
    </row>
    <row r="60" spans="1:15" ht="20.100000000000001" hidden="1" customHeight="1">
      <c r="A60" s="100">
        <v>57</v>
      </c>
      <c r="B60" s="252" t="s">
        <v>1968</v>
      </c>
      <c r="C60" s="248" t="s">
        <v>2623</v>
      </c>
      <c r="D60" s="259" t="str">
        <f t="shared" si="1"/>
        <v>다존하우스505</v>
      </c>
      <c r="E60" s="249">
        <v>45979</v>
      </c>
      <c r="F60" s="256">
        <v>10815</v>
      </c>
      <c r="G60" s="101">
        <v>1347</v>
      </c>
      <c r="H60" s="102" t="s">
        <v>2624</v>
      </c>
      <c r="I60" s="103">
        <v>45584</v>
      </c>
      <c r="J60" s="103">
        <v>45675</v>
      </c>
      <c r="K60" s="340">
        <v>500000</v>
      </c>
      <c r="L60" s="340">
        <v>400000</v>
      </c>
      <c r="M60" s="340">
        <v>70000</v>
      </c>
      <c r="N60" s="340">
        <v>80000</v>
      </c>
      <c r="O60" s="340">
        <v>100000</v>
      </c>
    </row>
    <row r="61" spans="1:15" ht="20.100000000000001" hidden="1" customHeight="1">
      <c r="A61" s="100">
        <v>58</v>
      </c>
      <c r="B61" s="252" t="s">
        <v>2019</v>
      </c>
      <c r="C61" s="248" t="s">
        <v>2568</v>
      </c>
      <c r="D61" s="259" t="str">
        <f t="shared" si="1"/>
        <v>모닝빌404</v>
      </c>
      <c r="E61" s="249">
        <v>45980</v>
      </c>
      <c r="F61" s="256">
        <v>4789</v>
      </c>
      <c r="G61" s="101">
        <v>1683</v>
      </c>
      <c r="H61" s="102" t="s">
        <v>2625</v>
      </c>
      <c r="I61" s="103">
        <v>45677</v>
      </c>
      <c r="J61" s="103">
        <v>45766</v>
      </c>
      <c r="K61" s="340">
        <v>1000000</v>
      </c>
      <c r="L61" s="340">
        <v>1000000</v>
      </c>
      <c r="M61" s="340">
        <v>80000</v>
      </c>
      <c r="N61" s="340">
        <v>150000</v>
      </c>
      <c r="O61" s="340">
        <v>150000</v>
      </c>
    </row>
    <row r="62" spans="1:15" ht="20.100000000000001" hidden="1" customHeight="1">
      <c r="A62" s="100">
        <v>59</v>
      </c>
      <c r="B62" s="252" t="s">
        <v>2002</v>
      </c>
      <c r="C62" s="248" t="s">
        <v>2626</v>
      </c>
      <c r="D62" s="259" t="str">
        <f t="shared" si="1"/>
        <v>W하우스7층</v>
      </c>
      <c r="E62" s="249">
        <v>45981</v>
      </c>
      <c r="F62" s="256">
        <v>49992</v>
      </c>
      <c r="G62" s="101">
        <v>1316</v>
      </c>
      <c r="H62" s="102" t="s">
        <v>2627</v>
      </c>
      <c r="I62" s="103">
        <v>45712</v>
      </c>
      <c r="J62" s="103">
        <v>45800</v>
      </c>
      <c r="K62" s="340">
        <v>850000</v>
      </c>
      <c r="L62" s="340">
        <v>800000</v>
      </c>
      <c r="M62" s="340">
        <v>80000</v>
      </c>
      <c r="N62" s="340">
        <v>150000</v>
      </c>
      <c r="O62" s="340">
        <v>150000</v>
      </c>
    </row>
    <row r="63" spans="1:15" ht="20.100000000000001" hidden="1" customHeight="1">
      <c r="A63" s="100">
        <v>60</v>
      </c>
      <c r="B63" s="252" t="s">
        <v>1968</v>
      </c>
      <c r="C63" s="248" t="s">
        <v>2628</v>
      </c>
      <c r="D63" s="259" t="str">
        <f t="shared" si="1"/>
        <v>다존하우스501</v>
      </c>
      <c r="E63" s="249">
        <v>45982</v>
      </c>
      <c r="F63" s="256">
        <v>10081</v>
      </c>
      <c r="G63" s="101">
        <v>1483</v>
      </c>
      <c r="H63" s="102" t="s">
        <v>2629</v>
      </c>
      <c r="I63" s="103">
        <v>45815</v>
      </c>
      <c r="J63" s="103">
        <v>45906</v>
      </c>
      <c r="K63" s="340">
        <v>500000</v>
      </c>
      <c r="L63" s="340">
        <v>400000</v>
      </c>
      <c r="M63" s="340">
        <v>70000</v>
      </c>
      <c r="N63" s="340">
        <v>80000</v>
      </c>
      <c r="O63" s="340">
        <v>100000</v>
      </c>
    </row>
    <row r="64" spans="1:15" ht="20.100000000000001" hidden="1" customHeight="1">
      <c r="A64" s="100">
        <v>61</v>
      </c>
      <c r="B64" s="252" t="s">
        <v>2009</v>
      </c>
      <c r="C64" s="248" t="s">
        <v>2540</v>
      </c>
      <c r="D64" s="259" t="str">
        <f t="shared" si="1"/>
        <v>모던라이프203</v>
      </c>
      <c r="E64" s="249">
        <v>45983</v>
      </c>
      <c r="F64" s="256">
        <v>2298</v>
      </c>
      <c r="G64" s="101">
        <v>2600</v>
      </c>
      <c r="H64" s="102" t="s">
        <v>2630</v>
      </c>
      <c r="I64" s="103">
        <v>45822</v>
      </c>
      <c r="J64" s="103">
        <v>45913</v>
      </c>
      <c r="K64" s="340">
        <v>1800000</v>
      </c>
      <c r="L64" s="340">
        <v>1800000</v>
      </c>
      <c r="M64" s="340">
        <v>100000</v>
      </c>
      <c r="N64" s="340">
        <v>250000</v>
      </c>
      <c r="O64" s="340">
        <v>200000</v>
      </c>
    </row>
    <row r="65" spans="1:15" ht="20.100000000000001" hidden="1" customHeight="1">
      <c r="A65" s="100">
        <v>62</v>
      </c>
      <c r="B65" s="252" t="s">
        <v>2006</v>
      </c>
      <c r="C65" s="248" t="s">
        <v>2568</v>
      </c>
      <c r="D65" s="259" t="str">
        <f t="shared" si="1"/>
        <v>모던하우스404</v>
      </c>
      <c r="E65" s="249">
        <v>45985</v>
      </c>
      <c r="F65" s="256">
        <v>2805</v>
      </c>
      <c r="G65" s="101">
        <v>1360</v>
      </c>
      <c r="H65" s="102" t="s">
        <v>2631</v>
      </c>
      <c r="I65" s="103">
        <v>45860</v>
      </c>
      <c r="J65" s="103">
        <v>45951</v>
      </c>
      <c r="K65" s="340">
        <v>1250000</v>
      </c>
      <c r="L65" s="340">
        <v>1200000</v>
      </c>
      <c r="M65" s="340">
        <v>100000</v>
      </c>
      <c r="N65" s="340">
        <v>180000</v>
      </c>
      <c r="O65" s="340">
        <v>150000</v>
      </c>
    </row>
    <row r="66" spans="1:15" ht="20.100000000000001" hidden="1" customHeight="1">
      <c r="A66" s="100">
        <v>63</v>
      </c>
      <c r="B66" s="252" t="s">
        <v>2040</v>
      </c>
      <c r="C66" s="248" t="s">
        <v>2538</v>
      </c>
      <c r="D66" s="259" t="str">
        <f t="shared" si="1"/>
        <v>메종빌201</v>
      </c>
      <c r="E66" s="249">
        <v>45988</v>
      </c>
      <c r="F66" s="256">
        <v>5172</v>
      </c>
      <c r="G66" s="101">
        <v>1662</v>
      </c>
      <c r="H66" s="102" t="s">
        <v>2632</v>
      </c>
      <c r="I66" s="103">
        <v>45717</v>
      </c>
      <c r="J66" s="103">
        <v>45808</v>
      </c>
      <c r="K66" s="340">
        <v>2300000</v>
      </c>
      <c r="L66" s="340">
        <v>2300000</v>
      </c>
      <c r="M66" s="340">
        <v>150000</v>
      </c>
      <c r="N66" s="340">
        <v>250000</v>
      </c>
      <c r="O66" s="340">
        <v>250000</v>
      </c>
    </row>
    <row r="67" spans="1:15" ht="20.100000000000001" hidden="1" customHeight="1">
      <c r="A67" s="100">
        <v>64</v>
      </c>
      <c r="B67" s="252" t="s">
        <v>2025</v>
      </c>
      <c r="C67" s="248" t="s">
        <v>2546</v>
      </c>
      <c r="D67" s="259" t="str">
        <f t="shared" si="1"/>
        <v>한스텔303</v>
      </c>
      <c r="E67" s="249">
        <v>45989</v>
      </c>
      <c r="F67" s="256">
        <v>12670</v>
      </c>
      <c r="G67" s="101">
        <v>1651</v>
      </c>
      <c r="H67" s="102" t="s">
        <v>765</v>
      </c>
      <c r="I67" s="103">
        <v>45823</v>
      </c>
      <c r="J67" s="103">
        <v>45914</v>
      </c>
      <c r="K67" s="340">
        <v>1050000</v>
      </c>
      <c r="L67" s="340">
        <v>1050000</v>
      </c>
      <c r="M67" s="340">
        <v>80000</v>
      </c>
      <c r="N67" s="340">
        <v>150000</v>
      </c>
      <c r="O67" s="340">
        <v>150000</v>
      </c>
    </row>
    <row r="68" spans="1:15" ht="20.100000000000001" hidden="1" customHeight="1">
      <c r="A68" s="100">
        <v>65</v>
      </c>
      <c r="B68" s="252" t="s">
        <v>1968</v>
      </c>
      <c r="C68" s="248" t="s">
        <v>2633</v>
      </c>
      <c r="D68" s="259" t="str">
        <f t="shared" si="1"/>
        <v>다존하우스606</v>
      </c>
      <c r="E68" s="249">
        <v>45990</v>
      </c>
      <c r="F68" s="256">
        <v>10568</v>
      </c>
      <c r="G68" s="101">
        <v>589</v>
      </c>
      <c r="H68" s="102" t="s">
        <v>2634</v>
      </c>
      <c r="I68" s="103">
        <v>45807</v>
      </c>
      <c r="J68" s="103">
        <v>45898</v>
      </c>
      <c r="K68" s="340">
        <v>500000</v>
      </c>
      <c r="L68" s="340">
        <v>400000</v>
      </c>
      <c r="M68" s="340">
        <v>70000</v>
      </c>
      <c r="N68" s="340">
        <v>80000</v>
      </c>
      <c r="O68" s="340">
        <v>100000</v>
      </c>
    </row>
    <row r="69" spans="1:15" ht="20.100000000000001" hidden="1" customHeight="1">
      <c r="A69" s="100">
        <v>66</v>
      </c>
      <c r="B69" s="252" t="s">
        <v>1968</v>
      </c>
      <c r="C69" s="248" t="s">
        <v>2540</v>
      </c>
      <c r="D69" s="259" t="str">
        <f t="shared" si="1"/>
        <v>다존하우스203</v>
      </c>
      <c r="E69" s="249">
        <v>45991</v>
      </c>
      <c r="F69" s="256">
        <v>8500</v>
      </c>
      <c r="G69" s="101">
        <v>876</v>
      </c>
      <c r="H69" s="102" t="s">
        <v>2635</v>
      </c>
      <c r="I69" s="103">
        <v>45899</v>
      </c>
      <c r="J69" s="103">
        <v>45990</v>
      </c>
      <c r="K69" s="340">
        <v>500000</v>
      </c>
      <c r="L69" s="340">
        <v>450000</v>
      </c>
      <c r="M69" s="340">
        <v>70000</v>
      </c>
      <c r="N69" s="340">
        <v>80000</v>
      </c>
      <c r="O69" s="340">
        <v>100000</v>
      </c>
    </row>
    <row r="70" spans="1:15" ht="20.100000000000001" hidden="1" customHeight="1">
      <c r="A70" s="100">
        <v>67</v>
      </c>
      <c r="B70" s="252" t="s">
        <v>1968</v>
      </c>
      <c r="C70" s="248" t="s">
        <v>2636</v>
      </c>
      <c r="D70" s="259" t="str">
        <f t="shared" si="1"/>
        <v>다존하우스310</v>
      </c>
      <c r="E70" s="249">
        <v>45991</v>
      </c>
      <c r="F70" s="256">
        <v>11900</v>
      </c>
      <c r="G70" s="101">
        <v>1756</v>
      </c>
      <c r="H70" s="102" t="s">
        <v>2637</v>
      </c>
      <c r="I70" s="103">
        <v>45502</v>
      </c>
      <c r="J70" s="103">
        <v>45593</v>
      </c>
      <c r="K70" s="340">
        <v>500000</v>
      </c>
      <c r="L70" s="340">
        <v>450000</v>
      </c>
      <c r="M70" s="340">
        <v>80000</v>
      </c>
      <c r="N70" s="340">
        <v>100000</v>
      </c>
      <c r="O70" s="340">
        <v>100000</v>
      </c>
    </row>
    <row r="71" spans="1:15" ht="20.100000000000001" hidden="1" customHeight="1">
      <c r="A71" s="100">
        <v>68</v>
      </c>
      <c r="B71" s="252" t="s">
        <v>2030</v>
      </c>
      <c r="C71" s="248" t="s">
        <v>2578</v>
      </c>
      <c r="D71" s="260" t="str">
        <f t="shared" si="1"/>
        <v>토브미하우스301</v>
      </c>
      <c r="E71" s="249">
        <v>45992</v>
      </c>
      <c r="F71" s="255">
        <v>16478</v>
      </c>
      <c r="G71" s="226">
        <v>2094</v>
      </c>
      <c r="H71" s="102" t="s">
        <v>2638</v>
      </c>
      <c r="I71" s="103">
        <v>45959</v>
      </c>
      <c r="J71" s="103">
        <v>46050</v>
      </c>
      <c r="K71" s="340">
        <v>1700000</v>
      </c>
      <c r="L71" s="340">
        <v>1700000</v>
      </c>
      <c r="M71" s="340">
        <v>100000</v>
      </c>
      <c r="N71" s="340">
        <v>200000</v>
      </c>
      <c r="O71" s="340">
        <v>200000</v>
      </c>
    </row>
    <row r="72" spans="1:15" ht="20.100000000000001" hidden="1" customHeight="1">
      <c r="A72" s="100">
        <v>69</v>
      </c>
      <c r="B72" s="252" t="s">
        <v>2040</v>
      </c>
      <c r="C72" s="248" t="s">
        <v>2595</v>
      </c>
      <c r="D72" s="260" t="str">
        <f t="shared" si="1"/>
        <v>메종빌502</v>
      </c>
      <c r="E72" s="249">
        <v>45993</v>
      </c>
      <c r="F72" s="255">
        <v>2622</v>
      </c>
      <c r="G72" s="226">
        <v>427</v>
      </c>
      <c r="H72" s="102" t="s">
        <v>2639</v>
      </c>
      <c r="I72" s="103">
        <v>45750</v>
      </c>
      <c r="J72" s="103">
        <v>45840</v>
      </c>
      <c r="K72" s="340">
        <v>1950000</v>
      </c>
      <c r="L72" s="340">
        <v>1950000</v>
      </c>
      <c r="M72" s="340">
        <v>130000</v>
      </c>
      <c r="N72" s="340">
        <v>250000</v>
      </c>
      <c r="O72" s="340">
        <v>200000</v>
      </c>
    </row>
    <row r="73" spans="1:15" ht="20.100000000000001" hidden="1" customHeight="1">
      <c r="A73" s="100">
        <v>70</v>
      </c>
      <c r="B73" s="252" t="s">
        <v>1996</v>
      </c>
      <c r="C73" s="248" t="s">
        <v>2578</v>
      </c>
      <c r="D73" s="260" t="str">
        <f t="shared" si="1"/>
        <v>미래홈301</v>
      </c>
      <c r="E73" s="249">
        <v>45994</v>
      </c>
      <c r="F73" s="255">
        <v>893</v>
      </c>
      <c r="G73" s="226">
        <v>5</v>
      </c>
      <c r="H73" s="102" t="s">
        <v>2640</v>
      </c>
      <c r="I73" s="103">
        <v>45904</v>
      </c>
      <c r="J73" s="103">
        <v>45994</v>
      </c>
      <c r="K73" s="340">
        <v>700000</v>
      </c>
      <c r="L73" s="340">
        <v>500000</v>
      </c>
      <c r="M73" s="340">
        <v>70000</v>
      </c>
      <c r="N73" s="340">
        <v>80000</v>
      </c>
      <c r="O73" s="340">
        <v>110000</v>
      </c>
    </row>
    <row r="74" spans="1:15" ht="20.100000000000001" hidden="1" customHeight="1">
      <c r="A74" s="100">
        <v>71</v>
      </c>
      <c r="B74" s="252" t="s">
        <v>1986</v>
      </c>
      <c r="C74" s="248" t="s">
        <v>2615</v>
      </c>
      <c r="D74" s="260" t="str">
        <f t="shared" si="1"/>
        <v>스타빌405</v>
      </c>
      <c r="E74" s="249">
        <v>45995</v>
      </c>
      <c r="F74" s="255">
        <v>2730</v>
      </c>
      <c r="G74" s="226">
        <v>1568</v>
      </c>
      <c r="H74" s="102" t="s">
        <v>2641</v>
      </c>
      <c r="I74" s="103">
        <v>45905</v>
      </c>
      <c r="J74" s="103">
        <v>45995</v>
      </c>
      <c r="K74" s="340">
        <v>750000</v>
      </c>
      <c r="L74" s="340">
        <v>750000</v>
      </c>
      <c r="M74" s="340">
        <v>80000</v>
      </c>
      <c r="N74" s="340">
        <v>100000</v>
      </c>
      <c r="O74" s="340">
        <v>100000</v>
      </c>
    </row>
    <row r="75" spans="1:15" ht="20.100000000000001" hidden="1" customHeight="1">
      <c r="A75" s="100">
        <v>72</v>
      </c>
      <c r="B75" s="252" t="s">
        <v>2015</v>
      </c>
      <c r="C75" s="248" t="s">
        <v>2607</v>
      </c>
      <c r="D75" s="260" t="str">
        <f t="shared" si="1"/>
        <v>와이원빈티지202</v>
      </c>
      <c r="E75" s="249">
        <v>45998</v>
      </c>
      <c r="F75" s="255">
        <v>1274</v>
      </c>
      <c r="G75" s="226">
        <v>2176</v>
      </c>
      <c r="H75" s="102" t="s">
        <v>2642</v>
      </c>
      <c r="I75" s="103">
        <v>44348</v>
      </c>
      <c r="J75" s="103">
        <v>44439</v>
      </c>
      <c r="K75" s="340">
        <v>900000</v>
      </c>
      <c r="L75" s="340">
        <v>900000</v>
      </c>
      <c r="M75" s="340">
        <v>80000</v>
      </c>
      <c r="N75" s="340">
        <v>100000</v>
      </c>
      <c r="O75" s="340">
        <v>150000</v>
      </c>
    </row>
    <row r="76" spans="1:15" ht="20.100000000000001" hidden="1" customHeight="1">
      <c r="A76" s="100">
        <v>73</v>
      </c>
      <c r="B76" s="252" t="s">
        <v>2040</v>
      </c>
      <c r="C76" s="248" t="s">
        <v>2628</v>
      </c>
      <c r="D76" s="260" t="str">
        <f t="shared" si="1"/>
        <v>메종빌501</v>
      </c>
      <c r="E76" s="249">
        <v>45999</v>
      </c>
      <c r="F76" s="255">
        <v>3122</v>
      </c>
      <c r="G76" s="226">
        <v>625</v>
      </c>
      <c r="H76" s="102" t="s">
        <v>360</v>
      </c>
      <c r="I76" s="103">
        <v>45756</v>
      </c>
      <c r="J76" s="103">
        <v>45846</v>
      </c>
      <c r="K76" s="340">
        <v>2300000</v>
      </c>
      <c r="L76" s="340">
        <v>2300000</v>
      </c>
      <c r="M76" s="340">
        <v>150000</v>
      </c>
      <c r="N76" s="340">
        <v>250000</v>
      </c>
      <c r="O76" s="340">
        <v>250000</v>
      </c>
    </row>
    <row r="77" spans="1:15" ht="20.100000000000001" hidden="1" customHeight="1">
      <c r="A77" s="100">
        <v>74</v>
      </c>
      <c r="B77" s="252" t="s">
        <v>2040</v>
      </c>
      <c r="C77" s="248" t="s">
        <v>2540</v>
      </c>
      <c r="D77" s="260" t="str">
        <f t="shared" si="1"/>
        <v>메종빌203</v>
      </c>
      <c r="E77" s="249">
        <v>46002</v>
      </c>
      <c r="F77" s="255">
        <v>4896</v>
      </c>
      <c r="G77" s="226">
        <v>1513</v>
      </c>
      <c r="H77" s="102" t="s">
        <v>2575</v>
      </c>
      <c r="I77" s="103">
        <v>45854</v>
      </c>
      <c r="J77" s="103">
        <v>45945</v>
      </c>
      <c r="K77" s="340">
        <v>2250000</v>
      </c>
      <c r="L77" s="340">
        <v>2250000</v>
      </c>
      <c r="M77" s="340">
        <v>150000</v>
      </c>
      <c r="N77" s="340">
        <v>250000</v>
      </c>
      <c r="O77" s="340">
        <v>250000</v>
      </c>
    </row>
    <row r="78" spans="1:15" ht="20.100000000000001" hidden="1" customHeight="1">
      <c r="A78" s="100">
        <v>75</v>
      </c>
      <c r="B78" s="252" t="s">
        <v>1996</v>
      </c>
      <c r="C78" s="248" t="s">
        <v>2643</v>
      </c>
      <c r="D78" s="260" t="str">
        <f t="shared" si="1"/>
        <v>미래홈107</v>
      </c>
      <c r="E78" s="249">
        <v>46002</v>
      </c>
      <c r="F78" s="255">
        <v>621</v>
      </c>
      <c r="G78" s="226">
        <v>0</v>
      </c>
      <c r="H78" s="102" t="s">
        <v>2644</v>
      </c>
      <c r="I78" s="103">
        <v>45881</v>
      </c>
      <c r="J78" s="103">
        <v>46002</v>
      </c>
      <c r="K78" s="340">
        <v>500000</v>
      </c>
      <c r="L78" s="340">
        <v>300000</v>
      </c>
      <c r="M78" s="340">
        <v>70000</v>
      </c>
      <c r="N78" s="340">
        <v>80000</v>
      </c>
      <c r="O78" s="340">
        <v>110000</v>
      </c>
    </row>
    <row r="79" spans="1:15" ht="20.100000000000001" hidden="1" customHeight="1">
      <c r="A79" s="100">
        <v>76</v>
      </c>
      <c r="B79" s="252" t="s">
        <v>2009</v>
      </c>
      <c r="C79" s="248" t="s">
        <v>2538</v>
      </c>
      <c r="D79" s="260" t="str">
        <f t="shared" si="1"/>
        <v>모던라이프201</v>
      </c>
      <c r="E79" s="249">
        <v>46003</v>
      </c>
      <c r="F79" s="255">
        <v>2704</v>
      </c>
      <c r="G79" s="226">
        <v>3121</v>
      </c>
      <c r="H79" s="102" t="s">
        <v>2645</v>
      </c>
      <c r="I79" s="103">
        <v>45548</v>
      </c>
      <c r="J79" s="103">
        <v>45638</v>
      </c>
      <c r="K79" s="340">
        <v>1900000</v>
      </c>
      <c r="L79" s="340">
        <v>1900000</v>
      </c>
      <c r="M79" s="340">
        <v>120000</v>
      </c>
      <c r="N79" s="340">
        <v>200000</v>
      </c>
      <c r="O79" s="340">
        <v>200000</v>
      </c>
    </row>
    <row r="80" spans="1:15" ht="20.100000000000001" hidden="1" customHeight="1">
      <c r="A80" s="100">
        <v>77</v>
      </c>
      <c r="B80" s="252" t="s">
        <v>1996</v>
      </c>
      <c r="C80" s="248" t="s">
        <v>2542</v>
      </c>
      <c r="D80" s="260" t="str">
        <f t="shared" si="1"/>
        <v>미래홈102</v>
      </c>
      <c r="E80" s="249">
        <v>46005</v>
      </c>
      <c r="F80" s="255">
        <v>720</v>
      </c>
      <c r="G80" s="226">
        <v>72</v>
      </c>
      <c r="H80" s="102" t="s">
        <v>2646</v>
      </c>
      <c r="I80" s="103">
        <v>45823</v>
      </c>
      <c r="J80" s="103">
        <v>46005</v>
      </c>
      <c r="K80" s="340">
        <v>500000</v>
      </c>
      <c r="L80" s="340">
        <v>300000</v>
      </c>
      <c r="M80" s="340">
        <v>70000</v>
      </c>
      <c r="N80" s="340">
        <v>80000</v>
      </c>
      <c r="O80" s="340">
        <v>165000</v>
      </c>
    </row>
    <row r="81" spans="1:15" ht="20.100000000000001" hidden="1" customHeight="1">
      <c r="A81" s="100">
        <v>78</v>
      </c>
      <c r="B81" s="252" t="s">
        <v>2009</v>
      </c>
      <c r="C81" s="248" t="s">
        <v>2566</v>
      </c>
      <c r="D81" s="260" t="str">
        <f t="shared" si="1"/>
        <v>모던라이프401</v>
      </c>
      <c r="E81" s="249">
        <v>46006</v>
      </c>
      <c r="F81" s="255">
        <v>1128</v>
      </c>
      <c r="G81" s="226">
        <v>1291</v>
      </c>
      <c r="H81" s="102" t="s">
        <v>2647</v>
      </c>
      <c r="I81" s="103">
        <v>45106</v>
      </c>
      <c r="J81" s="103">
        <v>45197</v>
      </c>
      <c r="K81" s="340">
        <v>1900000</v>
      </c>
      <c r="L81" s="340">
        <v>1900000</v>
      </c>
      <c r="M81" s="340">
        <v>150000</v>
      </c>
      <c r="N81" s="340">
        <v>200000</v>
      </c>
      <c r="O81" s="340">
        <v>200000</v>
      </c>
    </row>
    <row r="82" spans="1:15" ht="20.100000000000001" hidden="1" customHeight="1">
      <c r="A82" s="100">
        <v>79</v>
      </c>
      <c r="B82" s="252" t="s">
        <v>2006</v>
      </c>
      <c r="C82" s="248" t="s">
        <v>2591</v>
      </c>
      <c r="D82" s="260" t="str">
        <f t="shared" si="1"/>
        <v>모던하우스204</v>
      </c>
      <c r="E82" s="249">
        <v>46006</v>
      </c>
      <c r="F82" s="255">
        <v>2831</v>
      </c>
      <c r="G82" s="226">
        <v>2217</v>
      </c>
      <c r="H82" s="102" t="s">
        <v>2648</v>
      </c>
      <c r="I82" s="103">
        <v>45754</v>
      </c>
      <c r="J82" s="103">
        <v>45844</v>
      </c>
      <c r="K82" s="340">
        <v>1250000</v>
      </c>
      <c r="L82" s="340">
        <v>1200000</v>
      </c>
      <c r="M82" s="340">
        <v>100000</v>
      </c>
      <c r="N82" s="340">
        <v>180000</v>
      </c>
      <c r="O82" s="340">
        <v>150000</v>
      </c>
    </row>
    <row r="83" spans="1:15" ht="20.100000000000001" hidden="1" customHeight="1">
      <c r="A83" s="100">
        <v>80</v>
      </c>
      <c r="B83" s="252" t="s">
        <v>2002</v>
      </c>
      <c r="C83" s="248" t="s">
        <v>2564</v>
      </c>
      <c r="D83" s="260" t="str">
        <f t="shared" si="1"/>
        <v>W하우스304</v>
      </c>
      <c r="E83" s="249">
        <v>46007</v>
      </c>
      <c r="F83" s="255">
        <v>1218</v>
      </c>
      <c r="G83" s="226">
        <v>2506</v>
      </c>
      <c r="H83" s="102" t="s">
        <v>2649</v>
      </c>
      <c r="I83" s="103">
        <v>45950</v>
      </c>
      <c r="J83" s="103">
        <v>46041</v>
      </c>
      <c r="K83" s="340">
        <v>1300000</v>
      </c>
      <c r="L83" s="340">
        <v>1300000</v>
      </c>
      <c r="M83" s="340">
        <v>80000</v>
      </c>
      <c r="N83" s="340">
        <v>180000</v>
      </c>
      <c r="O83" s="340">
        <v>150000</v>
      </c>
    </row>
    <row r="84" spans="1:15" ht="20.100000000000001" hidden="1" customHeight="1">
      <c r="A84" s="100">
        <v>81</v>
      </c>
      <c r="B84" s="252" t="s">
        <v>2009</v>
      </c>
      <c r="C84" s="248" t="s">
        <v>2548</v>
      </c>
      <c r="D84" s="260" t="str">
        <f t="shared" si="1"/>
        <v>모던라이프403</v>
      </c>
      <c r="E84" s="249">
        <v>46008</v>
      </c>
      <c r="F84" s="255">
        <v>1580</v>
      </c>
      <c r="G84" s="226">
        <v>892</v>
      </c>
      <c r="H84" s="102" t="s">
        <v>2650</v>
      </c>
      <c r="I84" s="103">
        <v>43870</v>
      </c>
      <c r="J84" s="103">
        <v>43959</v>
      </c>
      <c r="K84" s="340">
        <v>1900000</v>
      </c>
      <c r="L84" s="340">
        <v>1900000</v>
      </c>
      <c r="M84" s="340">
        <v>0</v>
      </c>
      <c r="N84" s="340">
        <v>150000</v>
      </c>
      <c r="O84" s="340">
        <v>0</v>
      </c>
    </row>
    <row r="85" spans="1:15" ht="20.100000000000001" hidden="1" customHeight="1">
      <c r="A85" s="100">
        <v>82</v>
      </c>
      <c r="B85" s="252" t="s">
        <v>2040</v>
      </c>
      <c r="C85" s="248" t="s">
        <v>2566</v>
      </c>
      <c r="D85" s="260" t="str">
        <f t="shared" si="1"/>
        <v>메종빌401</v>
      </c>
      <c r="E85" s="249">
        <v>46010</v>
      </c>
      <c r="F85" s="255">
        <v>236</v>
      </c>
      <c r="G85" s="226">
        <v>2478</v>
      </c>
      <c r="H85" s="102" t="s">
        <v>2651</v>
      </c>
      <c r="I85" s="103">
        <v>45616</v>
      </c>
      <c r="J85" s="103">
        <v>45707</v>
      </c>
      <c r="K85" s="340">
        <v>2200000</v>
      </c>
      <c r="L85" s="340">
        <v>2200000</v>
      </c>
      <c r="M85" s="340">
        <v>130000</v>
      </c>
      <c r="N85" s="340">
        <v>250000</v>
      </c>
      <c r="O85" s="340">
        <v>200000</v>
      </c>
    </row>
    <row r="86" spans="1:15" ht="20.100000000000001" hidden="1" customHeight="1">
      <c r="A86" s="100">
        <v>83</v>
      </c>
      <c r="B86" s="252" t="s">
        <v>2032</v>
      </c>
      <c r="C86" s="248" t="s">
        <v>2578</v>
      </c>
      <c r="D86" s="260" t="str">
        <f t="shared" si="1"/>
        <v>서우하우스301</v>
      </c>
      <c r="E86" s="249">
        <v>46010</v>
      </c>
      <c r="F86" s="255">
        <v>5670</v>
      </c>
      <c r="G86" s="226">
        <v>257</v>
      </c>
      <c r="H86" s="102" t="s">
        <v>2652</v>
      </c>
      <c r="I86" s="103">
        <v>45964</v>
      </c>
      <c r="J86" s="103">
        <v>46055</v>
      </c>
      <c r="K86" s="340">
        <v>2600000</v>
      </c>
      <c r="L86" s="340">
        <v>2600000</v>
      </c>
      <c r="M86" s="340">
        <v>150000</v>
      </c>
      <c r="N86" s="340">
        <v>300000</v>
      </c>
      <c r="O86" s="340">
        <v>250000</v>
      </c>
    </row>
    <row r="87" spans="1:15" ht="20.100000000000001" hidden="1" customHeight="1">
      <c r="A87" s="100">
        <v>84</v>
      </c>
      <c r="B87" s="252" t="s">
        <v>2040</v>
      </c>
      <c r="C87" s="248" t="s">
        <v>2551</v>
      </c>
      <c r="D87" s="260" t="str">
        <f t="shared" si="1"/>
        <v>메종빌402</v>
      </c>
      <c r="E87" s="249">
        <v>46012</v>
      </c>
      <c r="F87" s="255">
        <v>162</v>
      </c>
      <c r="G87" s="226">
        <v>1330</v>
      </c>
      <c r="H87" s="102" t="s">
        <v>2653</v>
      </c>
      <c r="I87" s="103">
        <v>45921</v>
      </c>
      <c r="J87" s="103">
        <v>46011</v>
      </c>
      <c r="K87" s="340">
        <v>1900000</v>
      </c>
      <c r="L87" s="340">
        <v>1900000</v>
      </c>
      <c r="M87" s="340">
        <v>130000</v>
      </c>
      <c r="N87" s="340">
        <v>250000</v>
      </c>
      <c r="O87" s="340">
        <v>200000</v>
      </c>
    </row>
    <row r="88" spans="1:15" ht="20.100000000000001" hidden="1" customHeight="1">
      <c r="A88" s="100">
        <v>85</v>
      </c>
      <c r="B88" s="252" t="s">
        <v>2015</v>
      </c>
      <c r="C88" s="248" t="s">
        <v>2578</v>
      </c>
      <c r="D88" s="260" t="str">
        <f t="shared" si="1"/>
        <v>와이원빈티지301</v>
      </c>
      <c r="E88" s="249">
        <v>46013</v>
      </c>
      <c r="F88" s="255">
        <v>719</v>
      </c>
      <c r="G88" s="226">
        <v>1620</v>
      </c>
      <c r="H88" s="102" t="s">
        <v>2654</v>
      </c>
      <c r="I88" s="103">
        <v>45923</v>
      </c>
      <c r="J88" s="103">
        <v>46013</v>
      </c>
      <c r="K88" s="340">
        <v>1000000</v>
      </c>
      <c r="L88" s="340">
        <v>950000</v>
      </c>
      <c r="M88" s="340">
        <v>80000</v>
      </c>
      <c r="N88" s="340">
        <v>180000</v>
      </c>
      <c r="O88" s="340">
        <v>150000</v>
      </c>
    </row>
    <row r="89" spans="1:15" ht="20.100000000000001" hidden="1" customHeight="1">
      <c r="A89" s="100">
        <v>86</v>
      </c>
      <c r="B89" s="252" t="s">
        <v>2017</v>
      </c>
      <c r="C89" s="248" t="s">
        <v>2628</v>
      </c>
      <c r="D89" s="260" t="str">
        <f t="shared" ref="D89:D120" si="2">_xlfn.CONCAT(B89,C89)</f>
        <v>굿모닝빌501</v>
      </c>
      <c r="E89" s="249">
        <v>46013</v>
      </c>
      <c r="F89" s="255">
        <v>1938</v>
      </c>
      <c r="G89" s="226">
        <v>1741</v>
      </c>
      <c r="H89" s="102" t="s">
        <v>2655</v>
      </c>
      <c r="I89" s="103">
        <v>45895</v>
      </c>
      <c r="J89" s="103">
        <v>45986</v>
      </c>
      <c r="K89" s="340">
        <v>1500000</v>
      </c>
      <c r="L89" s="340">
        <v>1500000</v>
      </c>
      <c r="M89" s="340">
        <v>80000</v>
      </c>
      <c r="N89" s="340">
        <v>200000</v>
      </c>
      <c r="O89" s="340">
        <v>150000</v>
      </c>
    </row>
    <row r="90" spans="1:15" ht="20.100000000000001" hidden="1" customHeight="1">
      <c r="A90" s="100">
        <v>87</v>
      </c>
      <c r="B90" s="252" t="s">
        <v>2043</v>
      </c>
      <c r="C90" s="248" t="s">
        <v>2553</v>
      </c>
      <c r="D90" s="260" t="str">
        <f t="shared" si="2"/>
        <v>신림프리미어302</v>
      </c>
      <c r="E90" s="249">
        <v>46015</v>
      </c>
      <c r="F90" s="255">
        <v>6900</v>
      </c>
      <c r="G90" s="226">
        <v>91</v>
      </c>
      <c r="H90" s="102" t="s">
        <v>2656</v>
      </c>
      <c r="I90" s="103">
        <v>45102</v>
      </c>
      <c r="J90" s="103">
        <v>45832</v>
      </c>
      <c r="K90" s="340">
        <v>20000000</v>
      </c>
      <c r="L90" s="340">
        <v>450000</v>
      </c>
      <c r="M90" s="340">
        <v>70000</v>
      </c>
      <c r="N90" s="340">
        <v>110000</v>
      </c>
      <c r="O90" s="340">
        <v>100000</v>
      </c>
    </row>
    <row r="91" spans="1:15" ht="20.100000000000001" hidden="1" customHeight="1">
      <c r="A91" s="100">
        <v>88</v>
      </c>
      <c r="B91" s="252" t="s">
        <v>2043</v>
      </c>
      <c r="C91" s="248" t="s">
        <v>2548</v>
      </c>
      <c r="D91" s="260" t="str">
        <f t="shared" si="2"/>
        <v>신림프리미어403</v>
      </c>
      <c r="E91" s="249">
        <v>46015</v>
      </c>
      <c r="F91" s="255">
        <v>7208</v>
      </c>
      <c r="G91" s="226">
        <v>91</v>
      </c>
      <c r="H91" s="102" t="s">
        <v>2657</v>
      </c>
      <c r="I91" s="103">
        <v>43976</v>
      </c>
      <c r="J91" s="103">
        <v>44705</v>
      </c>
      <c r="K91" s="340">
        <v>15000000</v>
      </c>
      <c r="L91" s="340">
        <v>810000</v>
      </c>
      <c r="M91" s="340">
        <v>100000</v>
      </c>
      <c r="N91" s="340">
        <v>150000</v>
      </c>
      <c r="O91" s="340">
        <v>100000</v>
      </c>
    </row>
    <row r="92" spans="1:15" ht="20.100000000000001" hidden="1" customHeight="1">
      <c r="A92" s="100">
        <v>89</v>
      </c>
      <c r="B92" s="252" t="s">
        <v>2017</v>
      </c>
      <c r="C92" s="248" t="s">
        <v>2553</v>
      </c>
      <c r="D92" s="260" t="str">
        <f t="shared" si="2"/>
        <v>굿모닝빌302</v>
      </c>
      <c r="E92" s="249">
        <v>46019</v>
      </c>
      <c r="F92" s="255">
        <v>1354</v>
      </c>
      <c r="G92" s="226">
        <v>1744</v>
      </c>
      <c r="H92" s="102" t="s">
        <v>2658</v>
      </c>
      <c r="I92" s="103">
        <v>45562</v>
      </c>
      <c r="J92" s="103">
        <v>45652</v>
      </c>
      <c r="K92" s="340">
        <v>1200000</v>
      </c>
      <c r="L92" s="340">
        <v>1100000</v>
      </c>
      <c r="M92" s="340">
        <v>80000</v>
      </c>
      <c r="N92" s="340">
        <v>150000</v>
      </c>
      <c r="O92" s="340">
        <v>150000</v>
      </c>
    </row>
    <row r="93" spans="1:15" ht="20.100000000000001" hidden="1" customHeight="1">
      <c r="A93" s="100">
        <v>90</v>
      </c>
      <c r="B93" s="252" t="s">
        <v>2009</v>
      </c>
      <c r="C93" s="248" t="s">
        <v>2570</v>
      </c>
      <c r="D93" s="260" t="str">
        <f t="shared" si="2"/>
        <v>모던라이프601</v>
      </c>
      <c r="E93" s="249">
        <v>46022</v>
      </c>
      <c r="F93" s="255">
        <v>5953</v>
      </c>
      <c r="G93" s="226">
        <v>7403</v>
      </c>
      <c r="H93" s="102" t="s">
        <v>2659</v>
      </c>
      <c r="I93" s="103">
        <v>45958</v>
      </c>
      <c r="J93" s="103">
        <v>46049</v>
      </c>
      <c r="K93" s="340">
        <v>1500000</v>
      </c>
      <c r="L93" s="340">
        <v>1580000</v>
      </c>
      <c r="M93" s="340">
        <v>80000</v>
      </c>
      <c r="N93" s="340">
        <v>180000</v>
      </c>
      <c r="O93" s="340">
        <v>200000</v>
      </c>
    </row>
    <row r="94" spans="1:15" ht="20.100000000000001" hidden="1" customHeight="1">
      <c r="A94" s="100">
        <v>91</v>
      </c>
      <c r="B94" s="252" t="s">
        <v>2015</v>
      </c>
      <c r="C94" s="248" t="s">
        <v>2566</v>
      </c>
      <c r="D94" s="260" t="str">
        <f t="shared" si="2"/>
        <v>와이원빈티지401</v>
      </c>
      <c r="E94" s="249">
        <v>46023</v>
      </c>
      <c r="F94" s="255">
        <v>1509</v>
      </c>
      <c r="G94" s="226">
        <v>612</v>
      </c>
      <c r="H94" s="102" t="s">
        <v>2660</v>
      </c>
      <c r="I94" s="103">
        <v>45931</v>
      </c>
      <c r="J94" s="103">
        <v>46022</v>
      </c>
      <c r="K94" s="340">
        <v>1000000</v>
      </c>
      <c r="L94" s="340">
        <v>950000</v>
      </c>
      <c r="M94" s="340">
        <v>80000</v>
      </c>
      <c r="N94" s="340">
        <v>180000</v>
      </c>
      <c r="O94" s="340">
        <v>150000</v>
      </c>
    </row>
    <row r="95" spans="1:15" ht="20.100000000000001" hidden="1" customHeight="1">
      <c r="A95" s="100">
        <v>92</v>
      </c>
      <c r="B95" s="252" t="s">
        <v>1968</v>
      </c>
      <c r="C95" s="248" t="s">
        <v>2661</v>
      </c>
      <c r="D95" s="260" t="str">
        <f t="shared" si="2"/>
        <v>다존하우스306</v>
      </c>
      <c r="E95" s="249">
        <v>46024</v>
      </c>
      <c r="F95" s="255">
        <v>8793</v>
      </c>
      <c r="G95" s="226">
        <v>1007</v>
      </c>
      <c r="H95" s="102" t="s">
        <v>2662</v>
      </c>
      <c r="I95" s="103">
        <v>45483</v>
      </c>
      <c r="J95" s="103">
        <v>45635</v>
      </c>
      <c r="K95" s="340">
        <v>500000</v>
      </c>
      <c r="L95" s="340">
        <v>400000</v>
      </c>
      <c r="M95" s="340">
        <v>70000</v>
      </c>
      <c r="N95" s="340">
        <v>80000</v>
      </c>
      <c r="O95" s="340">
        <v>100000</v>
      </c>
    </row>
    <row r="96" spans="1:15" ht="20.100000000000001" hidden="1" customHeight="1">
      <c r="A96" s="100">
        <v>93</v>
      </c>
      <c r="B96" s="252" t="s">
        <v>1990</v>
      </c>
      <c r="C96" s="248" t="s">
        <v>2663</v>
      </c>
      <c r="D96" s="260" t="str">
        <f t="shared" si="2"/>
        <v>아페이론205</v>
      </c>
      <c r="E96" s="249">
        <v>46024</v>
      </c>
      <c r="F96" s="255">
        <v>22708</v>
      </c>
      <c r="G96" s="226">
        <v>226</v>
      </c>
      <c r="H96" s="102" t="s">
        <v>2664</v>
      </c>
      <c r="I96" s="103">
        <v>45769</v>
      </c>
      <c r="J96" s="103">
        <v>45859</v>
      </c>
      <c r="K96" s="340">
        <v>1250000</v>
      </c>
      <c r="L96" s="340">
        <v>1200000</v>
      </c>
      <c r="M96" s="340">
        <v>100000</v>
      </c>
      <c r="N96" s="340">
        <v>180000</v>
      </c>
      <c r="O96" s="340">
        <v>200000</v>
      </c>
    </row>
    <row r="97" spans="1:15" ht="20.100000000000001" hidden="1" customHeight="1">
      <c r="A97" s="100">
        <v>94</v>
      </c>
      <c r="B97" s="252" t="s">
        <v>2040</v>
      </c>
      <c r="C97" s="248" t="s">
        <v>2620</v>
      </c>
      <c r="D97" s="260" t="str">
        <f t="shared" si="2"/>
        <v>메종빌101</v>
      </c>
      <c r="E97" s="249">
        <v>46027</v>
      </c>
      <c r="F97" s="255">
        <v>2896</v>
      </c>
      <c r="G97" s="226">
        <v>881</v>
      </c>
      <c r="H97" s="102" t="s">
        <v>1638</v>
      </c>
      <c r="I97" s="103">
        <v>45839</v>
      </c>
      <c r="J97" s="103">
        <v>45930</v>
      </c>
      <c r="K97" s="340">
        <v>2450000</v>
      </c>
      <c r="L97" s="340">
        <v>2450000</v>
      </c>
      <c r="M97" s="340">
        <v>150000</v>
      </c>
      <c r="N97" s="340">
        <v>250000</v>
      </c>
      <c r="O97" s="340">
        <v>250000</v>
      </c>
    </row>
    <row r="98" spans="1:15" ht="20.100000000000001" hidden="1" customHeight="1">
      <c r="A98" s="100">
        <v>95</v>
      </c>
      <c r="B98" s="252" t="s">
        <v>2002</v>
      </c>
      <c r="C98" s="248" t="s">
        <v>2570</v>
      </c>
      <c r="D98" s="260" t="str">
        <f t="shared" si="2"/>
        <v>W하우스601</v>
      </c>
      <c r="E98" s="249">
        <v>46027</v>
      </c>
      <c r="F98" s="256">
        <v>6564</v>
      </c>
      <c r="G98" s="101">
        <v>2267</v>
      </c>
      <c r="H98" s="102" t="s">
        <v>2665</v>
      </c>
      <c r="I98" s="103">
        <v>45912</v>
      </c>
      <c r="J98" s="103">
        <v>46002</v>
      </c>
      <c r="K98" s="340">
        <v>1900000</v>
      </c>
      <c r="L98" s="340">
        <v>1900000</v>
      </c>
      <c r="M98" s="340">
        <v>150000</v>
      </c>
      <c r="N98" s="340">
        <v>250000</v>
      </c>
      <c r="O98" s="340">
        <v>200000</v>
      </c>
    </row>
    <row r="99" spans="1:15" ht="20.100000000000001" hidden="1" customHeight="1">
      <c r="A99" s="100">
        <v>96</v>
      </c>
      <c r="B99" s="252" t="s">
        <v>2000</v>
      </c>
      <c r="C99" s="248" t="s">
        <v>2538</v>
      </c>
      <c r="D99" s="260" t="str">
        <f t="shared" si="2"/>
        <v>포유빌201</v>
      </c>
      <c r="E99" s="249">
        <v>46033</v>
      </c>
      <c r="F99" s="256">
        <v>1841</v>
      </c>
      <c r="G99" s="101">
        <v>1334</v>
      </c>
      <c r="H99" s="102" t="s">
        <v>2666</v>
      </c>
      <c r="I99" s="103">
        <v>45421</v>
      </c>
      <c r="J99" s="103">
        <v>45816</v>
      </c>
      <c r="K99" s="340">
        <v>1200000</v>
      </c>
      <c r="L99" s="340">
        <v>1100000</v>
      </c>
      <c r="M99" s="340">
        <v>80000</v>
      </c>
      <c r="N99" s="340">
        <v>150000</v>
      </c>
      <c r="O99" s="340">
        <v>165000</v>
      </c>
    </row>
    <row r="100" spans="1:15" ht="20.100000000000001" hidden="1" customHeight="1">
      <c r="A100" s="100">
        <v>97</v>
      </c>
      <c r="B100" s="252" t="s">
        <v>1986</v>
      </c>
      <c r="C100" s="248" t="s">
        <v>2546</v>
      </c>
      <c r="D100" s="260" t="str">
        <f t="shared" si="2"/>
        <v>스타빌303</v>
      </c>
      <c r="E100" s="249">
        <v>46037</v>
      </c>
      <c r="F100" s="256">
        <v>2545</v>
      </c>
      <c r="G100" s="101">
        <v>1044</v>
      </c>
      <c r="H100" s="102" t="s">
        <v>2667</v>
      </c>
      <c r="I100" s="103">
        <v>45946</v>
      </c>
      <c r="J100" s="103">
        <v>46037</v>
      </c>
      <c r="K100" s="340">
        <v>750000</v>
      </c>
      <c r="L100" s="340">
        <v>700000</v>
      </c>
      <c r="M100" s="340">
        <v>80000</v>
      </c>
      <c r="N100" s="340">
        <v>100000</v>
      </c>
      <c r="O100" s="340">
        <v>100000</v>
      </c>
    </row>
    <row r="101" spans="1:15" ht="20.100000000000001" hidden="1" customHeight="1">
      <c r="A101" s="100">
        <v>98</v>
      </c>
      <c r="B101" s="252" t="s">
        <v>2017</v>
      </c>
      <c r="C101" s="248" t="s">
        <v>2538</v>
      </c>
      <c r="D101" s="259" t="str">
        <f t="shared" si="2"/>
        <v>굿모닝빌201</v>
      </c>
      <c r="E101" s="249">
        <v>46039</v>
      </c>
      <c r="F101" s="256">
        <v>1806</v>
      </c>
      <c r="G101" s="101">
        <v>1976</v>
      </c>
      <c r="H101" s="102" t="s">
        <v>2668</v>
      </c>
      <c r="I101" s="103">
        <v>45034</v>
      </c>
      <c r="J101" s="103">
        <v>45124</v>
      </c>
      <c r="K101" s="340">
        <v>1050000</v>
      </c>
      <c r="L101" s="340">
        <v>1050000</v>
      </c>
      <c r="M101" s="340">
        <v>80000</v>
      </c>
      <c r="N101" s="340">
        <v>150000</v>
      </c>
      <c r="O101" s="340">
        <v>150000</v>
      </c>
    </row>
    <row r="102" spans="1:15" ht="20.100000000000001" hidden="1" customHeight="1">
      <c r="A102" s="100">
        <v>99</v>
      </c>
      <c r="B102" s="252" t="s">
        <v>2030</v>
      </c>
      <c r="C102" s="248" t="s">
        <v>2553</v>
      </c>
      <c r="D102" s="259" t="str">
        <f t="shared" si="2"/>
        <v>토브미하우스302</v>
      </c>
      <c r="E102" s="249">
        <v>46040</v>
      </c>
      <c r="F102" s="256">
        <v>13297</v>
      </c>
      <c r="G102" s="101">
        <v>581</v>
      </c>
      <c r="H102" s="102" t="s">
        <v>2669</v>
      </c>
      <c r="I102" s="103">
        <v>45949</v>
      </c>
      <c r="J102" s="103">
        <v>46040</v>
      </c>
      <c r="K102" s="340">
        <v>1750000</v>
      </c>
      <c r="L102" s="340">
        <v>1750000</v>
      </c>
      <c r="M102" s="340">
        <v>100000</v>
      </c>
      <c r="N102" s="340">
        <v>200000</v>
      </c>
      <c r="O102" s="340">
        <v>200000</v>
      </c>
    </row>
    <row r="103" spans="1:15" ht="20.100000000000001" hidden="1" customHeight="1">
      <c r="A103" s="100">
        <v>100</v>
      </c>
      <c r="B103" s="252" t="s">
        <v>2009</v>
      </c>
      <c r="C103" s="248" t="s">
        <v>2546</v>
      </c>
      <c r="D103" s="259" t="str">
        <f t="shared" si="2"/>
        <v>모던라이프303</v>
      </c>
      <c r="E103" s="249">
        <v>46041</v>
      </c>
      <c r="F103" s="256">
        <v>1522</v>
      </c>
      <c r="G103" s="101">
        <v>1132</v>
      </c>
      <c r="H103" s="102" t="s">
        <v>2670</v>
      </c>
      <c r="I103" s="103">
        <v>45920</v>
      </c>
      <c r="J103" s="103">
        <v>46010</v>
      </c>
      <c r="K103" s="340">
        <v>1750000</v>
      </c>
      <c r="L103" s="340">
        <v>1750000</v>
      </c>
      <c r="M103" s="340">
        <v>100000</v>
      </c>
      <c r="N103" s="340">
        <v>250000</v>
      </c>
      <c r="O103" s="340">
        <v>200000</v>
      </c>
    </row>
    <row r="104" spans="1:15" ht="20.100000000000001" hidden="1" customHeight="1">
      <c r="A104" s="100">
        <v>101</v>
      </c>
      <c r="B104" s="252" t="s">
        <v>2671</v>
      </c>
      <c r="C104" s="248" t="s">
        <v>2548</v>
      </c>
      <c r="D104" s="259" t="str">
        <f t="shared" si="2"/>
        <v>w하우스403</v>
      </c>
      <c r="E104" s="249">
        <v>46041</v>
      </c>
      <c r="F104" s="256">
        <v>7685</v>
      </c>
      <c r="G104" s="101">
        <v>2312</v>
      </c>
      <c r="H104" s="102" t="s">
        <v>2672</v>
      </c>
      <c r="I104" s="103">
        <v>45934</v>
      </c>
      <c r="J104" s="103">
        <v>46025</v>
      </c>
      <c r="K104" s="340">
        <v>2300000</v>
      </c>
      <c r="L104" s="340">
        <v>2300000</v>
      </c>
      <c r="M104" s="340">
        <v>150000</v>
      </c>
      <c r="N104" s="340">
        <v>250000</v>
      </c>
      <c r="O104" s="340">
        <v>250000</v>
      </c>
    </row>
    <row r="105" spans="1:15" ht="20.100000000000001" hidden="1" customHeight="1">
      <c r="A105" s="100">
        <v>102</v>
      </c>
      <c r="B105" s="252" t="s">
        <v>2015</v>
      </c>
      <c r="C105" s="248" t="s">
        <v>2591</v>
      </c>
      <c r="D105" s="259" t="str">
        <f t="shared" si="2"/>
        <v>와이원빈티지204</v>
      </c>
      <c r="E105" s="249">
        <v>46042</v>
      </c>
      <c r="F105" s="256">
        <v>1227</v>
      </c>
      <c r="G105" s="101">
        <v>1549</v>
      </c>
      <c r="H105" s="102" t="s">
        <v>2673</v>
      </c>
      <c r="I105" s="103">
        <v>45951</v>
      </c>
      <c r="J105" s="103">
        <v>46042</v>
      </c>
      <c r="K105" s="340">
        <v>1000000</v>
      </c>
      <c r="L105" s="340">
        <v>1000000</v>
      </c>
      <c r="M105" s="340">
        <v>80000</v>
      </c>
      <c r="N105" s="340">
        <v>180000</v>
      </c>
      <c r="O105" s="340">
        <v>150000</v>
      </c>
    </row>
    <row r="106" spans="1:15" ht="20.100000000000001" hidden="1" customHeight="1">
      <c r="A106" s="100">
        <v>103</v>
      </c>
      <c r="B106" s="252" t="s">
        <v>2006</v>
      </c>
      <c r="C106" s="248" t="s">
        <v>2566</v>
      </c>
      <c r="D106" s="259" t="str">
        <f t="shared" si="2"/>
        <v>모던하우스401</v>
      </c>
      <c r="E106" s="249">
        <v>46042</v>
      </c>
      <c r="F106" s="256">
        <v>3122</v>
      </c>
      <c r="G106" s="101">
        <v>203</v>
      </c>
      <c r="H106" s="102" t="s">
        <v>2674</v>
      </c>
      <c r="I106" s="103">
        <v>45951</v>
      </c>
      <c r="J106" s="103">
        <v>46042</v>
      </c>
      <c r="K106" s="340">
        <v>1200000</v>
      </c>
      <c r="L106" s="340">
        <v>1200000</v>
      </c>
      <c r="M106" s="340">
        <v>100000</v>
      </c>
      <c r="N106" s="340">
        <v>180000</v>
      </c>
      <c r="O106" s="340">
        <v>150000</v>
      </c>
    </row>
    <row r="107" spans="1:15" ht="20.100000000000001" hidden="1" customHeight="1">
      <c r="A107" s="100">
        <v>104</v>
      </c>
      <c r="B107" s="252" t="s">
        <v>1986</v>
      </c>
      <c r="C107" s="248" t="s">
        <v>2542</v>
      </c>
      <c r="D107" s="259" t="str">
        <f t="shared" si="2"/>
        <v>스타빌102</v>
      </c>
      <c r="E107" s="249">
        <v>46043</v>
      </c>
      <c r="F107" s="256">
        <v>2605</v>
      </c>
      <c r="G107" s="101">
        <v>1677</v>
      </c>
      <c r="H107" s="102" t="s">
        <v>2675</v>
      </c>
      <c r="I107" s="103">
        <v>45922</v>
      </c>
      <c r="J107" s="103">
        <v>46012</v>
      </c>
      <c r="K107" s="340">
        <v>700000</v>
      </c>
      <c r="L107" s="340">
        <v>700000</v>
      </c>
      <c r="M107" s="340">
        <v>80000</v>
      </c>
      <c r="N107" s="340">
        <v>100000</v>
      </c>
      <c r="O107" s="340">
        <v>100000</v>
      </c>
    </row>
    <row r="108" spans="1:15" ht="20.100000000000001" hidden="1" customHeight="1">
      <c r="A108" s="100">
        <v>105</v>
      </c>
      <c r="B108" s="252" t="s">
        <v>2012</v>
      </c>
      <c r="C108" s="248" t="s">
        <v>2582</v>
      </c>
      <c r="D108" s="259" t="str">
        <f t="shared" si="2"/>
        <v>리트코하우스602</v>
      </c>
      <c r="E108" s="249">
        <v>46043</v>
      </c>
      <c r="F108" s="256">
        <v>8459</v>
      </c>
      <c r="G108" s="101">
        <v>74</v>
      </c>
      <c r="H108" s="102" t="s">
        <v>2676</v>
      </c>
      <c r="I108" s="103">
        <v>44263</v>
      </c>
      <c r="J108" s="103">
        <v>44354</v>
      </c>
      <c r="K108" s="340">
        <v>1200000</v>
      </c>
      <c r="L108" s="340">
        <v>1200000</v>
      </c>
      <c r="M108" s="340">
        <v>100000</v>
      </c>
      <c r="N108" s="340">
        <v>120000</v>
      </c>
      <c r="O108" s="340">
        <v>220000</v>
      </c>
    </row>
    <row r="109" spans="1:15" ht="20.100000000000001" hidden="1" customHeight="1">
      <c r="A109" s="100">
        <v>106</v>
      </c>
      <c r="B109" s="252" t="s">
        <v>1968</v>
      </c>
      <c r="C109" s="248" t="s">
        <v>2677</v>
      </c>
      <c r="D109" s="259" t="str">
        <f t="shared" si="2"/>
        <v>다존하우스508</v>
      </c>
      <c r="E109" s="249">
        <v>46045</v>
      </c>
      <c r="F109" s="256">
        <v>7711</v>
      </c>
      <c r="G109" s="101">
        <v>465</v>
      </c>
      <c r="H109" s="102" t="s">
        <v>2678</v>
      </c>
      <c r="I109" s="103">
        <v>45605</v>
      </c>
      <c r="J109" s="103">
        <v>45785</v>
      </c>
      <c r="K109" s="340">
        <v>500000</v>
      </c>
      <c r="L109" s="340">
        <v>400000</v>
      </c>
      <c r="M109" s="340">
        <v>70000</v>
      </c>
      <c r="N109" s="340">
        <v>80000</v>
      </c>
      <c r="O109" s="340">
        <v>150000</v>
      </c>
    </row>
    <row r="110" spans="1:15" ht="20.100000000000001" hidden="1" customHeight="1">
      <c r="A110" s="100">
        <v>107</v>
      </c>
      <c r="B110" s="252" t="s">
        <v>2009</v>
      </c>
      <c r="C110" s="248" t="s">
        <v>2595</v>
      </c>
      <c r="D110" s="259" t="str">
        <f t="shared" si="2"/>
        <v>모던라이프502</v>
      </c>
      <c r="E110" s="249">
        <v>46045</v>
      </c>
      <c r="F110" s="256">
        <v>1695</v>
      </c>
      <c r="G110" s="101">
        <v>2101</v>
      </c>
      <c r="H110" s="102" t="s">
        <v>2679</v>
      </c>
      <c r="I110" s="103">
        <v>45741</v>
      </c>
      <c r="J110" s="103">
        <v>45832</v>
      </c>
      <c r="K110" s="340">
        <v>1700000</v>
      </c>
      <c r="L110" s="340">
        <v>1700000</v>
      </c>
      <c r="M110" s="340">
        <v>100000</v>
      </c>
      <c r="N110" s="340">
        <v>250000</v>
      </c>
      <c r="O110" s="340">
        <v>200000</v>
      </c>
    </row>
    <row r="111" spans="1:15" ht="20.100000000000001" hidden="1" customHeight="1">
      <c r="A111" s="100">
        <v>108</v>
      </c>
      <c r="B111" s="252" t="s">
        <v>2012</v>
      </c>
      <c r="C111" s="248" t="s">
        <v>2609</v>
      </c>
      <c r="D111" s="259" t="str">
        <f t="shared" si="2"/>
        <v>리트코하우스503</v>
      </c>
      <c r="E111" s="249">
        <v>46046</v>
      </c>
      <c r="F111" s="256">
        <v>10517</v>
      </c>
      <c r="G111" s="101">
        <v>226</v>
      </c>
      <c r="H111" s="102" t="s">
        <v>2680</v>
      </c>
      <c r="I111" s="103">
        <v>45863</v>
      </c>
      <c r="J111" s="103">
        <v>45954</v>
      </c>
      <c r="K111" s="340">
        <v>1250000</v>
      </c>
      <c r="L111" s="340">
        <v>1250000</v>
      </c>
      <c r="M111" s="340">
        <v>100000</v>
      </c>
      <c r="N111" s="340">
        <v>180000</v>
      </c>
      <c r="O111" s="340">
        <v>220000</v>
      </c>
    </row>
    <row r="112" spans="1:15" ht="20.100000000000001" hidden="1" customHeight="1">
      <c r="A112" s="100">
        <v>109</v>
      </c>
      <c r="B112" s="252" t="s">
        <v>1986</v>
      </c>
      <c r="C112" s="248" t="s">
        <v>2681</v>
      </c>
      <c r="D112" s="259" t="str">
        <f t="shared" si="2"/>
        <v>스타빌105</v>
      </c>
      <c r="E112" s="249">
        <v>46048</v>
      </c>
      <c r="F112" s="256">
        <v>2742</v>
      </c>
      <c r="G112" s="101">
        <v>1609</v>
      </c>
      <c r="H112" s="102" t="s">
        <v>2682</v>
      </c>
      <c r="I112" s="103">
        <v>45597</v>
      </c>
      <c r="J112" s="103">
        <v>45688</v>
      </c>
      <c r="K112" s="340">
        <v>700000</v>
      </c>
      <c r="L112" s="340">
        <v>650000</v>
      </c>
      <c r="M112" s="340">
        <v>80000</v>
      </c>
      <c r="N112" s="340">
        <v>100000</v>
      </c>
      <c r="O112" s="340">
        <v>100000</v>
      </c>
    </row>
    <row r="113" spans="1:15" ht="20.100000000000001" hidden="1" customHeight="1">
      <c r="A113" s="100">
        <v>110</v>
      </c>
      <c r="B113" s="252" t="s">
        <v>1986</v>
      </c>
      <c r="C113" s="248" t="s">
        <v>2551</v>
      </c>
      <c r="D113" s="259" t="str">
        <f t="shared" si="2"/>
        <v>스타빌402</v>
      </c>
      <c r="E113" s="249">
        <v>46048</v>
      </c>
      <c r="F113" s="256">
        <v>3502</v>
      </c>
      <c r="G113" s="101">
        <v>1246</v>
      </c>
      <c r="H113" s="102" t="s">
        <v>2683</v>
      </c>
      <c r="I113" s="103">
        <v>45927</v>
      </c>
      <c r="J113" s="103">
        <v>46017</v>
      </c>
      <c r="K113" s="340">
        <v>750000</v>
      </c>
      <c r="L113" s="340">
        <v>750000</v>
      </c>
      <c r="M113" s="340">
        <v>80000</v>
      </c>
      <c r="N113" s="340">
        <v>100000</v>
      </c>
      <c r="O113" s="340">
        <v>100000</v>
      </c>
    </row>
    <row r="114" spans="1:15" ht="20.100000000000001" hidden="1" customHeight="1">
      <c r="A114" s="100">
        <v>111</v>
      </c>
      <c r="B114" s="252" t="s">
        <v>2017</v>
      </c>
      <c r="C114" s="248" t="s">
        <v>2566</v>
      </c>
      <c r="D114" s="259" t="str">
        <f t="shared" si="2"/>
        <v>굿모닝빌401</v>
      </c>
      <c r="E114" s="249">
        <v>46051</v>
      </c>
      <c r="F114" s="256">
        <v>2927</v>
      </c>
      <c r="G114" s="101">
        <v>2188</v>
      </c>
      <c r="H114" s="102" t="s">
        <v>2684</v>
      </c>
      <c r="I114" s="103">
        <v>45848</v>
      </c>
      <c r="J114" s="103">
        <v>45939</v>
      </c>
      <c r="K114" s="340">
        <v>1800000</v>
      </c>
      <c r="L114" s="340">
        <v>1800000</v>
      </c>
      <c r="M114" s="340">
        <v>100000</v>
      </c>
      <c r="N114" s="340">
        <v>200000</v>
      </c>
      <c r="O114" s="340">
        <v>200000</v>
      </c>
    </row>
    <row r="115" spans="1:15" ht="20.100000000000001" hidden="1" customHeight="1">
      <c r="A115" s="100">
        <v>112</v>
      </c>
      <c r="B115" s="252" t="s">
        <v>2015</v>
      </c>
      <c r="C115" s="248" t="s">
        <v>2546</v>
      </c>
      <c r="D115" s="259" t="str">
        <f t="shared" si="2"/>
        <v>와이원빈티지303</v>
      </c>
      <c r="E115" s="249">
        <v>46053</v>
      </c>
      <c r="F115" s="256">
        <v>1253</v>
      </c>
      <c r="G115" s="101">
        <v>813</v>
      </c>
      <c r="H115" s="102" t="s">
        <v>2685</v>
      </c>
      <c r="I115" s="103">
        <v>45962</v>
      </c>
      <c r="J115" s="103">
        <v>46053</v>
      </c>
      <c r="K115" s="340">
        <v>1000000</v>
      </c>
      <c r="L115" s="340">
        <v>950000</v>
      </c>
      <c r="M115" s="340">
        <v>80000</v>
      </c>
      <c r="N115" s="340">
        <v>180000</v>
      </c>
      <c r="O115" s="340">
        <v>150000</v>
      </c>
    </row>
    <row r="116" spans="1:15" ht="20.100000000000001" hidden="1" customHeight="1">
      <c r="A116" s="100">
        <v>113</v>
      </c>
      <c r="B116" s="252" t="s">
        <v>1968</v>
      </c>
      <c r="C116" s="248" t="s">
        <v>2628</v>
      </c>
      <c r="D116" s="259" t="str">
        <f t="shared" si="2"/>
        <v>다존하우스501</v>
      </c>
      <c r="E116" s="249">
        <v>46054</v>
      </c>
      <c r="F116" s="256">
        <v>10261</v>
      </c>
      <c r="G116" s="101">
        <v>1715</v>
      </c>
      <c r="H116" s="102" t="s">
        <v>2686</v>
      </c>
      <c r="I116" s="103">
        <v>45991</v>
      </c>
      <c r="J116" s="103">
        <v>46080</v>
      </c>
      <c r="K116" s="340">
        <v>500000</v>
      </c>
      <c r="L116" s="340">
        <v>400000</v>
      </c>
      <c r="M116" s="340">
        <v>70000</v>
      </c>
      <c r="N116" s="340">
        <v>80000</v>
      </c>
      <c r="O116" s="340">
        <v>100000</v>
      </c>
    </row>
    <row r="117" spans="1:15" ht="20.100000000000001" hidden="1" customHeight="1">
      <c r="A117" s="100">
        <v>114</v>
      </c>
      <c r="B117" s="252" t="s">
        <v>2687</v>
      </c>
      <c r="C117" s="248" t="s">
        <v>2688</v>
      </c>
      <c r="D117" s="259" t="str">
        <f t="shared" si="2"/>
        <v>지앤지2204</v>
      </c>
      <c r="E117" s="249">
        <v>46054</v>
      </c>
      <c r="F117" s="256">
        <v>8070</v>
      </c>
      <c r="G117" s="101">
        <v>1700</v>
      </c>
      <c r="H117" s="102" t="s">
        <v>2689</v>
      </c>
      <c r="I117" s="103">
        <v>45894</v>
      </c>
      <c r="J117" s="103">
        <v>45985</v>
      </c>
      <c r="K117" s="340">
        <v>1800000</v>
      </c>
      <c r="L117" s="340">
        <v>1800000</v>
      </c>
      <c r="M117" s="340">
        <v>100000</v>
      </c>
      <c r="N117" s="340">
        <v>250000</v>
      </c>
      <c r="O117" s="340">
        <v>200000</v>
      </c>
    </row>
    <row r="118" spans="1:15" ht="20.100000000000001" hidden="1" customHeight="1">
      <c r="A118" s="100">
        <v>115</v>
      </c>
      <c r="B118" s="252" t="s">
        <v>2690</v>
      </c>
      <c r="C118" s="248" t="s">
        <v>2691</v>
      </c>
      <c r="D118" s="259" t="str">
        <f t="shared" si="2"/>
        <v>리트코하우스703</v>
      </c>
      <c r="E118" s="249">
        <v>46063</v>
      </c>
      <c r="F118" s="256">
        <v>11775</v>
      </c>
      <c r="G118" s="101">
        <v>411</v>
      </c>
      <c r="H118" s="102" t="s">
        <v>2692</v>
      </c>
      <c r="I118" s="103">
        <v>45972</v>
      </c>
      <c r="J118" s="103">
        <v>46063</v>
      </c>
      <c r="K118" s="340">
        <v>1300000</v>
      </c>
      <c r="L118" s="340">
        <v>1300000</v>
      </c>
      <c r="M118" s="340">
        <v>100000</v>
      </c>
      <c r="N118" s="340">
        <v>180000</v>
      </c>
      <c r="O118" s="340">
        <v>220000</v>
      </c>
    </row>
    <row r="119" spans="1:15" ht="20.100000000000001" hidden="1" customHeight="1">
      <c r="A119" s="100">
        <v>116</v>
      </c>
      <c r="B119" s="252" t="s">
        <v>2025</v>
      </c>
      <c r="C119" s="248" t="s">
        <v>2564</v>
      </c>
      <c r="D119" s="259" t="str">
        <f t="shared" si="2"/>
        <v>한스텔304</v>
      </c>
      <c r="E119" s="249">
        <v>46055</v>
      </c>
      <c r="F119" s="256">
        <v>3449</v>
      </c>
      <c r="G119" s="101">
        <v>1454</v>
      </c>
      <c r="H119" s="102" t="s">
        <v>2693</v>
      </c>
      <c r="I119" s="103">
        <v>45538</v>
      </c>
      <c r="J119" s="103">
        <v>45628</v>
      </c>
      <c r="K119" s="340">
        <v>1000000</v>
      </c>
      <c r="L119" s="340">
        <v>1000000</v>
      </c>
      <c r="M119" s="340">
        <v>80000</v>
      </c>
      <c r="N119" s="340">
        <v>150000</v>
      </c>
      <c r="O119" s="340">
        <v>150000</v>
      </c>
    </row>
    <row r="120" spans="1:15" ht="20.100000000000001" hidden="1" customHeight="1">
      <c r="A120" s="100">
        <v>117</v>
      </c>
      <c r="B120" s="252" t="s">
        <v>2040</v>
      </c>
      <c r="C120" s="248" t="s">
        <v>2546</v>
      </c>
      <c r="D120" s="259" t="str">
        <f t="shared" si="2"/>
        <v>메종빌303</v>
      </c>
      <c r="E120" s="249">
        <v>46056</v>
      </c>
      <c r="F120" s="256">
        <v>677</v>
      </c>
      <c r="G120" s="101">
        <v>1581</v>
      </c>
      <c r="H120" s="102" t="s">
        <v>2694</v>
      </c>
      <c r="I120" s="103">
        <v>45918</v>
      </c>
      <c r="J120" s="103">
        <v>46008</v>
      </c>
      <c r="K120" s="340">
        <v>2350000</v>
      </c>
      <c r="L120" s="340">
        <v>2350000</v>
      </c>
      <c r="M120" s="340">
        <v>150000</v>
      </c>
      <c r="N120" s="340">
        <v>250000</v>
      </c>
      <c r="O120" s="340">
        <v>250000</v>
      </c>
    </row>
    <row r="121" spans="1:15" ht="20.100000000000001" hidden="1" customHeight="1">
      <c r="A121" s="100">
        <v>118</v>
      </c>
      <c r="B121" s="327" t="s">
        <v>2025</v>
      </c>
      <c r="C121" s="328" t="s">
        <v>2597</v>
      </c>
      <c r="D121" s="259" t="str">
        <f t="shared" ref="D121" si="3">_xlfn.CONCAT(B121,C121)</f>
        <v>한스텔B02</v>
      </c>
      <c r="E121" s="249">
        <v>46061</v>
      </c>
      <c r="F121" s="256">
        <v>3032</v>
      </c>
      <c r="G121" s="101">
        <v>962</v>
      </c>
      <c r="H121" s="102" t="s">
        <v>2695</v>
      </c>
      <c r="I121" s="103">
        <v>45961</v>
      </c>
      <c r="J121" s="103">
        <v>46052</v>
      </c>
      <c r="K121" s="340">
        <v>700000</v>
      </c>
      <c r="L121" s="340">
        <v>700000</v>
      </c>
      <c r="M121" s="340">
        <v>80000</v>
      </c>
      <c r="N121" s="340">
        <v>150000</v>
      </c>
      <c r="O121" s="340">
        <v>100000</v>
      </c>
    </row>
    <row r="122" spans="1:15" ht="20.100000000000001" hidden="1" customHeight="1">
      <c r="A122" s="100">
        <v>119</v>
      </c>
      <c r="B122" s="325" t="s">
        <v>2009</v>
      </c>
      <c r="C122" s="325">
        <v>204</v>
      </c>
      <c r="D122" s="326" t="str">
        <f t="shared" ref="D122:D131" si="4">_xlfn.CONCAT(B122,C122)</f>
        <v>모던라이프204</v>
      </c>
      <c r="E122" s="249">
        <v>46061</v>
      </c>
      <c r="F122" s="256">
        <v>2218</v>
      </c>
      <c r="G122" s="101">
        <v>3090</v>
      </c>
      <c r="H122" s="102" t="s">
        <v>2696</v>
      </c>
      <c r="I122" s="103">
        <v>45271</v>
      </c>
      <c r="J122" s="103">
        <v>45361</v>
      </c>
      <c r="K122" s="340">
        <v>1900000</v>
      </c>
      <c r="L122" s="340">
        <v>1900000</v>
      </c>
      <c r="M122" s="340">
        <v>120000</v>
      </c>
      <c r="N122" s="340">
        <v>25000</v>
      </c>
      <c r="O122" s="340">
        <v>25000</v>
      </c>
    </row>
    <row r="123" spans="1:15" ht="20.100000000000001" customHeight="1">
      <c r="A123" s="100">
        <v>120</v>
      </c>
      <c r="B123" s="248" t="s">
        <v>1970</v>
      </c>
      <c r="C123" s="248" t="s">
        <v>2580</v>
      </c>
      <c r="D123" s="326" t="str">
        <f t="shared" si="4"/>
        <v>옥당빌라103</v>
      </c>
      <c r="E123" s="249">
        <v>46066</v>
      </c>
      <c r="F123" s="256">
        <v>1665</v>
      </c>
      <c r="G123" s="101">
        <v>3643</v>
      </c>
      <c r="H123" s="102" t="s">
        <v>410</v>
      </c>
      <c r="I123" s="103">
        <v>45959</v>
      </c>
      <c r="J123" s="103">
        <v>46050</v>
      </c>
      <c r="K123" s="340">
        <v>1500000</v>
      </c>
      <c r="L123" s="340">
        <v>1500000</v>
      </c>
      <c r="M123" s="340">
        <v>120000</v>
      </c>
      <c r="N123" s="340">
        <v>200000</v>
      </c>
      <c r="O123" s="340">
        <v>165000</v>
      </c>
    </row>
    <row r="124" spans="1:15" ht="20.100000000000001" hidden="1" customHeight="1">
      <c r="A124" s="100">
        <v>121</v>
      </c>
      <c r="B124" s="329" t="s">
        <v>2034</v>
      </c>
      <c r="C124" s="330">
        <v>601</v>
      </c>
      <c r="D124" s="326" t="str">
        <f t="shared" si="4"/>
        <v>제이에스하우스601</v>
      </c>
      <c r="E124" s="249">
        <v>46064</v>
      </c>
      <c r="F124" s="256">
        <v>5565</v>
      </c>
      <c r="G124" s="101">
        <v>917</v>
      </c>
      <c r="H124" s="102" t="s">
        <v>2697</v>
      </c>
      <c r="I124" s="103">
        <v>45915</v>
      </c>
      <c r="J124" s="103">
        <v>46005</v>
      </c>
      <c r="K124" s="340">
        <v>500000</v>
      </c>
      <c r="L124" s="340">
        <v>450000</v>
      </c>
      <c r="M124" s="340">
        <v>50000</v>
      </c>
      <c r="N124" s="340">
        <v>70000</v>
      </c>
      <c r="O124" s="340">
        <v>100000</v>
      </c>
    </row>
    <row r="125" spans="1:15" ht="20.100000000000001" hidden="1" customHeight="1">
      <c r="A125" s="100">
        <v>122</v>
      </c>
      <c r="B125" s="252" t="s">
        <v>2017</v>
      </c>
      <c r="C125" s="248">
        <v>202</v>
      </c>
      <c r="D125" s="259" t="str">
        <f t="shared" si="4"/>
        <v>굿모닝빌202</v>
      </c>
      <c r="E125" s="249">
        <v>46069</v>
      </c>
      <c r="F125" s="256">
        <v>2357</v>
      </c>
      <c r="G125" s="101">
        <v>1838</v>
      </c>
      <c r="H125" s="102" t="s">
        <v>2698</v>
      </c>
      <c r="I125" s="103">
        <v>45762</v>
      </c>
      <c r="J125" s="103">
        <v>45852</v>
      </c>
      <c r="K125" s="340">
        <v>1000000</v>
      </c>
      <c r="L125" s="340">
        <v>1000000</v>
      </c>
      <c r="M125" s="340">
        <v>80000</v>
      </c>
      <c r="N125" s="340">
        <v>180000</v>
      </c>
      <c r="O125" s="340">
        <v>150000</v>
      </c>
    </row>
    <row r="126" spans="1:15" ht="20.100000000000001" hidden="1" customHeight="1">
      <c r="A126" s="100">
        <v>123</v>
      </c>
      <c r="B126" s="252" t="s">
        <v>1996</v>
      </c>
      <c r="C126" s="248">
        <v>301</v>
      </c>
      <c r="D126" s="259" t="str">
        <f>_xlfn.CONCAT(B126,C126)</f>
        <v>미래홈301</v>
      </c>
      <c r="E126" s="249">
        <v>46069</v>
      </c>
      <c r="F126" s="256">
        <v>1120</v>
      </c>
      <c r="G126" s="101">
        <v>55</v>
      </c>
      <c r="H126" s="102" t="s">
        <v>2699</v>
      </c>
      <c r="I126" s="103">
        <v>46019</v>
      </c>
      <c r="J126" s="103">
        <v>46108</v>
      </c>
      <c r="K126" s="340">
        <v>700000</v>
      </c>
      <c r="L126" s="340">
        <v>500000</v>
      </c>
      <c r="M126" s="340">
        <v>70000</v>
      </c>
      <c r="N126" s="340">
        <v>80000</v>
      </c>
      <c r="O126" s="340">
        <v>100000</v>
      </c>
    </row>
    <row r="127" spans="1:15" ht="20.100000000000001" hidden="1" customHeight="1">
      <c r="A127" s="100">
        <v>124</v>
      </c>
      <c r="B127" s="252" t="s">
        <v>2043</v>
      </c>
      <c r="C127" s="248" t="s">
        <v>2564</v>
      </c>
      <c r="D127" s="259" t="str">
        <f t="shared" si="4"/>
        <v>신림프리미어304</v>
      </c>
      <c r="E127" s="249">
        <v>46072</v>
      </c>
      <c r="F127" s="256">
        <v>11814</v>
      </c>
      <c r="G127" s="101">
        <v>542</v>
      </c>
      <c r="H127" s="102" t="s">
        <v>2700</v>
      </c>
      <c r="I127" s="103">
        <v>45646</v>
      </c>
      <c r="J127" s="103">
        <v>46375</v>
      </c>
      <c r="K127" s="340">
        <v>50000000</v>
      </c>
      <c r="L127" s="340">
        <v>700000</v>
      </c>
      <c r="M127" s="340">
        <v>90000</v>
      </c>
      <c r="N127" s="340">
        <v>120000</v>
      </c>
    </row>
    <row r="128" spans="1:15" ht="20.100000000000001" hidden="1" customHeight="1">
      <c r="A128" s="100">
        <v>125</v>
      </c>
      <c r="B128" s="252" t="s">
        <v>2019</v>
      </c>
      <c r="C128" s="248" t="s">
        <v>2553</v>
      </c>
      <c r="D128" s="259" t="str">
        <f t="shared" si="4"/>
        <v>모닝빌302</v>
      </c>
      <c r="E128" s="249">
        <v>46075</v>
      </c>
      <c r="F128" s="256">
        <v>6517</v>
      </c>
      <c r="G128" s="101">
        <v>1557</v>
      </c>
      <c r="H128" s="102" t="s">
        <v>2701</v>
      </c>
      <c r="I128" s="103">
        <v>44853</v>
      </c>
      <c r="J128" s="103">
        <v>44944</v>
      </c>
      <c r="K128" s="340">
        <v>990000</v>
      </c>
      <c r="L128" s="340">
        <v>990000</v>
      </c>
      <c r="M128" s="340">
        <v>80000</v>
      </c>
      <c r="N128" s="340">
        <v>130000</v>
      </c>
      <c r="O128" s="340">
        <v>150000</v>
      </c>
    </row>
    <row r="129" spans="1:16" ht="20.100000000000001" hidden="1" customHeight="1">
      <c r="A129" s="100">
        <v>126</v>
      </c>
      <c r="B129" s="252" t="s">
        <v>1996</v>
      </c>
      <c r="C129" s="248" t="s">
        <v>2591</v>
      </c>
      <c r="D129" s="259" t="str">
        <f t="shared" si="4"/>
        <v>미래홈204</v>
      </c>
      <c r="E129" s="249">
        <v>46074</v>
      </c>
      <c r="F129" s="256">
        <v>833</v>
      </c>
      <c r="G129" s="101">
        <v>538</v>
      </c>
      <c r="H129" s="102" t="s">
        <v>2702</v>
      </c>
      <c r="I129" s="103">
        <v>45983</v>
      </c>
      <c r="J129" s="103">
        <v>46074</v>
      </c>
      <c r="K129" s="340">
        <v>700000</v>
      </c>
      <c r="L129" s="340">
        <v>500000</v>
      </c>
      <c r="M129" s="340">
        <v>70000</v>
      </c>
      <c r="N129" s="340">
        <v>80000</v>
      </c>
      <c r="O129" s="340">
        <v>100000</v>
      </c>
    </row>
    <row r="130" spans="1:16" ht="20.100000000000001" hidden="1" customHeight="1">
      <c r="A130" s="100">
        <v>127</v>
      </c>
      <c r="B130" s="252" t="s">
        <v>2043</v>
      </c>
      <c r="C130" s="248" t="s">
        <v>2593</v>
      </c>
      <c r="D130" s="259" t="str">
        <f t="shared" si="4"/>
        <v>신림프리미어305</v>
      </c>
      <c r="E130" s="249">
        <v>46073</v>
      </c>
      <c r="F130" s="256">
        <v>9523</v>
      </c>
      <c r="G130" s="101">
        <v>393</v>
      </c>
      <c r="H130" s="102" t="s">
        <v>2703</v>
      </c>
      <c r="I130" s="103">
        <v>44612</v>
      </c>
      <c r="J130" s="103">
        <v>45341</v>
      </c>
      <c r="K130" s="340">
        <v>30000000</v>
      </c>
      <c r="L130" s="340">
        <v>660000</v>
      </c>
      <c r="M130" s="340">
        <v>70000</v>
      </c>
      <c r="N130" s="340">
        <v>100000</v>
      </c>
    </row>
    <row r="131" spans="1:16" ht="20.100000000000001" hidden="1" customHeight="1">
      <c r="A131" s="100">
        <v>128</v>
      </c>
      <c r="B131" s="252" t="s">
        <v>1996</v>
      </c>
      <c r="C131" s="248" t="s">
        <v>2580</v>
      </c>
      <c r="D131" s="259" t="str">
        <f t="shared" si="4"/>
        <v>미래홈103</v>
      </c>
      <c r="E131" s="249">
        <v>46074</v>
      </c>
      <c r="F131" s="256">
        <v>1217</v>
      </c>
      <c r="G131" s="101">
        <v>129</v>
      </c>
      <c r="H131" s="102" t="s">
        <v>2704</v>
      </c>
      <c r="I131" s="103">
        <v>45949</v>
      </c>
      <c r="J131" s="103">
        <v>46040</v>
      </c>
      <c r="K131" s="340">
        <v>500000</v>
      </c>
      <c r="L131" s="340">
        <v>350000</v>
      </c>
      <c r="M131" s="340">
        <v>70000</v>
      </c>
      <c r="N131" s="340">
        <v>80000</v>
      </c>
      <c r="O131" s="340">
        <v>110000</v>
      </c>
    </row>
    <row r="132" spans="1:16" ht="20.100000000000001" hidden="1" customHeight="1">
      <c r="A132" s="100">
        <v>129</v>
      </c>
      <c r="B132" s="252" t="s">
        <v>1968</v>
      </c>
      <c r="C132" s="248" t="s">
        <v>2705</v>
      </c>
      <c r="D132" s="259" t="str">
        <f t="shared" ref="D132:D195" si="5">_xlfn.CONCAT(B132,C132)</f>
        <v>다존하우스509</v>
      </c>
      <c r="E132" s="249">
        <v>46075</v>
      </c>
      <c r="F132" s="256">
        <v>10727</v>
      </c>
      <c r="G132" s="101">
        <v>644</v>
      </c>
      <c r="H132" s="102" t="s">
        <v>2706</v>
      </c>
      <c r="I132" s="103">
        <v>45892</v>
      </c>
      <c r="J132" s="103">
        <v>45983</v>
      </c>
      <c r="K132" s="340">
        <v>550000</v>
      </c>
      <c r="L132" s="340">
        <v>550000</v>
      </c>
      <c r="M132" s="340">
        <v>70000</v>
      </c>
      <c r="N132" s="340">
        <v>80000</v>
      </c>
      <c r="O132" s="340">
        <v>100000</v>
      </c>
    </row>
    <row r="133" spans="1:16" ht="20.100000000000001" hidden="1" customHeight="1">
      <c r="A133" s="100">
        <v>130</v>
      </c>
      <c r="B133" s="252" t="s">
        <v>1990</v>
      </c>
      <c r="C133" s="248" t="s">
        <v>2607</v>
      </c>
      <c r="D133" s="259" t="str">
        <f t="shared" si="5"/>
        <v>아페이론202</v>
      </c>
      <c r="E133" s="249">
        <v>46074</v>
      </c>
      <c r="F133" s="256">
        <v>19747</v>
      </c>
      <c r="G133" s="101">
        <v>175</v>
      </c>
      <c r="H133" s="102" t="s">
        <v>2707</v>
      </c>
      <c r="I133" s="103">
        <v>45983</v>
      </c>
      <c r="J133" s="103">
        <v>46074</v>
      </c>
      <c r="K133" s="340">
        <v>1200000</v>
      </c>
      <c r="L133" s="340">
        <v>1200000</v>
      </c>
      <c r="M133" s="340">
        <v>80000</v>
      </c>
      <c r="N133" s="340">
        <v>180000</v>
      </c>
      <c r="O133" s="340">
        <v>200000</v>
      </c>
    </row>
    <row r="134" spans="1:16" ht="20.100000000000001" hidden="1" customHeight="1">
      <c r="A134" s="100">
        <v>131</v>
      </c>
      <c r="B134" s="252" t="s">
        <v>2006</v>
      </c>
      <c r="C134" s="248" t="s">
        <v>2615</v>
      </c>
      <c r="D134" s="259" t="str">
        <f t="shared" si="5"/>
        <v>모던하우스405</v>
      </c>
      <c r="E134" s="249">
        <v>46078</v>
      </c>
      <c r="F134" s="256">
        <v>7647</v>
      </c>
      <c r="G134" s="101">
        <v>2341</v>
      </c>
      <c r="H134" s="102" t="s">
        <v>2708</v>
      </c>
      <c r="I134" s="103">
        <v>45743</v>
      </c>
      <c r="J134" s="103">
        <v>45834</v>
      </c>
      <c r="K134" s="340">
        <v>1250000</v>
      </c>
      <c r="L134" s="340">
        <v>1250000</v>
      </c>
      <c r="M134" s="340">
        <v>100000</v>
      </c>
      <c r="N134" s="340">
        <v>180000</v>
      </c>
      <c r="O134" s="340">
        <v>150000</v>
      </c>
    </row>
    <row r="135" spans="1:16" ht="20.100000000000001" hidden="1" customHeight="1">
      <c r="A135" s="100">
        <v>132</v>
      </c>
      <c r="B135" s="252" t="s">
        <v>2017</v>
      </c>
      <c r="C135" s="248" t="s">
        <v>2540</v>
      </c>
      <c r="D135" s="259" t="str">
        <f t="shared" si="5"/>
        <v>굿모닝빌203</v>
      </c>
      <c r="E135" s="249">
        <v>46079</v>
      </c>
      <c r="F135" s="256">
        <v>1851</v>
      </c>
      <c r="G135" s="101">
        <v>2267</v>
      </c>
      <c r="H135" s="102" t="s">
        <v>2709</v>
      </c>
      <c r="I135" s="103">
        <v>45865</v>
      </c>
      <c r="J135" s="103">
        <v>45956</v>
      </c>
      <c r="K135" s="340">
        <v>1200000</v>
      </c>
      <c r="L135" s="340">
        <v>1050000</v>
      </c>
      <c r="M135" s="340">
        <v>80000</v>
      </c>
      <c r="N135" s="340">
        <v>180000</v>
      </c>
      <c r="O135" s="340">
        <v>150000</v>
      </c>
    </row>
    <row r="136" spans="1:16" ht="20.100000000000001" hidden="1" customHeight="1">
      <c r="A136" s="100">
        <v>133</v>
      </c>
      <c r="B136" s="252" t="s">
        <v>1968</v>
      </c>
      <c r="C136" s="248" t="s">
        <v>2663</v>
      </c>
      <c r="D136" s="259" t="str">
        <f>_xlfn.CONCAT(B136,C136)</f>
        <v>다존하우스205</v>
      </c>
      <c r="E136" s="249">
        <v>46080</v>
      </c>
      <c r="F136" s="256">
        <v>10306</v>
      </c>
      <c r="G136" s="101">
        <v>1044</v>
      </c>
      <c r="H136" s="102" t="s">
        <v>2710</v>
      </c>
      <c r="I136" s="103">
        <v>44547</v>
      </c>
      <c r="J136" s="103">
        <v>44911</v>
      </c>
      <c r="K136" s="340">
        <v>715000</v>
      </c>
      <c r="L136" s="340">
        <v>450000</v>
      </c>
      <c r="M136" s="340">
        <v>70000</v>
      </c>
      <c r="N136" s="340">
        <v>70000</v>
      </c>
      <c r="O136" s="340">
        <v>200000</v>
      </c>
      <c r="P136" s="102" t="s">
        <v>2536</v>
      </c>
    </row>
    <row r="137" spans="1:16" ht="20.100000000000001" hidden="1" customHeight="1">
      <c r="A137" s="100">
        <v>134</v>
      </c>
      <c r="B137" s="252" t="s">
        <v>1968</v>
      </c>
      <c r="C137" s="248" t="s">
        <v>2711</v>
      </c>
      <c r="D137" s="259" t="str">
        <f t="shared" si="5"/>
        <v>다존하우스208</v>
      </c>
      <c r="E137" s="249">
        <v>46081</v>
      </c>
      <c r="F137" s="256">
        <v>12346</v>
      </c>
      <c r="G137" s="101">
        <v>1385</v>
      </c>
      <c r="H137" s="102" t="s">
        <v>2712</v>
      </c>
      <c r="I137" s="103">
        <v>45729</v>
      </c>
      <c r="J137" s="103">
        <v>45820</v>
      </c>
      <c r="K137" s="340">
        <v>500000</v>
      </c>
      <c r="L137" s="340">
        <v>400000</v>
      </c>
      <c r="M137" s="340">
        <v>70000</v>
      </c>
      <c r="N137" s="340">
        <v>80000</v>
      </c>
      <c r="O137" s="340">
        <v>100000</v>
      </c>
    </row>
    <row r="138" spans="1:16" ht="20.100000000000001" hidden="1" customHeight="1">
      <c r="A138" s="100">
        <v>135</v>
      </c>
      <c r="B138" s="252" t="s">
        <v>2012</v>
      </c>
      <c r="C138" s="248" t="s">
        <v>2544</v>
      </c>
      <c r="D138" s="259" t="str">
        <f t="shared" si="5"/>
        <v>리트코하우스603</v>
      </c>
      <c r="E138" s="249">
        <v>46081</v>
      </c>
      <c r="F138" s="256">
        <v>991</v>
      </c>
      <c r="G138" s="101">
        <v>294</v>
      </c>
      <c r="H138" s="102" t="s">
        <v>2713</v>
      </c>
      <c r="I138" s="103">
        <v>45870</v>
      </c>
      <c r="J138" s="103">
        <v>45961</v>
      </c>
      <c r="K138" s="340">
        <v>1250000</v>
      </c>
      <c r="L138" s="340">
        <v>1250000</v>
      </c>
      <c r="M138" s="340">
        <v>100000</v>
      </c>
      <c r="N138" s="340">
        <v>180000</v>
      </c>
      <c r="O138" s="340">
        <v>220000</v>
      </c>
    </row>
    <row r="139" spans="1:16" ht="20.100000000000001" hidden="1" customHeight="1">
      <c r="A139" s="100">
        <v>136</v>
      </c>
      <c r="B139" s="370" t="s">
        <v>2040</v>
      </c>
      <c r="C139" s="248" t="s">
        <v>2544</v>
      </c>
      <c r="D139" s="259" t="s">
        <v>2444</v>
      </c>
      <c r="E139" s="249">
        <v>46084</v>
      </c>
      <c r="F139" s="256">
        <v>3546</v>
      </c>
      <c r="G139" s="101">
        <v>370</v>
      </c>
      <c r="H139" s="102" t="s">
        <v>1326</v>
      </c>
      <c r="I139" s="103">
        <v>45993</v>
      </c>
      <c r="J139" s="103">
        <v>45717</v>
      </c>
      <c r="K139" s="340">
        <v>1700000</v>
      </c>
      <c r="L139" s="340">
        <v>1700000</v>
      </c>
      <c r="M139" s="340">
        <v>130000</v>
      </c>
      <c r="N139" s="340">
        <v>200000</v>
      </c>
      <c r="O139" s="340">
        <v>200000</v>
      </c>
    </row>
    <row r="140" spans="1:16" ht="20.100000000000001" hidden="1" customHeight="1">
      <c r="A140" s="100">
        <v>137</v>
      </c>
      <c r="B140" s="252" t="s">
        <v>2030</v>
      </c>
      <c r="C140" s="248" t="s">
        <v>2578</v>
      </c>
      <c r="D140" s="259" t="s">
        <v>2239</v>
      </c>
      <c r="E140" s="249">
        <v>46084</v>
      </c>
      <c r="F140" s="256">
        <v>16850</v>
      </c>
      <c r="G140" s="101">
        <v>2356</v>
      </c>
      <c r="H140" s="102" t="s">
        <v>1150</v>
      </c>
      <c r="I140" s="103">
        <v>45998</v>
      </c>
      <c r="J140" s="103">
        <v>46087</v>
      </c>
      <c r="K140" s="340">
        <v>1800000</v>
      </c>
      <c r="L140" s="340">
        <v>1800000</v>
      </c>
      <c r="M140" s="340">
        <v>100000</v>
      </c>
      <c r="N140" s="340">
        <v>200000</v>
      </c>
      <c r="O140" s="340">
        <v>200000</v>
      </c>
    </row>
    <row r="141" spans="1:16" ht="20.100000000000001" hidden="1" customHeight="1">
      <c r="A141" s="100">
        <v>138</v>
      </c>
      <c r="B141" s="252" t="s">
        <v>2043</v>
      </c>
      <c r="C141" s="248" t="s">
        <v>2591</v>
      </c>
      <c r="D141" s="259" t="s">
        <v>2389</v>
      </c>
      <c r="E141" s="249">
        <v>46059</v>
      </c>
      <c r="F141" s="256">
        <v>11157</v>
      </c>
      <c r="G141" s="101">
        <v>340</v>
      </c>
      <c r="H141" s="102" t="s">
        <v>2714</v>
      </c>
      <c r="I141" s="103">
        <v>45073</v>
      </c>
      <c r="J141" s="103">
        <v>45803</v>
      </c>
      <c r="K141" s="340">
        <v>20000000</v>
      </c>
      <c r="L141" s="340">
        <v>750000</v>
      </c>
      <c r="M141" s="340">
        <v>70000</v>
      </c>
      <c r="N141" s="340">
        <v>110000</v>
      </c>
    </row>
    <row r="142" spans="1:16" ht="20.100000000000001" hidden="1" customHeight="1">
      <c r="A142" s="100">
        <v>139</v>
      </c>
      <c r="B142" s="252" t="s">
        <v>2015</v>
      </c>
      <c r="C142" s="248" t="s">
        <v>2591</v>
      </c>
      <c r="D142" s="259" t="s">
        <v>2192</v>
      </c>
      <c r="E142" s="249">
        <v>46086</v>
      </c>
      <c r="F142" s="256">
        <v>1366</v>
      </c>
      <c r="G142" s="101">
        <v>1610</v>
      </c>
      <c r="H142" s="102" t="s">
        <v>2715</v>
      </c>
      <c r="I142" s="103">
        <v>46043</v>
      </c>
      <c r="J142" s="103">
        <v>46132</v>
      </c>
      <c r="K142" s="340">
        <v>1100000</v>
      </c>
      <c r="L142" s="340">
        <v>1000000</v>
      </c>
      <c r="M142" s="340">
        <v>80000</v>
      </c>
      <c r="N142" s="340">
        <v>180000</v>
      </c>
      <c r="O142" s="340">
        <v>150000</v>
      </c>
    </row>
    <row r="143" spans="1:16" ht="20.100000000000001" hidden="1" customHeight="1">
      <c r="A143" s="100">
        <v>140</v>
      </c>
      <c r="B143" s="252" t="s">
        <v>1996</v>
      </c>
      <c r="C143" s="248" t="s">
        <v>2540</v>
      </c>
      <c r="D143" s="259" t="s">
        <v>2138</v>
      </c>
      <c r="E143" s="249">
        <v>46086</v>
      </c>
      <c r="F143" s="256">
        <v>1203</v>
      </c>
      <c r="G143" s="101">
        <v>172</v>
      </c>
      <c r="H143" s="102" t="s">
        <v>2716</v>
      </c>
      <c r="I143" s="103">
        <v>45597</v>
      </c>
      <c r="J143" s="103">
        <v>45688</v>
      </c>
      <c r="K143" s="340">
        <v>700000</v>
      </c>
      <c r="L143" s="340">
        <v>500000</v>
      </c>
      <c r="M143" s="340">
        <v>70000</v>
      </c>
      <c r="N143" s="340">
        <v>80000</v>
      </c>
      <c r="O143" s="340">
        <v>110000</v>
      </c>
    </row>
    <row r="144" spans="1:16" ht="20.100000000000001" hidden="1" customHeight="1">
      <c r="A144" s="100">
        <v>141</v>
      </c>
      <c r="B144" s="252" t="s">
        <v>2012</v>
      </c>
      <c r="C144" s="248" t="s">
        <v>2572</v>
      </c>
      <c r="E144" s="249">
        <v>46089</v>
      </c>
      <c r="F144" s="256">
        <v>11791</v>
      </c>
      <c r="G144" s="101">
        <v>168</v>
      </c>
      <c r="H144" s="102" t="s">
        <v>2717</v>
      </c>
      <c r="I144" s="103">
        <v>45552</v>
      </c>
      <c r="J144" s="103">
        <v>45642</v>
      </c>
      <c r="K144" s="340">
        <v>1800000</v>
      </c>
      <c r="L144" s="340">
        <v>1800000</v>
      </c>
      <c r="M144" s="340">
        <v>120000</v>
      </c>
      <c r="N144" s="340">
        <v>150000</v>
      </c>
      <c r="O144" s="340">
        <v>275000</v>
      </c>
    </row>
    <row r="145" spans="1:16" ht="20.100000000000001" hidden="1" customHeight="1">
      <c r="A145" s="100">
        <v>142</v>
      </c>
      <c r="B145" s="252" t="s">
        <v>2012</v>
      </c>
      <c r="C145" s="248" t="s">
        <v>2582</v>
      </c>
      <c r="D145" s="259" t="s">
        <v>2251</v>
      </c>
      <c r="E145" s="249">
        <v>46088</v>
      </c>
      <c r="F145" s="256">
        <v>8567</v>
      </c>
      <c r="G145" s="101">
        <v>444</v>
      </c>
      <c r="H145" s="102" t="s">
        <v>2718</v>
      </c>
      <c r="I145" s="103">
        <v>46050</v>
      </c>
      <c r="J145" s="103">
        <v>46139</v>
      </c>
      <c r="K145" s="340">
        <v>1300000</v>
      </c>
      <c r="L145" s="340">
        <v>1300000</v>
      </c>
      <c r="M145" s="340">
        <v>100000</v>
      </c>
      <c r="N145" s="340">
        <v>180000</v>
      </c>
      <c r="O145" s="340">
        <v>220000</v>
      </c>
    </row>
    <row r="146" spans="1:16" ht="20.100000000000001" hidden="1" customHeight="1">
      <c r="A146" s="100">
        <v>143</v>
      </c>
      <c r="B146" s="252" t="s">
        <v>1970</v>
      </c>
      <c r="C146" s="248" t="s">
        <v>2607</v>
      </c>
      <c r="E146" s="249">
        <v>46090</v>
      </c>
      <c r="F146" s="256">
        <v>2666</v>
      </c>
      <c r="G146" s="101">
        <v>1733</v>
      </c>
      <c r="H146" s="102" t="s">
        <v>2719</v>
      </c>
      <c r="I146" s="103">
        <v>45962</v>
      </c>
      <c r="J146" s="103">
        <v>46053</v>
      </c>
      <c r="K146" s="340">
        <v>1300000</v>
      </c>
      <c r="L146" s="340">
        <v>1250000</v>
      </c>
      <c r="M146" s="340">
        <v>100000</v>
      </c>
      <c r="N146" s="340">
        <v>180000</v>
      </c>
      <c r="O146" s="340">
        <v>165000</v>
      </c>
    </row>
    <row r="147" spans="1:16" ht="20.100000000000001" hidden="1" customHeight="1">
      <c r="A147" s="100">
        <v>144</v>
      </c>
      <c r="B147" s="252" t="s">
        <v>2017</v>
      </c>
      <c r="C147" s="248" t="s">
        <v>2578</v>
      </c>
      <c r="D147" s="259" t="str">
        <f t="shared" si="5"/>
        <v>굿모닝빌301</v>
      </c>
      <c r="E147" s="249">
        <v>46091</v>
      </c>
      <c r="F147" s="256">
        <v>2009</v>
      </c>
      <c r="G147" s="101">
        <v>437</v>
      </c>
      <c r="H147" s="386" t="s">
        <v>1288</v>
      </c>
      <c r="I147" s="103">
        <v>45727</v>
      </c>
      <c r="J147" s="103">
        <v>45818</v>
      </c>
      <c r="K147" s="340">
        <v>1200000</v>
      </c>
      <c r="L147" s="340">
        <v>1100000</v>
      </c>
      <c r="M147" s="340">
        <v>80000</v>
      </c>
      <c r="N147" s="340">
        <v>180000</v>
      </c>
      <c r="O147" s="340">
        <v>150000</v>
      </c>
    </row>
    <row r="148" spans="1:16" ht="20.100000000000001" hidden="1" customHeight="1">
      <c r="A148" s="100">
        <v>145</v>
      </c>
      <c r="B148" s="252" t="s">
        <v>2015</v>
      </c>
      <c r="C148" s="248" t="s">
        <v>2607</v>
      </c>
      <c r="D148" s="259" t="str">
        <f t="shared" si="5"/>
        <v>와이원빈티지202</v>
      </c>
      <c r="E148" s="249">
        <v>46091</v>
      </c>
      <c r="F148" s="256">
        <v>1609</v>
      </c>
      <c r="G148" s="101">
        <v>2308</v>
      </c>
      <c r="H148" s="102" t="s">
        <v>2720</v>
      </c>
      <c r="I148" s="103">
        <v>46023</v>
      </c>
      <c r="J148" s="103">
        <v>46112</v>
      </c>
      <c r="K148" s="340">
        <v>1000000</v>
      </c>
      <c r="L148" s="340">
        <v>1000000</v>
      </c>
      <c r="M148" s="340">
        <v>80000</v>
      </c>
      <c r="N148" s="340">
        <v>180000</v>
      </c>
      <c r="O148" s="340">
        <v>150000</v>
      </c>
    </row>
    <row r="149" spans="1:16" ht="20.100000000000001" hidden="1" customHeight="1">
      <c r="A149" s="100">
        <v>146</v>
      </c>
      <c r="B149" s="252" t="s">
        <v>2009</v>
      </c>
      <c r="C149" s="248" t="s">
        <v>2578</v>
      </c>
      <c r="D149" s="259" t="str">
        <f t="shared" si="5"/>
        <v>모던라이프301</v>
      </c>
      <c r="E149" s="249">
        <v>46093</v>
      </c>
      <c r="F149" s="256">
        <v>1686</v>
      </c>
      <c r="G149" s="101">
        <v>1680</v>
      </c>
      <c r="H149" s="102" t="s">
        <v>2721</v>
      </c>
      <c r="I149" s="103">
        <v>45293</v>
      </c>
      <c r="J149" s="103">
        <v>45383</v>
      </c>
      <c r="K149" s="340">
        <v>1900000</v>
      </c>
      <c r="L149" s="340">
        <v>1900000</v>
      </c>
      <c r="M149" s="340">
        <v>100000</v>
      </c>
      <c r="N149" s="340">
        <v>200000</v>
      </c>
      <c r="O149" s="340">
        <v>200000</v>
      </c>
    </row>
    <row r="150" spans="1:16" ht="20.100000000000001" hidden="1" customHeight="1">
      <c r="A150" s="100">
        <v>147</v>
      </c>
      <c r="B150" s="252" t="s">
        <v>1968</v>
      </c>
      <c r="C150" s="248" t="s">
        <v>2584</v>
      </c>
      <c r="D150" s="259" t="str">
        <f t="shared" si="5"/>
        <v>다존하우스605</v>
      </c>
      <c r="E150" s="249">
        <v>46096</v>
      </c>
      <c r="F150" s="256">
        <v>10030</v>
      </c>
      <c r="G150" s="101">
        <v>1325</v>
      </c>
      <c r="H150" s="102" t="s">
        <v>2722</v>
      </c>
      <c r="I150" s="103">
        <v>46011</v>
      </c>
      <c r="J150" s="103">
        <v>46100</v>
      </c>
      <c r="K150" s="340">
        <v>500000</v>
      </c>
      <c r="L150" s="340">
        <v>400000</v>
      </c>
      <c r="M150" s="340">
        <v>70000</v>
      </c>
      <c r="N150" s="340">
        <v>80000</v>
      </c>
      <c r="O150" s="340">
        <v>100000</v>
      </c>
    </row>
    <row r="151" spans="1:16" ht="20.100000000000001" hidden="1" customHeight="1">
      <c r="A151" s="100">
        <v>148</v>
      </c>
      <c r="B151" s="252" t="s">
        <v>2002</v>
      </c>
      <c r="C151" s="248" t="s">
        <v>2578</v>
      </c>
      <c r="D151" s="259" t="str">
        <f t="shared" si="5"/>
        <v>W하우스301</v>
      </c>
      <c r="E151" s="249">
        <v>46095</v>
      </c>
      <c r="F151" s="256">
        <v>1781</v>
      </c>
      <c r="G151" s="101">
        <v>2222</v>
      </c>
      <c r="H151" s="102" t="s">
        <v>324</v>
      </c>
      <c r="I151" s="103">
        <v>45983</v>
      </c>
      <c r="J151" s="103">
        <v>46074</v>
      </c>
      <c r="K151" s="340">
        <v>1300000</v>
      </c>
      <c r="L151" s="340">
        <v>1300000</v>
      </c>
      <c r="M151" s="340">
        <v>80000</v>
      </c>
      <c r="N151" s="340">
        <v>180000</v>
      </c>
      <c r="O151" s="340">
        <v>150000</v>
      </c>
    </row>
    <row r="152" spans="1:16" ht="20.100000000000001" hidden="1" customHeight="1">
      <c r="A152" s="100">
        <v>149</v>
      </c>
      <c r="B152" s="252" t="s">
        <v>2006</v>
      </c>
      <c r="C152" s="248" t="s">
        <v>2628</v>
      </c>
      <c r="D152" s="259" t="str">
        <f t="shared" si="5"/>
        <v>모던하우스501</v>
      </c>
      <c r="E152" s="249">
        <v>46096</v>
      </c>
      <c r="F152" s="256">
        <v>4426</v>
      </c>
      <c r="G152" s="101">
        <v>1958</v>
      </c>
      <c r="H152" s="102" t="s">
        <v>2723</v>
      </c>
      <c r="I152" s="103">
        <v>45822</v>
      </c>
      <c r="J152" s="103">
        <v>45913</v>
      </c>
      <c r="K152" s="340">
        <v>1200000</v>
      </c>
      <c r="L152" s="340">
        <v>1200000</v>
      </c>
      <c r="M152" s="340">
        <v>100000</v>
      </c>
      <c r="N152" s="340">
        <v>150000</v>
      </c>
      <c r="O152" s="340">
        <v>150000</v>
      </c>
      <c r="P152" s="396" t="s">
        <v>2724</v>
      </c>
    </row>
    <row r="153" spans="1:16" ht="20.100000000000001" hidden="1" customHeight="1">
      <c r="A153" s="100">
        <v>150</v>
      </c>
      <c r="B153" s="252" t="s">
        <v>1996</v>
      </c>
      <c r="C153" s="248" t="s">
        <v>2643</v>
      </c>
      <c r="D153" s="259" t="str">
        <f t="shared" si="5"/>
        <v>미래홈107</v>
      </c>
      <c r="E153" s="249">
        <v>46098</v>
      </c>
      <c r="F153" s="256">
        <v>847</v>
      </c>
      <c r="G153" s="101">
        <v>58</v>
      </c>
      <c r="H153" s="102" t="s">
        <v>2725</v>
      </c>
      <c r="I153" s="103">
        <v>46009</v>
      </c>
      <c r="J153" s="103">
        <v>46098</v>
      </c>
      <c r="K153" s="340">
        <v>500000</v>
      </c>
      <c r="L153" s="340">
        <v>350000</v>
      </c>
      <c r="M153" s="340">
        <v>70000</v>
      </c>
      <c r="N153" s="340">
        <v>80000</v>
      </c>
      <c r="O153" s="340">
        <v>100000</v>
      </c>
    </row>
    <row r="154" spans="1:16" ht="20.100000000000001" hidden="1" customHeight="1">
      <c r="A154" s="100">
        <v>151</v>
      </c>
      <c r="B154" s="252" t="s">
        <v>1996</v>
      </c>
      <c r="C154" s="248" t="s">
        <v>2542</v>
      </c>
      <c r="D154" s="259" t="str">
        <f t="shared" si="5"/>
        <v>미래홈102</v>
      </c>
      <c r="E154" s="249">
        <v>46113</v>
      </c>
      <c r="F154" s="256">
        <v>927</v>
      </c>
      <c r="G154" s="101">
        <v>174</v>
      </c>
      <c r="H154" s="102" t="s">
        <v>2726</v>
      </c>
      <c r="I154" s="103">
        <v>46024</v>
      </c>
      <c r="J154" s="103">
        <v>46113</v>
      </c>
      <c r="K154" s="340">
        <v>500000</v>
      </c>
      <c r="L154" s="340">
        <v>300000</v>
      </c>
      <c r="M154" s="340">
        <v>70000</v>
      </c>
      <c r="N154" s="340">
        <v>90000</v>
      </c>
      <c r="O154" s="340">
        <v>110000</v>
      </c>
    </row>
    <row r="155" spans="1:16" ht="20.100000000000001" hidden="1" customHeight="1">
      <c r="A155" s="100">
        <v>152</v>
      </c>
      <c r="B155" s="252" t="s">
        <v>2055</v>
      </c>
      <c r="C155" s="248" t="s">
        <v>2580</v>
      </c>
      <c r="D155" s="259" t="str">
        <f t="shared" si="5"/>
        <v>제이드하우스103</v>
      </c>
      <c r="E155" s="249">
        <v>46098</v>
      </c>
      <c r="F155" s="256">
        <v>1718</v>
      </c>
      <c r="G155" s="101">
        <v>3714</v>
      </c>
      <c r="H155" s="102" t="s">
        <v>2727</v>
      </c>
      <c r="I155" s="103">
        <v>46081</v>
      </c>
      <c r="J155" s="103">
        <v>46172</v>
      </c>
      <c r="K155" s="340">
        <v>1450000</v>
      </c>
      <c r="L155" s="340">
        <v>1400000</v>
      </c>
      <c r="M155" s="340">
        <v>120000</v>
      </c>
      <c r="N155" s="340">
        <v>200000</v>
      </c>
      <c r="O155" s="340">
        <v>100000</v>
      </c>
    </row>
    <row r="156" spans="1:16" ht="20.100000000000001" hidden="1" customHeight="1">
      <c r="D156" s="259" t="str">
        <f t="shared" si="5"/>
        <v/>
      </c>
    </row>
    <row r="157" spans="1:16" ht="20.100000000000001" hidden="1" customHeight="1">
      <c r="D157" s="259" t="str">
        <f t="shared" si="5"/>
        <v/>
      </c>
    </row>
    <row r="158" spans="1:16" ht="20.100000000000001" hidden="1" customHeight="1">
      <c r="D158" s="259" t="str">
        <f t="shared" si="5"/>
        <v/>
      </c>
    </row>
    <row r="159" spans="1:16" ht="20.100000000000001" hidden="1" customHeight="1">
      <c r="D159" s="259" t="str">
        <f t="shared" si="5"/>
        <v/>
      </c>
    </row>
    <row r="160" spans="1:16" ht="20.100000000000001" hidden="1" customHeight="1">
      <c r="D160" s="259" t="str">
        <f t="shared" si="5"/>
        <v/>
      </c>
    </row>
    <row r="161" spans="4:4" ht="20.100000000000001" hidden="1" customHeight="1">
      <c r="D161" s="259" t="str">
        <f t="shared" si="5"/>
        <v/>
      </c>
    </row>
    <row r="162" spans="4:4" ht="20.100000000000001" hidden="1" customHeight="1">
      <c r="D162" s="259" t="str">
        <f t="shared" si="5"/>
        <v/>
      </c>
    </row>
    <row r="163" spans="4:4" ht="20.100000000000001" hidden="1" customHeight="1">
      <c r="D163" s="259" t="str">
        <f t="shared" si="5"/>
        <v/>
      </c>
    </row>
    <row r="164" spans="4:4" ht="20.100000000000001" hidden="1" customHeight="1">
      <c r="D164" s="259" t="str">
        <f t="shared" si="5"/>
        <v/>
      </c>
    </row>
    <row r="165" spans="4:4" ht="20.100000000000001" hidden="1" customHeight="1">
      <c r="D165" s="259" t="str">
        <f t="shared" si="5"/>
        <v/>
      </c>
    </row>
    <row r="166" spans="4:4" ht="20.100000000000001" hidden="1" customHeight="1">
      <c r="D166" s="259" t="str">
        <f t="shared" si="5"/>
        <v/>
      </c>
    </row>
    <row r="167" spans="4:4" ht="20.100000000000001" hidden="1" customHeight="1">
      <c r="D167" s="259" t="str">
        <f t="shared" si="5"/>
        <v/>
      </c>
    </row>
    <row r="168" spans="4:4" ht="20.100000000000001" hidden="1" customHeight="1">
      <c r="D168" s="259" t="str">
        <f t="shared" si="5"/>
        <v/>
      </c>
    </row>
    <row r="169" spans="4:4" ht="20.100000000000001" hidden="1" customHeight="1">
      <c r="D169" s="259" t="str">
        <f t="shared" si="5"/>
        <v/>
      </c>
    </row>
    <row r="170" spans="4:4" ht="20.100000000000001" hidden="1" customHeight="1">
      <c r="D170" s="259" t="str">
        <f t="shared" si="5"/>
        <v/>
      </c>
    </row>
    <row r="171" spans="4:4" ht="20.100000000000001" hidden="1" customHeight="1">
      <c r="D171" s="259" t="str">
        <f t="shared" si="5"/>
        <v/>
      </c>
    </row>
    <row r="172" spans="4:4" ht="20.100000000000001" hidden="1" customHeight="1">
      <c r="D172" s="259" t="str">
        <f t="shared" si="5"/>
        <v/>
      </c>
    </row>
    <row r="173" spans="4:4" ht="20.100000000000001" hidden="1" customHeight="1">
      <c r="D173" s="259" t="str">
        <f t="shared" si="5"/>
        <v/>
      </c>
    </row>
    <row r="174" spans="4:4" ht="20.100000000000001" hidden="1" customHeight="1">
      <c r="D174" s="259" t="str">
        <f t="shared" si="5"/>
        <v/>
      </c>
    </row>
    <row r="175" spans="4:4" ht="20.100000000000001" hidden="1" customHeight="1">
      <c r="D175" s="259" t="str">
        <f t="shared" si="5"/>
        <v/>
      </c>
    </row>
    <row r="176" spans="4:4" ht="20.100000000000001" hidden="1" customHeight="1">
      <c r="D176" s="259" t="str">
        <f t="shared" si="5"/>
        <v/>
      </c>
    </row>
    <row r="177" spans="4:4" ht="20.100000000000001" hidden="1" customHeight="1">
      <c r="D177" s="259" t="str">
        <f t="shared" si="5"/>
        <v/>
      </c>
    </row>
    <row r="178" spans="4:4" ht="20.100000000000001" hidden="1" customHeight="1">
      <c r="D178" s="259" t="str">
        <f t="shared" si="5"/>
        <v/>
      </c>
    </row>
    <row r="179" spans="4:4" ht="20.100000000000001" hidden="1" customHeight="1">
      <c r="D179" s="259" t="str">
        <f t="shared" si="5"/>
        <v/>
      </c>
    </row>
    <row r="180" spans="4:4" ht="20.100000000000001" hidden="1" customHeight="1">
      <c r="D180" s="259" t="str">
        <f t="shared" si="5"/>
        <v/>
      </c>
    </row>
    <row r="181" spans="4:4" ht="20.100000000000001" hidden="1" customHeight="1">
      <c r="D181" s="259" t="str">
        <f t="shared" si="5"/>
        <v/>
      </c>
    </row>
    <row r="182" spans="4:4" ht="20.100000000000001" hidden="1" customHeight="1">
      <c r="D182" s="259" t="str">
        <f t="shared" si="5"/>
        <v/>
      </c>
    </row>
    <row r="183" spans="4:4" ht="20.100000000000001" hidden="1" customHeight="1">
      <c r="D183" s="259" t="str">
        <f t="shared" si="5"/>
        <v/>
      </c>
    </row>
    <row r="184" spans="4:4" ht="20.100000000000001" hidden="1" customHeight="1">
      <c r="D184" s="259" t="str">
        <f t="shared" si="5"/>
        <v/>
      </c>
    </row>
    <row r="185" spans="4:4" ht="20.100000000000001" hidden="1" customHeight="1">
      <c r="D185" s="259" t="str">
        <f t="shared" si="5"/>
        <v/>
      </c>
    </row>
    <row r="186" spans="4:4" ht="20.100000000000001" hidden="1" customHeight="1">
      <c r="D186" s="259" t="str">
        <f t="shared" si="5"/>
        <v/>
      </c>
    </row>
    <row r="187" spans="4:4" ht="20.100000000000001" hidden="1" customHeight="1">
      <c r="D187" s="259" t="str">
        <f t="shared" si="5"/>
        <v/>
      </c>
    </row>
    <row r="188" spans="4:4" ht="20.100000000000001" hidden="1" customHeight="1">
      <c r="D188" s="259" t="str">
        <f t="shared" si="5"/>
        <v/>
      </c>
    </row>
    <row r="189" spans="4:4" ht="20.100000000000001" hidden="1" customHeight="1">
      <c r="D189" s="259" t="str">
        <f t="shared" si="5"/>
        <v/>
      </c>
    </row>
    <row r="190" spans="4:4" ht="20.100000000000001" hidden="1" customHeight="1">
      <c r="D190" s="259" t="str">
        <f t="shared" si="5"/>
        <v/>
      </c>
    </row>
    <row r="191" spans="4:4" ht="20.100000000000001" hidden="1" customHeight="1">
      <c r="D191" s="259" t="str">
        <f t="shared" si="5"/>
        <v/>
      </c>
    </row>
    <row r="192" spans="4:4" ht="20.100000000000001" hidden="1" customHeight="1">
      <c r="D192" s="259" t="str">
        <f t="shared" si="5"/>
        <v/>
      </c>
    </row>
    <row r="193" spans="4:4" ht="20.100000000000001" hidden="1" customHeight="1">
      <c r="D193" s="259" t="str">
        <f t="shared" si="5"/>
        <v/>
      </c>
    </row>
    <row r="194" spans="4:4" ht="20.100000000000001" hidden="1" customHeight="1">
      <c r="D194" s="259" t="str">
        <f t="shared" si="5"/>
        <v/>
      </c>
    </row>
    <row r="195" spans="4:4" ht="20.100000000000001" hidden="1" customHeight="1">
      <c r="D195" s="259" t="str">
        <f t="shared" si="5"/>
        <v/>
      </c>
    </row>
    <row r="196" spans="4:4" ht="20.100000000000001" hidden="1" customHeight="1">
      <c r="D196" s="259" t="str">
        <f t="shared" ref="D196:D259" si="6">_xlfn.CONCAT(B196,C196)</f>
        <v/>
      </c>
    </row>
    <row r="197" spans="4:4" ht="20.100000000000001" hidden="1" customHeight="1">
      <c r="D197" s="259" t="str">
        <f t="shared" si="6"/>
        <v/>
      </c>
    </row>
    <row r="198" spans="4:4" ht="20.100000000000001" hidden="1" customHeight="1">
      <c r="D198" s="259" t="str">
        <f t="shared" si="6"/>
        <v/>
      </c>
    </row>
    <row r="199" spans="4:4" ht="20.100000000000001" hidden="1" customHeight="1">
      <c r="D199" s="259" t="str">
        <f t="shared" si="6"/>
        <v/>
      </c>
    </row>
    <row r="200" spans="4:4" ht="20.100000000000001" hidden="1" customHeight="1">
      <c r="D200" s="259" t="str">
        <f t="shared" si="6"/>
        <v/>
      </c>
    </row>
    <row r="201" spans="4:4" ht="20.100000000000001" hidden="1" customHeight="1">
      <c r="D201" s="259" t="str">
        <f t="shared" si="6"/>
        <v/>
      </c>
    </row>
    <row r="202" spans="4:4" ht="20.100000000000001" hidden="1" customHeight="1">
      <c r="D202" s="259" t="str">
        <f t="shared" si="6"/>
        <v/>
      </c>
    </row>
    <row r="203" spans="4:4" ht="20.100000000000001" hidden="1" customHeight="1">
      <c r="D203" s="259" t="str">
        <f t="shared" si="6"/>
        <v/>
      </c>
    </row>
    <row r="204" spans="4:4" ht="20.100000000000001" hidden="1" customHeight="1">
      <c r="D204" s="259" t="str">
        <f t="shared" si="6"/>
        <v/>
      </c>
    </row>
    <row r="205" spans="4:4" ht="20.100000000000001" hidden="1" customHeight="1">
      <c r="D205" s="259" t="str">
        <f t="shared" si="6"/>
        <v/>
      </c>
    </row>
    <row r="206" spans="4:4" ht="20.100000000000001" hidden="1" customHeight="1">
      <c r="D206" s="259" t="str">
        <f t="shared" si="6"/>
        <v/>
      </c>
    </row>
    <row r="207" spans="4:4" ht="20.100000000000001" hidden="1" customHeight="1">
      <c r="D207" s="259" t="str">
        <f t="shared" si="6"/>
        <v/>
      </c>
    </row>
    <row r="208" spans="4:4" ht="20.100000000000001" hidden="1" customHeight="1">
      <c r="D208" s="259" t="str">
        <f t="shared" si="6"/>
        <v/>
      </c>
    </row>
    <row r="209" spans="4:4" ht="20.100000000000001" hidden="1" customHeight="1">
      <c r="D209" s="259" t="str">
        <f t="shared" si="6"/>
        <v/>
      </c>
    </row>
    <row r="210" spans="4:4" ht="20.100000000000001" hidden="1" customHeight="1">
      <c r="D210" s="259" t="str">
        <f t="shared" si="6"/>
        <v/>
      </c>
    </row>
    <row r="211" spans="4:4" ht="20.100000000000001" hidden="1" customHeight="1">
      <c r="D211" s="259" t="str">
        <f t="shared" si="6"/>
        <v/>
      </c>
    </row>
    <row r="212" spans="4:4" ht="20.100000000000001" hidden="1" customHeight="1">
      <c r="D212" s="259" t="str">
        <f t="shared" si="6"/>
        <v/>
      </c>
    </row>
    <row r="213" spans="4:4" ht="20.100000000000001" hidden="1" customHeight="1">
      <c r="D213" s="259" t="str">
        <f t="shared" si="6"/>
        <v/>
      </c>
    </row>
    <row r="214" spans="4:4" ht="20.100000000000001" hidden="1" customHeight="1">
      <c r="D214" s="259" t="str">
        <f t="shared" si="6"/>
        <v/>
      </c>
    </row>
    <row r="215" spans="4:4" ht="20.100000000000001" hidden="1" customHeight="1">
      <c r="D215" s="259" t="str">
        <f t="shared" si="6"/>
        <v/>
      </c>
    </row>
    <row r="216" spans="4:4" ht="20.100000000000001" hidden="1" customHeight="1">
      <c r="D216" s="259" t="str">
        <f t="shared" si="6"/>
        <v/>
      </c>
    </row>
    <row r="217" spans="4:4" ht="20.100000000000001" hidden="1" customHeight="1">
      <c r="D217" s="259" t="str">
        <f t="shared" si="6"/>
        <v/>
      </c>
    </row>
    <row r="218" spans="4:4" ht="20.100000000000001" hidden="1" customHeight="1">
      <c r="D218" s="259" t="str">
        <f t="shared" si="6"/>
        <v/>
      </c>
    </row>
    <row r="219" spans="4:4" ht="20.100000000000001" hidden="1" customHeight="1">
      <c r="D219" s="259" t="str">
        <f t="shared" si="6"/>
        <v/>
      </c>
    </row>
    <row r="220" spans="4:4" ht="20.100000000000001" hidden="1" customHeight="1">
      <c r="D220" s="259" t="str">
        <f t="shared" si="6"/>
        <v/>
      </c>
    </row>
    <row r="221" spans="4:4" ht="20.100000000000001" hidden="1" customHeight="1">
      <c r="D221" s="259" t="str">
        <f t="shared" si="6"/>
        <v/>
      </c>
    </row>
    <row r="222" spans="4:4" ht="20.100000000000001" hidden="1" customHeight="1">
      <c r="D222" s="259" t="str">
        <f t="shared" si="6"/>
        <v/>
      </c>
    </row>
    <row r="223" spans="4:4" ht="20.100000000000001" hidden="1" customHeight="1">
      <c r="D223" s="259" t="str">
        <f t="shared" si="6"/>
        <v/>
      </c>
    </row>
    <row r="224" spans="4:4" ht="20.100000000000001" hidden="1" customHeight="1">
      <c r="D224" s="259" t="str">
        <f t="shared" si="6"/>
        <v/>
      </c>
    </row>
    <row r="225" spans="4:4" ht="20.100000000000001" hidden="1" customHeight="1">
      <c r="D225" s="259" t="str">
        <f t="shared" si="6"/>
        <v/>
      </c>
    </row>
    <row r="226" spans="4:4" ht="20.100000000000001" hidden="1" customHeight="1">
      <c r="D226" s="259" t="str">
        <f t="shared" si="6"/>
        <v/>
      </c>
    </row>
    <row r="227" spans="4:4" ht="20.100000000000001" hidden="1" customHeight="1">
      <c r="D227" s="259" t="str">
        <f t="shared" si="6"/>
        <v/>
      </c>
    </row>
    <row r="228" spans="4:4" ht="20.100000000000001" hidden="1" customHeight="1">
      <c r="D228" s="259" t="str">
        <f t="shared" si="6"/>
        <v/>
      </c>
    </row>
    <row r="229" spans="4:4" ht="20.100000000000001" hidden="1" customHeight="1">
      <c r="D229" s="259" t="str">
        <f t="shared" si="6"/>
        <v/>
      </c>
    </row>
    <row r="230" spans="4:4" ht="20.100000000000001" hidden="1" customHeight="1">
      <c r="D230" s="259" t="str">
        <f t="shared" si="6"/>
        <v/>
      </c>
    </row>
    <row r="231" spans="4:4" ht="20.100000000000001" hidden="1" customHeight="1">
      <c r="D231" s="259" t="str">
        <f t="shared" si="6"/>
        <v/>
      </c>
    </row>
    <row r="232" spans="4:4" ht="20.100000000000001" hidden="1" customHeight="1">
      <c r="D232" s="259" t="str">
        <f t="shared" si="6"/>
        <v/>
      </c>
    </row>
    <row r="233" spans="4:4" ht="20.100000000000001" hidden="1" customHeight="1">
      <c r="D233" s="259" t="str">
        <f t="shared" si="6"/>
        <v/>
      </c>
    </row>
    <row r="234" spans="4:4" ht="20.100000000000001" hidden="1" customHeight="1">
      <c r="D234" s="259" t="str">
        <f t="shared" si="6"/>
        <v/>
      </c>
    </row>
    <row r="235" spans="4:4" ht="20.100000000000001" hidden="1" customHeight="1">
      <c r="D235" s="259" t="str">
        <f t="shared" si="6"/>
        <v/>
      </c>
    </row>
    <row r="236" spans="4:4" ht="20.100000000000001" hidden="1" customHeight="1">
      <c r="D236" s="259" t="str">
        <f t="shared" si="6"/>
        <v/>
      </c>
    </row>
    <row r="237" spans="4:4" ht="20.100000000000001" hidden="1" customHeight="1">
      <c r="D237" s="259" t="str">
        <f t="shared" si="6"/>
        <v/>
      </c>
    </row>
    <row r="238" spans="4:4" ht="20.100000000000001" hidden="1" customHeight="1">
      <c r="D238" s="259" t="str">
        <f t="shared" si="6"/>
        <v/>
      </c>
    </row>
    <row r="239" spans="4:4" ht="20.100000000000001" hidden="1" customHeight="1">
      <c r="D239" s="259" t="str">
        <f t="shared" si="6"/>
        <v/>
      </c>
    </row>
    <row r="240" spans="4:4" ht="20.100000000000001" hidden="1" customHeight="1">
      <c r="D240" s="259" t="str">
        <f t="shared" si="6"/>
        <v/>
      </c>
    </row>
    <row r="241" spans="4:4" ht="20.100000000000001" hidden="1" customHeight="1">
      <c r="D241" s="259" t="str">
        <f t="shared" si="6"/>
        <v/>
      </c>
    </row>
    <row r="242" spans="4:4" ht="20.100000000000001" hidden="1" customHeight="1">
      <c r="D242" s="259" t="str">
        <f t="shared" si="6"/>
        <v/>
      </c>
    </row>
    <row r="243" spans="4:4" ht="20.100000000000001" hidden="1" customHeight="1">
      <c r="D243" s="259" t="str">
        <f t="shared" si="6"/>
        <v/>
      </c>
    </row>
    <row r="244" spans="4:4" ht="20.100000000000001" hidden="1" customHeight="1">
      <c r="D244" s="259" t="str">
        <f t="shared" si="6"/>
        <v/>
      </c>
    </row>
    <row r="245" spans="4:4" ht="20.100000000000001" hidden="1" customHeight="1">
      <c r="D245" s="259" t="str">
        <f t="shared" si="6"/>
        <v/>
      </c>
    </row>
    <row r="246" spans="4:4" ht="20.100000000000001" hidden="1" customHeight="1">
      <c r="D246" s="259" t="str">
        <f t="shared" si="6"/>
        <v/>
      </c>
    </row>
    <row r="247" spans="4:4" ht="20.100000000000001" hidden="1" customHeight="1">
      <c r="D247" s="259" t="str">
        <f t="shared" si="6"/>
        <v/>
      </c>
    </row>
    <row r="248" spans="4:4" ht="20.100000000000001" hidden="1" customHeight="1">
      <c r="D248" s="259" t="str">
        <f t="shared" si="6"/>
        <v/>
      </c>
    </row>
    <row r="249" spans="4:4" ht="20.100000000000001" hidden="1" customHeight="1">
      <c r="D249" s="259" t="str">
        <f t="shared" si="6"/>
        <v/>
      </c>
    </row>
    <row r="250" spans="4:4" ht="20.100000000000001" hidden="1" customHeight="1">
      <c r="D250" s="259" t="str">
        <f t="shared" si="6"/>
        <v/>
      </c>
    </row>
    <row r="251" spans="4:4" ht="20.100000000000001" hidden="1" customHeight="1">
      <c r="D251" s="259" t="str">
        <f t="shared" si="6"/>
        <v/>
      </c>
    </row>
    <row r="252" spans="4:4" ht="20.100000000000001" hidden="1" customHeight="1">
      <c r="D252" s="259" t="str">
        <f t="shared" si="6"/>
        <v/>
      </c>
    </row>
    <row r="253" spans="4:4" ht="20.100000000000001" hidden="1" customHeight="1">
      <c r="D253" s="259" t="str">
        <f t="shared" si="6"/>
        <v/>
      </c>
    </row>
    <row r="254" spans="4:4" ht="20.100000000000001" hidden="1" customHeight="1">
      <c r="D254" s="259" t="str">
        <f t="shared" si="6"/>
        <v/>
      </c>
    </row>
    <row r="255" spans="4:4" ht="20.100000000000001" hidden="1" customHeight="1">
      <c r="D255" s="259" t="str">
        <f t="shared" si="6"/>
        <v/>
      </c>
    </row>
    <row r="256" spans="4:4" ht="20.100000000000001" hidden="1" customHeight="1">
      <c r="D256" s="259" t="str">
        <f t="shared" si="6"/>
        <v/>
      </c>
    </row>
    <row r="257" spans="4:4" ht="20.100000000000001" hidden="1" customHeight="1">
      <c r="D257" s="259" t="str">
        <f t="shared" si="6"/>
        <v/>
      </c>
    </row>
    <row r="258" spans="4:4" ht="20.100000000000001" hidden="1" customHeight="1">
      <c r="D258" s="259" t="str">
        <f t="shared" si="6"/>
        <v/>
      </c>
    </row>
    <row r="259" spans="4:4" ht="20.100000000000001" hidden="1" customHeight="1">
      <c r="D259" s="259" t="str">
        <f t="shared" si="6"/>
        <v/>
      </c>
    </row>
    <row r="260" spans="4:4" ht="20.100000000000001" hidden="1" customHeight="1">
      <c r="D260" s="259" t="str">
        <f t="shared" ref="D260:D323" si="7">_xlfn.CONCAT(B260,C260)</f>
        <v/>
      </c>
    </row>
    <row r="261" spans="4:4" ht="20.100000000000001" hidden="1" customHeight="1">
      <c r="D261" s="259" t="str">
        <f t="shared" si="7"/>
        <v/>
      </c>
    </row>
    <row r="262" spans="4:4" ht="20.100000000000001" hidden="1" customHeight="1">
      <c r="D262" s="259" t="str">
        <f t="shared" si="7"/>
        <v/>
      </c>
    </row>
    <row r="263" spans="4:4" ht="20.100000000000001" hidden="1" customHeight="1">
      <c r="D263" s="259" t="str">
        <f t="shared" si="7"/>
        <v/>
      </c>
    </row>
    <row r="264" spans="4:4" ht="20.100000000000001" hidden="1" customHeight="1">
      <c r="D264" s="259" t="str">
        <f t="shared" si="7"/>
        <v/>
      </c>
    </row>
    <row r="265" spans="4:4" ht="20.100000000000001" hidden="1" customHeight="1">
      <c r="D265" s="259" t="str">
        <f t="shared" si="7"/>
        <v/>
      </c>
    </row>
    <row r="266" spans="4:4" ht="20.100000000000001" hidden="1" customHeight="1">
      <c r="D266" s="259" t="str">
        <f t="shared" si="7"/>
        <v/>
      </c>
    </row>
    <row r="267" spans="4:4" ht="20.100000000000001" hidden="1" customHeight="1">
      <c r="D267" s="259" t="str">
        <f t="shared" si="7"/>
        <v/>
      </c>
    </row>
    <row r="268" spans="4:4" ht="20.100000000000001" hidden="1" customHeight="1">
      <c r="D268" s="259" t="str">
        <f t="shared" si="7"/>
        <v/>
      </c>
    </row>
    <row r="269" spans="4:4" ht="20.100000000000001" hidden="1" customHeight="1">
      <c r="D269" s="259" t="str">
        <f t="shared" si="7"/>
        <v/>
      </c>
    </row>
    <row r="270" spans="4:4" ht="20.100000000000001" hidden="1" customHeight="1">
      <c r="D270" s="259" t="str">
        <f t="shared" si="7"/>
        <v/>
      </c>
    </row>
    <row r="271" spans="4:4" ht="20.100000000000001" hidden="1" customHeight="1">
      <c r="D271" s="259" t="str">
        <f t="shared" si="7"/>
        <v/>
      </c>
    </row>
    <row r="272" spans="4:4" ht="20.100000000000001" hidden="1" customHeight="1">
      <c r="D272" s="259" t="str">
        <f t="shared" si="7"/>
        <v/>
      </c>
    </row>
    <row r="273" spans="4:4" ht="20.100000000000001" hidden="1" customHeight="1">
      <c r="D273" s="259" t="str">
        <f t="shared" si="7"/>
        <v/>
      </c>
    </row>
    <row r="274" spans="4:4" ht="20.100000000000001" hidden="1" customHeight="1">
      <c r="D274" s="259" t="str">
        <f t="shared" si="7"/>
        <v/>
      </c>
    </row>
    <row r="275" spans="4:4" ht="20.100000000000001" hidden="1" customHeight="1">
      <c r="D275" s="259" t="str">
        <f t="shared" si="7"/>
        <v/>
      </c>
    </row>
    <row r="276" spans="4:4" ht="20.100000000000001" hidden="1" customHeight="1">
      <c r="D276" s="259" t="str">
        <f t="shared" si="7"/>
        <v/>
      </c>
    </row>
    <row r="277" spans="4:4" ht="20.100000000000001" hidden="1" customHeight="1">
      <c r="D277" s="259" t="str">
        <f t="shared" si="7"/>
        <v/>
      </c>
    </row>
    <row r="278" spans="4:4" ht="20.100000000000001" hidden="1" customHeight="1">
      <c r="D278" s="259" t="str">
        <f t="shared" si="7"/>
        <v/>
      </c>
    </row>
    <row r="279" spans="4:4" ht="20.100000000000001" hidden="1" customHeight="1">
      <c r="D279" s="259" t="str">
        <f t="shared" si="7"/>
        <v/>
      </c>
    </row>
    <row r="280" spans="4:4" ht="20.100000000000001" hidden="1" customHeight="1">
      <c r="D280" s="259" t="str">
        <f t="shared" si="7"/>
        <v/>
      </c>
    </row>
    <row r="281" spans="4:4" ht="20.100000000000001" hidden="1" customHeight="1">
      <c r="D281" s="259" t="str">
        <f t="shared" si="7"/>
        <v/>
      </c>
    </row>
    <row r="282" spans="4:4" ht="20.100000000000001" hidden="1" customHeight="1">
      <c r="D282" s="259" t="str">
        <f t="shared" si="7"/>
        <v/>
      </c>
    </row>
    <row r="283" spans="4:4" ht="20.100000000000001" hidden="1" customHeight="1">
      <c r="D283" s="259" t="str">
        <f t="shared" si="7"/>
        <v/>
      </c>
    </row>
    <row r="284" spans="4:4" ht="20.100000000000001" hidden="1" customHeight="1">
      <c r="D284" s="259" t="str">
        <f t="shared" si="7"/>
        <v/>
      </c>
    </row>
    <row r="285" spans="4:4" ht="20.100000000000001" hidden="1" customHeight="1">
      <c r="D285" s="259" t="str">
        <f t="shared" si="7"/>
        <v/>
      </c>
    </row>
    <row r="286" spans="4:4" ht="20.100000000000001" hidden="1" customHeight="1">
      <c r="D286" s="259" t="str">
        <f t="shared" si="7"/>
        <v/>
      </c>
    </row>
    <row r="287" spans="4:4" ht="20.100000000000001" hidden="1" customHeight="1">
      <c r="D287" s="259" t="str">
        <f t="shared" si="7"/>
        <v/>
      </c>
    </row>
    <row r="288" spans="4:4" ht="20.100000000000001" hidden="1" customHeight="1">
      <c r="D288" s="259" t="str">
        <f t="shared" si="7"/>
        <v/>
      </c>
    </row>
    <row r="289" spans="4:4" ht="20.100000000000001" hidden="1" customHeight="1">
      <c r="D289" s="259" t="str">
        <f t="shared" si="7"/>
        <v/>
      </c>
    </row>
    <row r="290" spans="4:4" ht="20.100000000000001" hidden="1" customHeight="1">
      <c r="D290" s="259" t="str">
        <f t="shared" si="7"/>
        <v/>
      </c>
    </row>
    <row r="291" spans="4:4" ht="20.100000000000001" hidden="1" customHeight="1">
      <c r="D291" s="259" t="str">
        <f t="shared" si="7"/>
        <v/>
      </c>
    </row>
    <row r="292" spans="4:4" ht="20.100000000000001" hidden="1" customHeight="1">
      <c r="D292" s="259" t="str">
        <f t="shared" si="7"/>
        <v/>
      </c>
    </row>
    <row r="293" spans="4:4" ht="20.100000000000001" hidden="1" customHeight="1">
      <c r="D293" s="259" t="str">
        <f t="shared" si="7"/>
        <v/>
      </c>
    </row>
    <row r="294" spans="4:4" ht="20.100000000000001" hidden="1" customHeight="1">
      <c r="D294" s="259" t="str">
        <f t="shared" si="7"/>
        <v/>
      </c>
    </row>
    <row r="295" spans="4:4" ht="20.100000000000001" hidden="1" customHeight="1">
      <c r="D295" s="259" t="str">
        <f t="shared" si="7"/>
        <v/>
      </c>
    </row>
    <row r="296" spans="4:4" ht="20.100000000000001" hidden="1" customHeight="1">
      <c r="D296" s="259" t="str">
        <f t="shared" si="7"/>
        <v/>
      </c>
    </row>
    <row r="297" spans="4:4" ht="20.100000000000001" hidden="1" customHeight="1">
      <c r="D297" s="259" t="str">
        <f t="shared" si="7"/>
        <v/>
      </c>
    </row>
    <row r="298" spans="4:4" ht="20.100000000000001" hidden="1" customHeight="1">
      <c r="D298" s="259" t="str">
        <f t="shared" si="7"/>
        <v/>
      </c>
    </row>
    <row r="299" spans="4:4" ht="20.100000000000001" hidden="1" customHeight="1">
      <c r="D299" s="259" t="str">
        <f t="shared" si="7"/>
        <v/>
      </c>
    </row>
    <row r="300" spans="4:4" ht="20.100000000000001" hidden="1" customHeight="1">
      <c r="D300" s="259" t="str">
        <f t="shared" si="7"/>
        <v/>
      </c>
    </row>
    <row r="301" spans="4:4" ht="20.100000000000001" hidden="1" customHeight="1">
      <c r="D301" s="259" t="str">
        <f t="shared" si="7"/>
        <v/>
      </c>
    </row>
    <row r="302" spans="4:4" ht="20.100000000000001" hidden="1" customHeight="1">
      <c r="D302" s="259" t="str">
        <f t="shared" si="7"/>
        <v/>
      </c>
    </row>
    <row r="303" spans="4:4" ht="20.100000000000001" hidden="1" customHeight="1">
      <c r="D303" s="259" t="str">
        <f t="shared" si="7"/>
        <v/>
      </c>
    </row>
    <row r="304" spans="4:4" ht="20.100000000000001" hidden="1" customHeight="1">
      <c r="D304" s="259" t="str">
        <f t="shared" si="7"/>
        <v/>
      </c>
    </row>
    <row r="305" spans="4:4" ht="20.100000000000001" hidden="1" customHeight="1">
      <c r="D305" s="259" t="str">
        <f t="shared" si="7"/>
        <v/>
      </c>
    </row>
    <row r="306" spans="4:4" ht="20.100000000000001" hidden="1" customHeight="1">
      <c r="D306" s="259" t="str">
        <f t="shared" si="7"/>
        <v/>
      </c>
    </row>
    <row r="307" spans="4:4" ht="20.100000000000001" hidden="1" customHeight="1">
      <c r="D307" s="259" t="str">
        <f t="shared" si="7"/>
        <v/>
      </c>
    </row>
    <row r="308" spans="4:4" ht="20.100000000000001" hidden="1" customHeight="1">
      <c r="D308" s="259" t="str">
        <f t="shared" si="7"/>
        <v/>
      </c>
    </row>
    <row r="309" spans="4:4" ht="20.100000000000001" hidden="1" customHeight="1">
      <c r="D309" s="259" t="str">
        <f t="shared" si="7"/>
        <v/>
      </c>
    </row>
    <row r="310" spans="4:4" ht="20.100000000000001" hidden="1" customHeight="1">
      <c r="D310" s="259" t="str">
        <f t="shared" si="7"/>
        <v/>
      </c>
    </row>
    <row r="311" spans="4:4" ht="20.100000000000001" hidden="1" customHeight="1">
      <c r="D311" s="259" t="str">
        <f t="shared" si="7"/>
        <v/>
      </c>
    </row>
    <row r="312" spans="4:4" ht="20.100000000000001" hidden="1" customHeight="1">
      <c r="D312" s="259" t="str">
        <f t="shared" si="7"/>
        <v/>
      </c>
    </row>
    <row r="313" spans="4:4" ht="20.100000000000001" hidden="1" customHeight="1">
      <c r="D313" s="259" t="str">
        <f t="shared" si="7"/>
        <v/>
      </c>
    </row>
    <row r="314" spans="4:4" ht="20.100000000000001" hidden="1" customHeight="1">
      <c r="D314" s="259" t="str">
        <f t="shared" si="7"/>
        <v/>
      </c>
    </row>
    <row r="315" spans="4:4" ht="20.100000000000001" hidden="1" customHeight="1">
      <c r="D315" s="259" t="str">
        <f t="shared" si="7"/>
        <v/>
      </c>
    </row>
    <row r="316" spans="4:4" ht="20.100000000000001" hidden="1" customHeight="1">
      <c r="D316" s="259" t="str">
        <f t="shared" si="7"/>
        <v/>
      </c>
    </row>
    <row r="317" spans="4:4" ht="20.100000000000001" hidden="1" customHeight="1">
      <c r="D317" s="259" t="str">
        <f t="shared" si="7"/>
        <v/>
      </c>
    </row>
    <row r="318" spans="4:4" ht="20.100000000000001" hidden="1" customHeight="1">
      <c r="D318" s="259" t="str">
        <f t="shared" si="7"/>
        <v/>
      </c>
    </row>
    <row r="319" spans="4:4" ht="20.100000000000001" hidden="1" customHeight="1">
      <c r="D319" s="259" t="str">
        <f t="shared" si="7"/>
        <v/>
      </c>
    </row>
    <row r="320" spans="4:4" ht="20.100000000000001" hidden="1" customHeight="1">
      <c r="D320" s="259" t="str">
        <f t="shared" si="7"/>
        <v/>
      </c>
    </row>
    <row r="321" spans="4:4" ht="20.100000000000001" hidden="1" customHeight="1">
      <c r="D321" s="259" t="str">
        <f t="shared" si="7"/>
        <v/>
      </c>
    </row>
    <row r="322" spans="4:4" ht="20.100000000000001" hidden="1" customHeight="1">
      <c r="D322" s="259" t="str">
        <f t="shared" si="7"/>
        <v/>
      </c>
    </row>
    <row r="323" spans="4:4" ht="20.100000000000001" hidden="1" customHeight="1">
      <c r="D323" s="259" t="str">
        <f t="shared" si="7"/>
        <v/>
      </c>
    </row>
    <row r="324" spans="4:4" ht="20.100000000000001" hidden="1" customHeight="1">
      <c r="D324" s="259" t="str">
        <f t="shared" ref="D324:D387" si="8">_xlfn.CONCAT(B324,C324)</f>
        <v/>
      </c>
    </row>
    <row r="325" spans="4:4" ht="20.100000000000001" hidden="1" customHeight="1">
      <c r="D325" s="259" t="str">
        <f t="shared" si="8"/>
        <v/>
      </c>
    </row>
    <row r="326" spans="4:4" ht="20.100000000000001" hidden="1" customHeight="1">
      <c r="D326" s="259" t="str">
        <f t="shared" si="8"/>
        <v/>
      </c>
    </row>
    <row r="327" spans="4:4" ht="20.100000000000001" hidden="1" customHeight="1">
      <c r="D327" s="259" t="str">
        <f t="shared" si="8"/>
        <v/>
      </c>
    </row>
    <row r="328" spans="4:4" ht="20.100000000000001" hidden="1" customHeight="1">
      <c r="D328" s="259" t="str">
        <f t="shared" si="8"/>
        <v/>
      </c>
    </row>
    <row r="329" spans="4:4" ht="20.100000000000001" hidden="1" customHeight="1">
      <c r="D329" s="259" t="str">
        <f t="shared" si="8"/>
        <v/>
      </c>
    </row>
    <row r="330" spans="4:4" ht="20.100000000000001" hidden="1" customHeight="1">
      <c r="D330" s="259" t="str">
        <f t="shared" si="8"/>
        <v/>
      </c>
    </row>
    <row r="331" spans="4:4" ht="20.100000000000001" hidden="1" customHeight="1">
      <c r="D331" s="259" t="str">
        <f t="shared" si="8"/>
        <v/>
      </c>
    </row>
    <row r="332" spans="4:4" ht="20.100000000000001" hidden="1" customHeight="1">
      <c r="D332" s="259" t="str">
        <f t="shared" si="8"/>
        <v/>
      </c>
    </row>
    <row r="333" spans="4:4" ht="20.100000000000001" hidden="1" customHeight="1">
      <c r="D333" s="259" t="str">
        <f t="shared" si="8"/>
        <v/>
      </c>
    </row>
    <row r="334" spans="4:4" ht="20.100000000000001" hidden="1" customHeight="1">
      <c r="D334" s="259" t="str">
        <f t="shared" si="8"/>
        <v/>
      </c>
    </row>
    <row r="335" spans="4:4" ht="20.100000000000001" hidden="1" customHeight="1">
      <c r="D335" s="259" t="str">
        <f t="shared" si="8"/>
        <v/>
      </c>
    </row>
    <row r="336" spans="4:4" ht="20.100000000000001" hidden="1" customHeight="1">
      <c r="D336" s="259" t="str">
        <f t="shared" si="8"/>
        <v/>
      </c>
    </row>
    <row r="337" spans="4:4" ht="20.100000000000001" hidden="1" customHeight="1">
      <c r="D337" s="259" t="str">
        <f t="shared" si="8"/>
        <v/>
      </c>
    </row>
    <row r="338" spans="4:4" ht="20.100000000000001" hidden="1" customHeight="1">
      <c r="D338" s="259" t="str">
        <f t="shared" si="8"/>
        <v/>
      </c>
    </row>
    <row r="339" spans="4:4" ht="20.100000000000001" hidden="1" customHeight="1">
      <c r="D339" s="259" t="str">
        <f t="shared" si="8"/>
        <v/>
      </c>
    </row>
    <row r="340" spans="4:4" ht="20.100000000000001" hidden="1" customHeight="1">
      <c r="D340" s="259" t="str">
        <f t="shared" si="8"/>
        <v/>
      </c>
    </row>
    <row r="341" spans="4:4" ht="20.100000000000001" hidden="1" customHeight="1">
      <c r="D341" s="259" t="str">
        <f t="shared" si="8"/>
        <v/>
      </c>
    </row>
    <row r="342" spans="4:4" ht="20.100000000000001" hidden="1" customHeight="1">
      <c r="D342" s="259" t="str">
        <f t="shared" si="8"/>
        <v/>
      </c>
    </row>
    <row r="343" spans="4:4" ht="20.100000000000001" hidden="1" customHeight="1">
      <c r="D343" s="259" t="str">
        <f t="shared" si="8"/>
        <v/>
      </c>
    </row>
    <row r="344" spans="4:4" ht="20.100000000000001" hidden="1" customHeight="1">
      <c r="D344" s="259" t="str">
        <f t="shared" si="8"/>
        <v/>
      </c>
    </row>
    <row r="345" spans="4:4" ht="20.100000000000001" hidden="1" customHeight="1">
      <c r="D345" s="259" t="str">
        <f t="shared" si="8"/>
        <v/>
      </c>
    </row>
    <row r="346" spans="4:4" ht="20.100000000000001" hidden="1" customHeight="1">
      <c r="D346" s="259" t="str">
        <f t="shared" si="8"/>
        <v/>
      </c>
    </row>
    <row r="347" spans="4:4" ht="20.100000000000001" hidden="1" customHeight="1">
      <c r="D347" s="259" t="str">
        <f t="shared" si="8"/>
        <v/>
      </c>
    </row>
    <row r="348" spans="4:4" ht="20.100000000000001" hidden="1" customHeight="1">
      <c r="D348" s="259" t="str">
        <f t="shared" si="8"/>
        <v/>
      </c>
    </row>
    <row r="349" spans="4:4" ht="20.100000000000001" hidden="1" customHeight="1">
      <c r="D349" s="259" t="str">
        <f t="shared" si="8"/>
        <v/>
      </c>
    </row>
    <row r="350" spans="4:4" ht="20.100000000000001" hidden="1" customHeight="1">
      <c r="D350" s="259" t="str">
        <f t="shared" si="8"/>
        <v/>
      </c>
    </row>
    <row r="351" spans="4:4" ht="20.100000000000001" hidden="1" customHeight="1">
      <c r="D351" s="259" t="str">
        <f t="shared" si="8"/>
        <v/>
      </c>
    </row>
    <row r="352" spans="4:4" ht="20.100000000000001" hidden="1" customHeight="1">
      <c r="D352" s="259" t="str">
        <f t="shared" si="8"/>
        <v/>
      </c>
    </row>
    <row r="353" spans="4:4" ht="20.100000000000001" hidden="1" customHeight="1">
      <c r="D353" s="259" t="str">
        <f t="shared" si="8"/>
        <v/>
      </c>
    </row>
    <row r="354" spans="4:4" ht="20.100000000000001" hidden="1" customHeight="1">
      <c r="D354" s="259" t="str">
        <f t="shared" si="8"/>
        <v/>
      </c>
    </row>
    <row r="355" spans="4:4" ht="20.100000000000001" hidden="1" customHeight="1">
      <c r="D355" s="259" t="str">
        <f t="shared" si="8"/>
        <v/>
      </c>
    </row>
    <row r="356" spans="4:4" ht="20.100000000000001" hidden="1" customHeight="1">
      <c r="D356" s="259" t="str">
        <f t="shared" si="8"/>
        <v/>
      </c>
    </row>
    <row r="357" spans="4:4" ht="20.100000000000001" hidden="1" customHeight="1">
      <c r="D357" s="259" t="str">
        <f t="shared" si="8"/>
        <v/>
      </c>
    </row>
    <row r="358" spans="4:4" ht="20.100000000000001" hidden="1" customHeight="1">
      <c r="D358" s="259" t="str">
        <f t="shared" si="8"/>
        <v/>
      </c>
    </row>
    <row r="359" spans="4:4" ht="20.100000000000001" hidden="1" customHeight="1">
      <c r="D359" s="259" t="str">
        <f t="shared" si="8"/>
        <v/>
      </c>
    </row>
    <row r="360" spans="4:4" ht="20.100000000000001" hidden="1" customHeight="1">
      <c r="D360" s="259" t="str">
        <f t="shared" si="8"/>
        <v/>
      </c>
    </row>
    <row r="361" spans="4:4" ht="20.100000000000001" hidden="1" customHeight="1">
      <c r="D361" s="259" t="str">
        <f t="shared" si="8"/>
        <v/>
      </c>
    </row>
    <row r="362" spans="4:4" ht="20.100000000000001" hidden="1" customHeight="1">
      <c r="D362" s="259" t="str">
        <f t="shared" si="8"/>
        <v/>
      </c>
    </row>
    <row r="363" spans="4:4" ht="20.100000000000001" hidden="1" customHeight="1">
      <c r="D363" s="259" t="str">
        <f t="shared" si="8"/>
        <v/>
      </c>
    </row>
    <row r="364" spans="4:4" ht="20.100000000000001" hidden="1" customHeight="1">
      <c r="D364" s="259" t="str">
        <f t="shared" si="8"/>
        <v/>
      </c>
    </row>
    <row r="365" spans="4:4" ht="20.100000000000001" hidden="1" customHeight="1">
      <c r="D365" s="259" t="str">
        <f t="shared" si="8"/>
        <v/>
      </c>
    </row>
    <row r="366" spans="4:4" ht="20.100000000000001" hidden="1" customHeight="1">
      <c r="D366" s="259" t="str">
        <f t="shared" si="8"/>
        <v/>
      </c>
    </row>
    <row r="367" spans="4:4" ht="20.100000000000001" hidden="1" customHeight="1">
      <c r="D367" s="259" t="str">
        <f t="shared" si="8"/>
        <v/>
      </c>
    </row>
    <row r="368" spans="4:4" ht="20.100000000000001" hidden="1" customHeight="1">
      <c r="D368" s="259" t="str">
        <f t="shared" si="8"/>
        <v/>
      </c>
    </row>
    <row r="369" spans="4:4" ht="20.100000000000001" hidden="1" customHeight="1">
      <c r="D369" s="259" t="str">
        <f t="shared" si="8"/>
        <v/>
      </c>
    </row>
    <row r="370" spans="4:4" ht="20.100000000000001" hidden="1" customHeight="1">
      <c r="D370" s="259" t="str">
        <f t="shared" si="8"/>
        <v/>
      </c>
    </row>
    <row r="371" spans="4:4" ht="20.100000000000001" hidden="1" customHeight="1">
      <c r="D371" s="259" t="str">
        <f t="shared" si="8"/>
        <v/>
      </c>
    </row>
    <row r="372" spans="4:4" ht="20.100000000000001" hidden="1" customHeight="1">
      <c r="D372" s="259" t="str">
        <f t="shared" si="8"/>
        <v/>
      </c>
    </row>
    <row r="373" spans="4:4" ht="20.100000000000001" hidden="1" customHeight="1">
      <c r="D373" s="259" t="str">
        <f t="shared" si="8"/>
        <v/>
      </c>
    </row>
    <row r="374" spans="4:4" ht="20.100000000000001" hidden="1" customHeight="1">
      <c r="D374" s="259" t="str">
        <f t="shared" si="8"/>
        <v/>
      </c>
    </row>
    <row r="375" spans="4:4" ht="20.100000000000001" hidden="1" customHeight="1">
      <c r="D375" s="259" t="str">
        <f t="shared" si="8"/>
        <v/>
      </c>
    </row>
    <row r="376" spans="4:4" ht="20.100000000000001" hidden="1" customHeight="1">
      <c r="D376" s="259" t="str">
        <f t="shared" si="8"/>
        <v/>
      </c>
    </row>
    <row r="377" spans="4:4" ht="20.100000000000001" hidden="1" customHeight="1">
      <c r="D377" s="259" t="str">
        <f t="shared" si="8"/>
        <v/>
      </c>
    </row>
    <row r="378" spans="4:4" ht="20.100000000000001" hidden="1" customHeight="1">
      <c r="D378" s="259" t="str">
        <f t="shared" si="8"/>
        <v/>
      </c>
    </row>
    <row r="379" spans="4:4" ht="20.100000000000001" hidden="1" customHeight="1">
      <c r="D379" s="259" t="str">
        <f t="shared" si="8"/>
        <v/>
      </c>
    </row>
    <row r="380" spans="4:4" ht="20.100000000000001" hidden="1" customHeight="1">
      <c r="D380" s="259" t="str">
        <f t="shared" si="8"/>
        <v/>
      </c>
    </row>
    <row r="381" spans="4:4" ht="20.100000000000001" hidden="1" customHeight="1">
      <c r="D381" s="259" t="str">
        <f t="shared" si="8"/>
        <v/>
      </c>
    </row>
    <row r="382" spans="4:4" ht="20.100000000000001" hidden="1" customHeight="1">
      <c r="D382" s="259" t="str">
        <f t="shared" si="8"/>
        <v/>
      </c>
    </row>
    <row r="383" spans="4:4" ht="20.100000000000001" hidden="1" customHeight="1">
      <c r="D383" s="259" t="str">
        <f t="shared" si="8"/>
        <v/>
      </c>
    </row>
    <row r="384" spans="4:4" ht="20.100000000000001" hidden="1" customHeight="1">
      <c r="D384" s="259" t="str">
        <f t="shared" si="8"/>
        <v/>
      </c>
    </row>
    <row r="385" spans="4:4" ht="20.100000000000001" hidden="1" customHeight="1">
      <c r="D385" s="259" t="str">
        <f t="shared" si="8"/>
        <v/>
      </c>
    </row>
    <row r="386" spans="4:4" ht="20.100000000000001" hidden="1" customHeight="1">
      <c r="D386" s="259" t="str">
        <f t="shared" si="8"/>
        <v/>
      </c>
    </row>
    <row r="387" spans="4:4" ht="20.100000000000001" hidden="1" customHeight="1">
      <c r="D387" s="259" t="str">
        <f t="shared" si="8"/>
        <v/>
      </c>
    </row>
    <row r="388" spans="4:4" ht="20.100000000000001" hidden="1" customHeight="1">
      <c r="D388" s="259" t="str">
        <f t="shared" ref="D388:D451" si="9">_xlfn.CONCAT(B388,C388)</f>
        <v/>
      </c>
    </row>
    <row r="389" spans="4:4" ht="20.100000000000001" hidden="1" customHeight="1">
      <c r="D389" s="259" t="str">
        <f t="shared" si="9"/>
        <v/>
      </c>
    </row>
    <row r="390" spans="4:4" ht="20.100000000000001" hidden="1" customHeight="1">
      <c r="D390" s="259" t="str">
        <f t="shared" si="9"/>
        <v/>
      </c>
    </row>
    <row r="391" spans="4:4" ht="20.100000000000001" hidden="1" customHeight="1">
      <c r="D391" s="259" t="str">
        <f t="shared" si="9"/>
        <v/>
      </c>
    </row>
    <row r="392" spans="4:4" ht="20.100000000000001" hidden="1" customHeight="1">
      <c r="D392" s="259" t="str">
        <f t="shared" si="9"/>
        <v/>
      </c>
    </row>
    <row r="393" spans="4:4" ht="20.100000000000001" hidden="1" customHeight="1">
      <c r="D393" s="259" t="str">
        <f t="shared" si="9"/>
        <v/>
      </c>
    </row>
    <row r="394" spans="4:4" ht="20.100000000000001" hidden="1" customHeight="1">
      <c r="D394" s="259" t="str">
        <f t="shared" si="9"/>
        <v/>
      </c>
    </row>
    <row r="395" spans="4:4" ht="20.100000000000001" hidden="1" customHeight="1">
      <c r="D395" s="259" t="str">
        <f t="shared" si="9"/>
        <v/>
      </c>
    </row>
    <row r="396" spans="4:4" ht="20.100000000000001" hidden="1" customHeight="1">
      <c r="D396" s="259" t="str">
        <f t="shared" si="9"/>
        <v/>
      </c>
    </row>
    <row r="397" spans="4:4" ht="20.100000000000001" hidden="1" customHeight="1">
      <c r="D397" s="259" t="str">
        <f t="shared" si="9"/>
        <v/>
      </c>
    </row>
    <row r="398" spans="4:4" ht="20.100000000000001" hidden="1" customHeight="1">
      <c r="D398" s="259" t="str">
        <f t="shared" si="9"/>
        <v/>
      </c>
    </row>
    <row r="399" spans="4:4" ht="20.100000000000001" hidden="1" customHeight="1">
      <c r="D399" s="259" t="str">
        <f t="shared" si="9"/>
        <v/>
      </c>
    </row>
    <row r="400" spans="4:4" ht="20.100000000000001" hidden="1" customHeight="1">
      <c r="D400" s="259" t="str">
        <f t="shared" si="9"/>
        <v/>
      </c>
    </row>
    <row r="401" spans="4:4" ht="20.100000000000001" hidden="1" customHeight="1">
      <c r="D401" s="259" t="str">
        <f t="shared" si="9"/>
        <v/>
      </c>
    </row>
    <row r="402" spans="4:4" ht="20.100000000000001" hidden="1" customHeight="1">
      <c r="D402" s="259" t="str">
        <f t="shared" si="9"/>
        <v/>
      </c>
    </row>
    <row r="403" spans="4:4" ht="20.100000000000001" hidden="1" customHeight="1">
      <c r="D403" s="259" t="str">
        <f t="shared" si="9"/>
        <v/>
      </c>
    </row>
    <row r="404" spans="4:4" ht="20.100000000000001" hidden="1" customHeight="1">
      <c r="D404" s="259" t="str">
        <f t="shared" si="9"/>
        <v/>
      </c>
    </row>
    <row r="405" spans="4:4" ht="20.100000000000001" hidden="1" customHeight="1">
      <c r="D405" s="259" t="str">
        <f t="shared" si="9"/>
        <v/>
      </c>
    </row>
    <row r="406" spans="4:4" ht="20.100000000000001" hidden="1" customHeight="1">
      <c r="D406" s="259" t="str">
        <f t="shared" si="9"/>
        <v/>
      </c>
    </row>
    <row r="407" spans="4:4" ht="20.100000000000001" hidden="1" customHeight="1">
      <c r="D407" s="259" t="str">
        <f t="shared" si="9"/>
        <v/>
      </c>
    </row>
    <row r="408" spans="4:4" ht="20.100000000000001" hidden="1" customHeight="1">
      <c r="D408" s="259" t="str">
        <f t="shared" si="9"/>
        <v/>
      </c>
    </row>
    <row r="409" spans="4:4" ht="20.100000000000001" hidden="1" customHeight="1">
      <c r="D409" s="259" t="str">
        <f t="shared" si="9"/>
        <v/>
      </c>
    </row>
    <row r="410" spans="4:4" ht="20.100000000000001" hidden="1" customHeight="1">
      <c r="D410" s="259" t="str">
        <f t="shared" si="9"/>
        <v/>
      </c>
    </row>
    <row r="411" spans="4:4" ht="20.100000000000001" hidden="1" customHeight="1">
      <c r="D411" s="259" t="str">
        <f t="shared" si="9"/>
        <v/>
      </c>
    </row>
    <row r="412" spans="4:4" ht="20.100000000000001" hidden="1" customHeight="1">
      <c r="D412" s="259" t="str">
        <f t="shared" si="9"/>
        <v/>
      </c>
    </row>
    <row r="413" spans="4:4" ht="20.100000000000001" hidden="1" customHeight="1">
      <c r="D413" s="259" t="str">
        <f t="shared" si="9"/>
        <v/>
      </c>
    </row>
    <row r="414" spans="4:4" ht="20.100000000000001" hidden="1" customHeight="1">
      <c r="D414" s="259" t="str">
        <f t="shared" si="9"/>
        <v/>
      </c>
    </row>
    <row r="415" spans="4:4" ht="20.100000000000001" hidden="1" customHeight="1">
      <c r="D415" s="259" t="str">
        <f t="shared" si="9"/>
        <v/>
      </c>
    </row>
    <row r="416" spans="4:4" ht="20.100000000000001" hidden="1" customHeight="1">
      <c r="D416" s="259" t="str">
        <f t="shared" si="9"/>
        <v/>
      </c>
    </row>
    <row r="417" spans="4:4" ht="20.100000000000001" hidden="1" customHeight="1">
      <c r="D417" s="259" t="str">
        <f t="shared" si="9"/>
        <v/>
      </c>
    </row>
    <row r="418" spans="4:4" ht="20.100000000000001" hidden="1" customHeight="1">
      <c r="D418" s="259" t="str">
        <f t="shared" si="9"/>
        <v/>
      </c>
    </row>
    <row r="419" spans="4:4" ht="20.100000000000001" hidden="1" customHeight="1">
      <c r="D419" s="259" t="str">
        <f t="shared" si="9"/>
        <v/>
      </c>
    </row>
    <row r="420" spans="4:4" ht="20.100000000000001" hidden="1" customHeight="1">
      <c r="D420" s="259" t="str">
        <f t="shared" si="9"/>
        <v/>
      </c>
    </row>
    <row r="421" spans="4:4" ht="20.100000000000001" hidden="1" customHeight="1">
      <c r="D421" s="259" t="str">
        <f t="shared" si="9"/>
        <v/>
      </c>
    </row>
    <row r="422" spans="4:4" ht="20.100000000000001" hidden="1" customHeight="1">
      <c r="D422" s="259" t="str">
        <f t="shared" si="9"/>
        <v/>
      </c>
    </row>
    <row r="423" spans="4:4" ht="20.100000000000001" hidden="1" customHeight="1">
      <c r="D423" s="259" t="str">
        <f t="shared" si="9"/>
        <v/>
      </c>
    </row>
    <row r="424" spans="4:4" ht="20.100000000000001" hidden="1" customHeight="1">
      <c r="D424" s="259" t="str">
        <f t="shared" si="9"/>
        <v/>
      </c>
    </row>
    <row r="425" spans="4:4" ht="20.100000000000001" hidden="1" customHeight="1">
      <c r="D425" s="259" t="str">
        <f t="shared" si="9"/>
        <v/>
      </c>
    </row>
    <row r="426" spans="4:4" ht="20.100000000000001" hidden="1" customHeight="1">
      <c r="D426" s="259" t="str">
        <f t="shared" si="9"/>
        <v/>
      </c>
    </row>
    <row r="427" spans="4:4" ht="20.100000000000001" hidden="1" customHeight="1">
      <c r="D427" s="259" t="str">
        <f t="shared" si="9"/>
        <v/>
      </c>
    </row>
    <row r="428" spans="4:4" ht="20.100000000000001" hidden="1" customHeight="1">
      <c r="D428" s="259" t="str">
        <f t="shared" si="9"/>
        <v/>
      </c>
    </row>
    <row r="429" spans="4:4" ht="20.100000000000001" hidden="1" customHeight="1">
      <c r="D429" s="259" t="str">
        <f t="shared" si="9"/>
        <v/>
      </c>
    </row>
    <row r="430" spans="4:4" ht="20.100000000000001" hidden="1" customHeight="1">
      <c r="D430" s="259" t="str">
        <f t="shared" si="9"/>
        <v/>
      </c>
    </row>
    <row r="431" spans="4:4" ht="20.100000000000001" hidden="1" customHeight="1">
      <c r="D431" s="259" t="str">
        <f t="shared" si="9"/>
        <v/>
      </c>
    </row>
    <row r="432" spans="4:4" ht="20.100000000000001" hidden="1" customHeight="1">
      <c r="D432" s="259" t="str">
        <f t="shared" si="9"/>
        <v/>
      </c>
    </row>
    <row r="433" spans="4:4" ht="20.100000000000001" hidden="1" customHeight="1">
      <c r="D433" s="259" t="str">
        <f t="shared" si="9"/>
        <v/>
      </c>
    </row>
    <row r="434" spans="4:4" ht="20.100000000000001" hidden="1" customHeight="1">
      <c r="D434" s="259" t="str">
        <f t="shared" si="9"/>
        <v/>
      </c>
    </row>
    <row r="435" spans="4:4" ht="20.100000000000001" hidden="1" customHeight="1">
      <c r="D435" s="259" t="str">
        <f t="shared" si="9"/>
        <v/>
      </c>
    </row>
    <row r="436" spans="4:4" ht="20.100000000000001" hidden="1" customHeight="1">
      <c r="D436" s="259" t="str">
        <f t="shared" si="9"/>
        <v/>
      </c>
    </row>
    <row r="437" spans="4:4" ht="20.100000000000001" hidden="1" customHeight="1">
      <c r="D437" s="259" t="str">
        <f t="shared" si="9"/>
        <v/>
      </c>
    </row>
    <row r="438" spans="4:4" ht="20.100000000000001" hidden="1" customHeight="1">
      <c r="D438" s="259" t="str">
        <f t="shared" si="9"/>
        <v/>
      </c>
    </row>
    <row r="439" spans="4:4" ht="20.100000000000001" hidden="1" customHeight="1">
      <c r="D439" s="259" t="str">
        <f t="shared" si="9"/>
        <v/>
      </c>
    </row>
    <row r="440" spans="4:4" ht="20.100000000000001" hidden="1" customHeight="1">
      <c r="D440" s="259" t="str">
        <f t="shared" si="9"/>
        <v/>
      </c>
    </row>
    <row r="441" spans="4:4" ht="20.100000000000001" hidden="1" customHeight="1">
      <c r="D441" s="259" t="str">
        <f t="shared" si="9"/>
        <v/>
      </c>
    </row>
    <row r="442" spans="4:4" ht="20.100000000000001" hidden="1" customHeight="1">
      <c r="D442" s="259" t="str">
        <f t="shared" si="9"/>
        <v/>
      </c>
    </row>
    <row r="443" spans="4:4" ht="20.100000000000001" hidden="1" customHeight="1">
      <c r="D443" s="259" t="str">
        <f t="shared" si="9"/>
        <v/>
      </c>
    </row>
    <row r="444" spans="4:4" ht="20.100000000000001" hidden="1" customHeight="1">
      <c r="D444" s="259" t="str">
        <f t="shared" si="9"/>
        <v/>
      </c>
    </row>
    <row r="445" spans="4:4" ht="20.100000000000001" hidden="1" customHeight="1">
      <c r="D445" s="259" t="str">
        <f t="shared" si="9"/>
        <v/>
      </c>
    </row>
    <row r="446" spans="4:4" ht="20.100000000000001" hidden="1" customHeight="1">
      <c r="D446" s="259" t="str">
        <f t="shared" si="9"/>
        <v/>
      </c>
    </row>
    <row r="447" spans="4:4" ht="20.100000000000001" hidden="1" customHeight="1">
      <c r="D447" s="259" t="str">
        <f t="shared" si="9"/>
        <v/>
      </c>
    </row>
    <row r="448" spans="4:4" ht="20.100000000000001" hidden="1" customHeight="1">
      <c r="D448" s="259" t="str">
        <f t="shared" si="9"/>
        <v/>
      </c>
    </row>
    <row r="449" spans="4:4" ht="20.100000000000001" hidden="1" customHeight="1">
      <c r="D449" s="259" t="str">
        <f t="shared" si="9"/>
        <v/>
      </c>
    </row>
    <row r="450" spans="4:4" ht="20.100000000000001" hidden="1" customHeight="1">
      <c r="D450" s="259" t="str">
        <f t="shared" si="9"/>
        <v/>
      </c>
    </row>
    <row r="451" spans="4:4" ht="20.100000000000001" hidden="1" customHeight="1">
      <c r="D451" s="259" t="str">
        <f t="shared" si="9"/>
        <v/>
      </c>
    </row>
    <row r="452" spans="4:4" ht="20.100000000000001" hidden="1" customHeight="1">
      <c r="D452" s="259" t="str">
        <f t="shared" ref="D452:D515" si="10">_xlfn.CONCAT(B452,C452)</f>
        <v/>
      </c>
    </row>
    <row r="453" spans="4:4" ht="20.100000000000001" hidden="1" customHeight="1">
      <c r="D453" s="259" t="str">
        <f t="shared" si="10"/>
        <v/>
      </c>
    </row>
    <row r="454" spans="4:4" ht="20.100000000000001" hidden="1" customHeight="1">
      <c r="D454" s="259" t="str">
        <f t="shared" si="10"/>
        <v/>
      </c>
    </row>
    <row r="455" spans="4:4" ht="20.100000000000001" hidden="1" customHeight="1">
      <c r="D455" s="259" t="str">
        <f t="shared" si="10"/>
        <v/>
      </c>
    </row>
    <row r="456" spans="4:4" ht="20.100000000000001" hidden="1" customHeight="1">
      <c r="D456" s="259" t="str">
        <f t="shared" si="10"/>
        <v/>
      </c>
    </row>
    <row r="457" spans="4:4" ht="20.100000000000001" hidden="1" customHeight="1">
      <c r="D457" s="259" t="str">
        <f t="shared" si="10"/>
        <v/>
      </c>
    </row>
    <row r="458" spans="4:4" ht="20.100000000000001" hidden="1" customHeight="1">
      <c r="D458" s="259" t="str">
        <f t="shared" si="10"/>
        <v/>
      </c>
    </row>
    <row r="459" spans="4:4" ht="20.100000000000001" hidden="1" customHeight="1">
      <c r="D459" s="259" t="str">
        <f t="shared" si="10"/>
        <v/>
      </c>
    </row>
    <row r="460" spans="4:4" ht="20.100000000000001" hidden="1" customHeight="1">
      <c r="D460" s="259" t="str">
        <f t="shared" si="10"/>
        <v/>
      </c>
    </row>
    <row r="461" spans="4:4" ht="20.100000000000001" hidden="1" customHeight="1">
      <c r="D461" s="259" t="str">
        <f t="shared" si="10"/>
        <v/>
      </c>
    </row>
    <row r="462" spans="4:4" ht="20.100000000000001" hidden="1" customHeight="1">
      <c r="D462" s="259" t="str">
        <f t="shared" si="10"/>
        <v/>
      </c>
    </row>
    <row r="463" spans="4:4" ht="20.100000000000001" hidden="1" customHeight="1">
      <c r="D463" s="259" t="str">
        <f t="shared" si="10"/>
        <v/>
      </c>
    </row>
    <row r="464" spans="4:4" ht="20.100000000000001" hidden="1" customHeight="1">
      <c r="D464" s="259" t="str">
        <f t="shared" si="10"/>
        <v/>
      </c>
    </row>
    <row r="465" spans="4:4" ht="20.100000000000001" hidden="1" customHeight="1">
      <c r="D465" s="259" t="str">
        <f t="shared" si="10"/>
        <v/>
      </c>
    </row>
    <row r="466" spans="4:4" ht="20.100000000000001" hidden="1" customHeight="1">
      <c r="D466" s="259" t="str">
        <f t="shared" si="10"/>
        <v/>
      </c>
    </row>
    <row r="467" spans="4:4" ht="20.100000000000001" hidden="1" customHeight="1">
      <c r="D467" s="259" t="str">
        <f t="shared" si="10"/>
        <v/>
      </c>
    </row>
    <row r="468" spans="4:4" ht="20.100000000000001" hidden="1" customHeight="1">
      <c r="D468" s="259" t="str">
        <f t="shared" si="10"/>
        <v/>
      </c>
    </row>
    <row r="469" spans="4:4" ht="20.100000000000001" hidden="1" customHeight="1">
      <c r="D469" s="259" t="str">
        <f t="shared" si="10"/>
        <v/>
      </c>
    </row>
    <row r="470" spans="4:4" ht="20.100000000000001" hidden="1" customHeight="1">
      <c r="D470" s="259" t="str">
        <f t="shared" si="10"/>
        <v/>
      </c>
    </row>
    <row r="471" spans="4:4" ht="20.100000000000001" hidden="1" customHeight="1">
      <c r="D471" s="259" t="str">
        <f t="shared" si="10"/>
        <v/>
      </c>
    </row>
    <row r="472" spans="4:4" ht="20.100000000000001" hidden="1" customHeight="1">
      <c r="D472" s="259" t="str">
        <f t="shared" si="10"/>
        <v/>
      </c>
    </row>
    <row r="473" spans="4:4" ht="20.100000000000001" hidden="1" customHeight="1">
      <c r="D473" s="259" t="str">
        <f t="shared" si="10"/>
        <v/>
      </c>
    </row>
    <row r="474" spans="4:4" ht="20.100000000000001" hidden="1" customHeight="1">
      <c r="D474" s="259" t="str">
        <f t="shared" si="10"/>
        <v/>
      </c>
    </row>
    <row r="475" spans="4:4" ht="20.100000000000001" hidden="1" customHeight="1">
      <c r="D475" s="259" t="str">
        <f t="shared" si="10"/>
        <v/>
      </c>
    </row>
    <row r="476" spans="4:4" ht="20.100000000000001" hidden="1" customHeight="1">
      <c r="D476" s="259" t="str">
        <f t="shared" si="10"/>
        <v/>
      </c>
    </row>
    <row r="477" spans="4:4" ht="20.100000000000001" hidden="1" customHeight="1">
      <c r="D477" s="259" t="str">
        <f t="shared" si="10"/>
        <v/>
      </c>
    </row>
    <row r="478" spans="4:4" ht="20.100000000000001" hidden="1" customHeight="1">
      <c r="D478" s="259" t="str">
        <f t="shared" si="10"/>
        <v/>
      </c>
    </row>
    <row r="479" spans="4:4" ht="20.100000000000001" hidden="1" customHeight="1">
      <c r="D479" s="259" t="str">
        <f t="shared" si="10"/>
        <v/>
      </c>
    </row>
    <row r="480" spans="4:4" ht="20.100000000000001" hidden="1" customHeight="1">
      <c r="D480" s="259" t="str">
        <f t="shared" si="10"/>
        <v/>
      </c>
    </row>
    <row r="481" spans="4:4" ht="20.100000000000001" hidden="1" customHeight="1">
      <c r="D481" s="259" t="str">
        <f t="shared" si="10"/>
        <v/>
      </c>
    </row>
    <row r="482" spans="4:4" ht="20.100000000000001" hidden="1" customHeight="1">
      <c r="D482" s="259" t="str">
        <f t="shared" si="10"/>
        <v/>
      </c>
    </row>
    <row r="483" spans="4:4" ht="20.100000000000001" hidden="1" customHeight="1">
      <c r="D483" s="259" t="str">
        <f t="shared" si="10"/>
        <v/>
      </c>
    </row>
    <row r="484" spans="4:4" ht="20.100000000000001" hidden="1" customHeight="1">
      <c r="D484" s="259" t="str">
        <f t="shared" si="10"/>
        <v/>
      </c>
    </row>
    <row r="485" spans="4:4" ht="20.100000000000001" hidden="1" customHeight="1">
      <c r="D485" s="259" t="str">
        <f t="shared" si="10"/>
        <v/>
      </c>
    </row>
    <row r="486" spans="4:4" ht="20.100000000000001" hidden="1" customHeight="1">
      <c r="D486" s="259" t="str">
        <f t="shared" si="10"/>
        <v/>
      </c>
    </row>
    <row r="487" spans="4:4" ht="20.100000000000001" hidden="1" customHeight="1">
      <c r="D487" s="259" t="str">
        <f t="shared" si="10"/>
        <v/>
      </c>
    </row>
    <row r="488" spans="4:4" ht="20.100000000000001" hidden="1" customHeight="1">
      <c r="D488" s="259" t="str">
        <f t="shared" si="10"/>
        <v/>
      </c>
    </row>
    <row r="489" spans="4:4" ht="20.100000000000001" hidden="1" customHeight="1">
      <c r="D489" s="259" t="str">
        <f t="shared" si="10"/>
        <v/>
      </c>
    </row>
    <row r="490" spans="4:4" ht="20.100000000000001" hidden="1" customHeight="1">
      <c r="D490" s="259" t="str">
        <f t="shared" si="10"/>
        <v/>
      </c>
    </row>
    <row r="491" spans="4:4" ht="20.100000000000001" hidden="1" customHeight="1">
      <c r="D491" s="259" t="str">
        <f t="shared" si="10"/>
        <v/>
      </c>
    </row>
    <row r="492" spans="4:4" ht="20.100000000000001" hidden="1" customHeight="1">
      <c r="D492" s="259" t="str">
        <f t="shared" si="10"/>
        <v/>
      </c>
    </row>
    <row r="493" spans="4:4" ht="20.100000000000001" hidden="1" customHeight="1">
      <c r="D493" s="259" t="str">
        <f t="shared" si="10"/>
        <v/>
      </c>
    </row>
    <row r="494" spans="4:4" ht="20.100000000000001" hidden="1" customHeight="1">
      <c r="D494" s="259" t="str">
        <f t="shared" si="10"/>
        <v/>
      </c>
    </row>
    <row r="495" spans="4:4" ht="20.100000000000001" hidden="1" customHeight="1">
      <c r="D495" s="259" t="str">
        <f t="shared" si="10"/>
        <v/>
      </c>
    </row>
    <row r="496" spans="4:4" ht="20.100000000000001" hidden="1" customHeight="1">
      <c r="D496" s="259" t="str">
        <f t="shared" si="10"/>
        <v/>
      </c>
    </row>
    <row r="497" spans="4:4" ht="20.100000000000001" hidden="1" customHeight="1">
      <c r="D497" s="259" t="str">
        <f t="shared" si="10"/>
        <v/>
      </c>
    </row>
    <row r="498" spans="4:4" ht="20.100000000000001" hidden="1" customHeight="1">
      <c r="D498" s="259" t="str">
        <f t="shared" si="10"/>
        <v/>
      </c>
    </row>
    <row r="499" spans="4:4" ht="20.100000000000001" hidden="1" customHeight="1">
      <c r="D499" s="259" t="str">
        <f t="shared" si="10"/>
        <v/>
      </c>
    </row>
    <row r="500" spans="4:4" ht="20.100000000000001" hidden="1" customHeight="1">
      <c r="D500" s="259" t="str">
        <f t="shared" si="10"/>
        <v/>
      </c>
    </row>
    <row r="501" spans="4:4" ht="20.100000000000001" hidden="1" customHeight="1">
      <c r="D501" s="259" t="str">
        <f t="shared" si="10"/>
        <v/>
      </c>
    </row>
    <row r="502" spans="4:4" ht="20.100000000000001" hidden="1" customHeight="1">
      <c r="D502" s="259" t="str">
        <f t="shared" si="10"/>
        <v/>
      </c>
    </row>
    <row r="503" spans="4:4" ht="20.100000000000001" hidden="1" customHeight="1">
      <c r="D503" s="259" t="str">
        <f t="shared" si="10"/>
        <v/>
      </c>
    </row>
    <row r="504" spans="4:4" ht="20.100000000000001" hidden="1" customHeight="1">
      <c r="D504" s="259" t="str">
        <f t="shared" si="10"/>
        <v/>
      </c>
    </row>
    <row r="505" spans="4:4" ht="20.100000000000001" hidden="1" customHeight="1">
      <c r="D505" s="259" t="str">
        <f t="shared" si="10"/>
        <v/>
      </c>
    </row>
    <row r="506" spans="4:4" ht="20.100000000000001" hidden="1" customHeight="1">
      <c r="D506" s="259" t="str">
        <f t="shared" si="10"/>
        <v/>
      </c>
    </row>
    <row r="507" spans="4:4" ht="20.100000000000001" hidden="1" customHeight="1">
      <c r="D507" s="259" t="str">
        <f t="shared" si="10"/>
        <v/>
      </c>
    </row>
    <row r="508" spans="4:4" ht="20.100000000000001" hidden="1" customHeight="1">
      <c r="D508" s="259" t="str">
        <f t="shared" si="10"/>
        <v/>
      </c>
    </row>
    <row r="509" spans="4:4" ht="20.100000000000001" hidden="1" customHeight="1">
      <c r="D509" s="259" t="str">
        <f t="shared" si="10"/>
        <v/>
      </c>
    </row>
    <row r="510" spans="4:4" ht="20.100000000000001" hidden="1" customHeight="1">
      <c r="D510" s="259" t="str">
        <f t="shared" si="10"/>
        <v/>
      </c>
    </row>
    <row r="511" spans="4:4" ht="20.100000000000001" hidden="1" customHeight="1">
      <c r="D511" s="259" t="str">
        <f t="shared" si="10"/>
        <v/>
      </c>
    </row>
    <row r="512" spans="4:4" ht="20.100000000000001" hidden="1" customHeight="1">
      <c r="D512" s="259" t="str">
        <f t="shared" si="10"/>
        <v/>
      </c>
    </row>
    <row r="513" spans="4:4" ht="20.100000000000001" hidden="1" customHeight="1">
      <c r="D513" s="259" t="str">
        <f t="shared" si="10"/>
        <v/>
      </c>
    </row>
    <row r="514" spans="4:4" ht="20.100000000000001" hidden="1" customHeight="1">
      <c r="D514" s="259" t="str">
        <f t="shared" si="10"/>
        <v/>
      </c>
    </row>
    <row r="515" spans="4:4" ht="20.100000000000001" hidden="1" customHeight="1">
      <c r="D515" s="259" t="str">
        <f t="shared" si="10"/>
        <v/>
      </c>
    </row>
    <row r="516" spans="4:4" ht="20.100000000000001" hidden="1" customHeight="1">
      <c r="D516" s="259" t="str">
        <f t="shared" ref="D516:D579" si="11">_xlfn.CONCAT(B516,C516)</f>
        <v/>
      </c>
    </row>
    <row r="517" spans="4:4" ht="20.100000000000001" hidden="1" customHeight="1">
      <c r="D517" s="259" t="str">
        <f t="shared" si="11"/>
        <v/>
      </c>
    </row>
    <row r="518" spans="4:4" ht="20.100000000000001" hidden="1" customHeight="1">
      <c r="D518" s="259" t="str">
        <f t="shared" si="11"/>
        <v/>
      </c>
    </row>
    <row r="519" spans="4:4" ht="20.100000000000001" hidden="1" customHeight="1">
      <c r="D519" s="259" t="str">
        <f t="shared" si="11"/>
        <v/>
      </c>
    </row>
    <row r="520" spans="4:4" ht="20.100000000000001" hidden="1" customHeight="1">
      <c r="D520" s="259" t="str">
        <f t="shared" si="11"/>
        <v/>
      </c>
    </row>
    <row r="521" spans="4:4" ht="20.100000000000001" hidden="1" customHeight="1">
      <c r="D521" s="259" t="str">
        <f t="shared" si="11"/>
        <v/>
      </c>
    </row>
    <row r="522" spans="4:4" ht="20.100000000000001" hidden="1" customHeight="1">
      <c r="D522" s="259" t="str">
        <f t="shared" si="11"/>
        <v/>
      </c>
    </row>
    <row r="523" spans="4:4" ht="20.100000000000001" hidden="1" customHeight="1">
      <c r="D523" s="259" t="str">
        <f t="shared" si="11"/>
        <v/>
      </c>
    </row>
    <row r="524" spans="4:4" ht="20.100000000000001" hidden="1" customHeight="1">
      <c r="D524" s="259" t="str">
        <f t="shared" si="11"/>
        <v/>
      </c>
    </row>
    <row r="525" spans="4:4" ht="20.100000000000001" hidden="1" customHeight="1">
      <c r="D525" s="259" t="str">
        <f t="shared" si="11"/>
        <v/>
      </c>
    </row>
    <row r="526" spans="4:4" ht="20.100000000000001" hidden="1" customHeight="1">
      <c r="D526" s="259" t="str">
        <f t="shared" si="11"/>
        <v/>
      </c>
    </row>
    <row r="527" spans="4:4" ht="20.100000000000001" hidden="1" customHeight="1">
      <c r="D527" s="259" t="str">
        <f t="shared" si="11"/>
        <v/>
      </c>
    </row>
    <row r="528" spans="4:4" ht="20.100000000000001" hidden="1" customHeight="1">
      <c r="D528" s="259" t="str">
        <f t="shared" si="11"/>
        <v/>
      </c>
    </row>
    <row r="529" spans="4:4" ht="20.100000000000001" hidden="1" customHeight="1">
      <c r="D529" s="259" t="str">
        <f t="shared" si="11"/>
        <v/>
      </c>
    </row>
    <row r="530" spans="4:4" ht="20.100000000000001" hidden="1" customHeight="1">
      <c r="D530" s="259" t="str">
        <f t="shared" si="11"/>
        <v/>
      </c>
    </row>
    <row r="531" spans="4:4" ht="20.100000000000001" hidden="1" customHeight="1">
      <c r="D531" s="259" t="str">
        <f t="shared" si="11"/>
        <v/>
      </c>
    </row>
    <row r="532" spans="4:4" ht="20.100000000000001" hidden="1" customHeight="1">
      <c r="D532" s="259" t="str">
        <f t="shared" si="11"/>
        <v/>
      </c>
    </row>
    <row r="533" spans="4:4" ht="20.100000000000001" hidden="1" customHeight="1">
      <c r="D533" s="259" t="str">
        <f t="shared" si="11"/>
        <v/>
      </c>
    </row>
    <row r="534" spans="4:4" ht="20.100000000000001" hidden="1" customHeight="1">
      <c r="D534" s="259" t="str">
        <f t="shared" si="11"/>
        <v/>
      </c>
    </row>
    <row r="535" spans="4:4" ht="20.100000000000001" hidden="1" customHeight="1">
      <c r="D535" s="259" t="str">
        <f t="shared" si="11"/>
        <v/>
      </c>
    </row>
    <row r="536" spans="4:4" ht="20.100000000000001" hidden="1" customHeight="1">
      <c r="D536" s="259" t="str">
        <f t="shared" si="11"/>
        <v/>
      </c>
    </row>
    <row r="537" spans="4:4" ht="20.100000000000001" hidden="1" customHeight="1">
      <c r="D537" s="259" t="str">
        <f t="shared" si="11"/>
        <v/>
      </c>
    </row>
    <row r="538" spans="4:4" ht="20.100000000000001" hidden="1" customHeight="1">
      <c r="D538" s="259" t="str">
        <f t="shared" si="11"/>
        <v/>
      </c>
    </row>
    <row r="539" spans="4:4" ht="20.100000000000001" hidden="1" customHeight="1">
      <c r="D539" s="259" t="str">
        <f t="shared" si="11"/>
        <v/>
      </c>
    </row>
    <row r="540" spans="4:4" ht="20.100000000000001" hidden="1" customHeight="1">
      <c r="D540" s="259" t="str">
        <f t="shared" si="11"/>
        <v/>
      </c>
    </row>
    <row r="541" spans="4:4" ht="20.100000000000001" hidden="1" customHeight="1">
      <c r="D541" s="259" t="str">
        <f t="shared" si="11"/>
        <v/>
      </c>
    </row>
    <row r="542" spans="4:4" ht="20.100000000000001" hidden="1" customHeight="1">
      <c r="D542" s="259" t="str">
        <f t="shared" si="11"/>
        <v/>
      </c>
    </row>
    <row r="543" spans="4:4" ht="20.100000000000001" hidden="1" customHeight="1">
      <c r="D543" s="259" t="str">
        <f t="shared" si="11"/>
        <v/>
      </c>
    </row>
    <row r="544" spans="4:4" ht="20.100000000000001" hidden="1" customHeight="1">
      <c r="D544" s="259" t="str">
        <f t="shared" si="11"/>
        <v/>
      </c>
    </row>
    <row r="545" spans="4:4" ht="20.100000000000001" hidden="1" customHeight="1">
      <c r="D545" s="259" t="str">
        <f t="shared" si="11"/>
        <v/>
      </c>
    </row>
    <row r="546" spans="4:4" ht="20.100000000000001" hidden="1" customHeight="1">
      <c r="D546" s="259" t="str">
        <f t="shared" si="11"/>
        <v/>
      </c>
    </row>
    <row r="547" spans="4:4" ht="20.100000000000001" hidden="1" customHeight="1">
      <c r="D547" s="259" t="str">
        <f t="shared" si="11"/>
        <v/>
      </c>
    </row>
    <row r="548" spans="4:4" ht="20.100000000000001" hidden="1" customHeight="1">
      <c r="D548" s="259" t="str">
        <f t="shared" si="11"/>
        <v/>
      </c>
    </row>
    <row r="549" spans="4:4" ht="20.100000000000001" hidden="1" customHeight="1">
      <c r="D549" s="259" t="str">
        <f t="shared" si="11"/>
        <v/>
      </c>
    </row>
    <row r="550" spans="4:4" ht="20.100000000000001" hidden="1" customHeight="1">
      <c r="D550" s="259" t="str">
        <f t="shared" si="11"/>
        <v/>
      </c>
    </row>
    <row r="551" spans="4:4" ht="20.100000000000001" hidden="1" customHeight="1">
      <c r="D551" s="259" t="str">
        <f t="shared" si="11"/>
        <v/>
      </c>
    </row>
    <row r="552" spans="4:4" ht="20.100000000000001" hidden="1" customHeight="1">
      <c r="D552" s="259" t="str">
        <f t="shared" si="11"/>
        <v/>
      </c>
    </row>
    <row r="553" spans="4:4" ht="20.100000000000001" hidden="1" customHeight="1">
      <c r="D553" s="259" t="str">
        <f t="shared" si="11"/>
        <v/>
      </c>
    </row>
    <row r="554" spans="4:4" ht="20.100000000000001" hidden="1" customHeight="1">
      <c r="D554" s="259" t="str">
        <f t="shared" si="11"/>
        <v/>
      </c>
    </row>
    <row r="555" spans="4:4" ht="20.100000000000001" hidden="1" customHeight="1">
      <c r="D555" s="259" t="str">
        <f t="shared" si="11"/>
        <v/>
      </c>
    </row>
    <row r="556" spans="4:4" ht="20.100000000000001" hidden="1" customHeight="1">
      <c r="D556" s="259" t="str">
        <f t="shared" si="11"/>
        <v/>
      </c>
    </row>
    <row r="557" spans="4:4" ht="20.100000000000001" hidden="1" customHeight="1">
      <c r="D557" s="259" t="str">
        <f t="shared" si="11"/>
        <v/>
      </c>
    </row>
    <row r="558" spans="4:4" ht="20.100000000000001" hidden="1" customHeight="1">
      <c r="D558" s="259" t="str">
        <f t="shared" si="11"/>
        <v/>
      </c>
    </row>
    <row r="559" spans="4:4" ht="20.100000000000001" hidden="1" customHeight="1">
      <c r="D559" s="259" t="str">
        <f t="shared" si="11"/>
        <v/>
      </c>
    </row>
    <row r="560" spans="4:4" ht="20.100000000000001" hidden="1" customHeight="1">
      <c r="D560" s="259" t="str">
        <f t="shared" si="11"/>
        <v/>
      </c>
    </row>
    <row r="561" spans="4:4" ht="20.100000000000001" hidden="1" customHeight="1">
      <c r="D561" s="259" t="str">
        <f t="shared" si="11"/>
        <v/>
      </c>
    </row>
    <row r="562" spans="4:4" ht="20.100000000000001" hidden="1" customHeight="1">
      <c r="D562" s="259" t="str">
        <f t="shared" si="11"/>
        <v/>
      </c>
    </row>
    <row r="563" spans="4:4" ht="20.100000000000001" hidden="1" customHeight="1">
      <c r="D563" s="259" t="str">
        <f t="shared" si="11"/>
        <v/>
      </c>
    </row>
    <row r="564" spans="4:4" ht="20.100000000000001" hidden="1" customHeight="1">
      <c r="D564" s="259" t="str">
        <f t="shared" si="11"/>
        <v/>
      </c>
    </row>
    <row r="565" spans="4:4" ht="20.100000000000001" hidden="1" customHeight="1">
      <c r="D565" s="259" t="str">
        <f t="shared" si="11"/>
        <v/>
      </c>
    </row>
    <row r="566" spans="4:4" ht="20.100000000000001" hidden="1" customHeight="1">
      <c r="D566" s="259" t="str">
        <f t="shared" si="11"/>
        <v/>
      </c>
    </row>
    <row r="567" spans="4:4" ht="20.100000000000001" hidden="1" customHeight="1">
      <c r="D567" s="259" t="str">
        <f t="shared" si="11"/>
        <v/>
      </c>
    </row>
    <row r="568" spans="4:4" ht="20.100000000000001" hidden="1" customHeight="1">
      <c r="D568" s="259" t="str">
        <f t="shared" si="11"/>
        <v/>
      </c>
    </row>
    <row r="569" spans="4:4" ht="20.100000000000001" hidden="1" customHeight="1">
      <c r="D569" s="259" t="str">
        <f t="shared" si="11"/>
        <v/>
      </c>
    </row>
    <row r="570" spans="4:4" ht="20.100000000000001" hidden="1" customHeight="1">
      <c r="D570" s="259" t="str">
        <f t="shared" si="11"/>
        <v/>
      </c>
    </row>
    <row r="571" spans="4:4" ht="20.100000000000001" hidden="1" customHeight="1">
      <c r="D571" s="259" t="str">
        <f t="shared" si="11"/>
        <v/>
      </c>
    </row>
    <row r="572" spans="4:4" ht="20.100000000000001" hidden="1" customHeight="1">
      <c r="D572" s="259" t="str">
        <f t="shared" si="11"/>
        <v/>
      </c>
    </row>
    <row r="573" spans="4:4" ht="20.100000000000001" hidden="1" customHeight="1">
      <c r="D573" s="259" t="str">
        <f t="shared" si="11"/>
        <v/>
      </c>
    </row>
    <row r="574" spans="4:4" ht="20.100000000000001" hidden="1" customHeight="1">
      <c r="D574" s="259" t="str">
        <f t="shared" si="11"/>
        <v/>
      </c>
    </row>
    <row r="575" spans="4:4" ht="20.100000000000001" hidden="1" customHeight="1">
      <c r="D575" s="259" t="str">
        <f t="shared" si="11"/>
        <v/>
      </c>
    </row>
    <row r="576" spans="4:4" ht="20.100000000000001" hidden="1" customHeight="1">
      <c r="D576" s="259" t="str">
        <f t="shared" si="11"/>
        <v/>
      </c>
    </row>
    <row r="577" spans="4:4" ht="20.100000000000001" hidden="1" customHeight="1">
      <c r="D577" s="259" t="str">
        <f t="shared" si="11"/>
        <v/>
      </c>
    </row>
    <row r="578" spans="4:4" ht="20.100000000000001" hidden="1" customHeight="1">
      <c r="D578" s="259" t="str">
        <f t="shared" si="11"/>
        <v/>
      </c>
    </row>
    <row r="579" spans="4:4" ht="20.100000000000001" hidden="1" customHeight="1">
      <c r="D579" s="259" t="str">
        <f t="shared" si="11"/>
        <v/>
      </c>
    </row>
    <row r="580" spans="4:4" ht="20.100000000000001" hidden="1" customHeight="1">
      <c r="D580" s="259" t="str">
        <f t="shared" ref="D580:D643" si="12">_xlfn.CONCAT(B580,C580)</f>
        <v/>
      </c>
    </row>
    <row r="581" spans="4:4" ht="20.100000000000001" hidden="1" customHeight="1">
      <c r="D581" s="259" t="str">
        <f t="shared" si="12"/>
        <v/>
      </c>
    </row>
    <row r="582" spans="4:4" ht="20.100000000000001" hidden="1" customHeight="1">
      <c r="D582" s="259" t="str">
        <f t="shared" si="12"/>
        <v/>
      </c>
    </row>
    <row r="583" spans="4:4" ht="20.100000000000001" hidden="1" customHeight="1">
      <c r="D583" s="259" t="str">
        <f t="shared" si="12"/>
        <v/>
      </c>
    </row>
    <row r="584" spans="4:4" ht="20.100000000000001" hidden="1" customHeight="1">
      <c r="D584" s="259" t="str">
        <f t="shared" si="12"/>
        <v/>
      </c>
    </row>
    <row r="585" spans="4:4" ht="20.100000000000001" hidden="1" customHeight="1">
      <c r="D585" s="259" t="str">
        <f t="shared" si="12"/>
        <v/>
      </c>
    </row>
    <row r="586" spans="4:4" ht="20.100000000000001" hidden="1" customHeight="1">
      <c r="D586" s="259" t="str">
        <f t="shared" si="12"/>
        <v/>
      </c>
    </row>
    <row r="587" spans="4:4" ht="20.100000000000001" hidden="1" customHeight="1">
      <c r="D587" s="259" t="str">
        <f t="shared" si="12"/>
        <v/>
      </c>
    </row>
    <row r="588" spans="4:4" ht="20.100000000000001" hidden="1" customHeight="1">
      <c r="D588" s="259" t="str">
        <f t="shared" si="12"/>
        <v/>
      </c>
    </row>
    <row r="589" spans="4:4" ht="20.100000000000001" hidden="1" customHeight="1">
      <c r="D589" s="259" t="str">
        <f t="shared" si="12"/>
        <v/>
      </c>
    </row>
    <row r="590" spans="4:4" ht="20.100000000000001" hidden="1" customHeight="1">
      <c r="D590" s="259" t="str">
        <f t="shared" si="12"/>
        <v/>
      </c>
    </row>
    <row r="591" spans="4:4" ht="20.100000000000001" hidden="1" customHeight="1">
      <c r="D591" s="259" t="str">
        <f t="shared" si="12"/>
        <v/>
      </c>
    </row>
    <row r="592" spans="4:4" ht="20.100000000000001" hidden="1" customHeight="1">
      <c r="D592" s="259" t="str">
        <f t="shared" si="12"/>
        <v/>
      </c>
    </row>
    <row r="593" spans="4:4" ht="20.100000000000001" hidden="1" customHeight="1">
      <c r="D593" s="259" t="str">
        <f t="shared" si="12"/>
        <v/>
      </c>
    </row>
    <row r="594" spans="4:4" ht="20.100000000000001" hidden="1" customHeight="1">
      <c r="D594" s="259" t="str">
        <f t="shared" si="12"/>
        <v/>
      </c>
    </row>
    <row r="595" spans="4:4" ht="20.100000000000001" hidden="1" customHeight="1">
      <c r="D595" s="259" t="str">
        <f t="shared" si="12"/>
        <v/>
      </c>
    </row>
    <row r="596" spans="4:4" ht="20.100000000000001" hidden="1" customHeight="1">
      <c r="D596" s="259" t="str">
        <f t="shared" si="12"/>
        <v/>
      </c>
    </row>
    <row r="597" spans="4:4" ht="20.100000000000001" hidden="1" customHeight="1">
      <c r="D597" s="259" t="str">
        <f t="shared" si="12"/>
        <v/>
      </c>
    </row>
    <row r="598" spans="4:4" ht="20.100000000000001" hidden="1" customHeight="1">
      <c r="D598" s="259" t="str">
        <f t="shared" si="12"/>
        <v/>
      </c>
    </row>
    <row r="599" spans="4:4" ht="20.100000000000001" hidden="1" customHeight="1">
      <c r="D599" s="259" t="str">
        <f t="shared" si="12"/>
        <v/>
      </c>
    </row>
    <row r="600" spans="4:4" ht="20.100000000000001" hidden="1" customHeight="1">
      <c r="D600" s="259" t="str">
        <f t="shared" si="12"/>
        <v/>
      </c>
    </row>
    <row r="601" spans="4:4" ht="20.100000000000001" hidden="1" customHeight="1">
      <c r="D601" s="259" t="str">
        <f t="shared" si="12"/>
        <v/>
      </c>
    </row>
    <row r="602" spans="4:4" ht="20.100000000000001" hidden="1" customHeight="1">
      <c r="D602" s="259" t="str">
        <f t="shared" si="12"/>
        <v/>
      </c>
    </row>
    <row r="603" spans="4:4" ht="20.100000000000001" hidden="1" customHeight="1">
      <c r="D603" s="259" t="str">
        <f t="shared" si="12"/>
        <v/>
      </c>
    </row>
    <row r="604" spans="4:4" ht="20.100000000000001" hidden="1" customHeight="1">
      <c r="D604" s="259" t="str">
        <f t="shared" si="12"/>
        <v/>
      </c>
    </row>
    <row r="605" spans="4:4" ht="20.100000000000001" hidden="1" customHeight="1">
      <c r="D605" s="259" t="str">
        <f t="shared" si="12"/>
        <v/>
      </c>
    </row>
    <row r="606" spans="4:4" ht="20.100000000000001" hidden="1" customHeight="1">
      <c r="D606" s="259" t="str">
        <f t="shared" si="12"/>
        <v/>
      </c>
    </row>
    <row r="607" spans="4:4" ht="20.100000000000001" hidden="1" customHeight="1">
      <c r="D607" s="259" t="str">
        <f t="shared" si="12"/>
        <v/>
      </c>
    </row>
    <row r="608" spans="4:4" ht="20.100000000000001" hidden="1" customHeight="1">
      <c r="D608" s="259" t="str">
        <f t="shared" si="12"/>
        <v/>
      </c>
    </row>
    <row r="609" spans="4:4" ht="20.100000000000001" hidden="1" customHeight="1">
      <c r="D609" s="259" t="str">
        <f t="shared" si="12"/>
        <v/>
      </c>
    </row>
    <row r="610" spans="4:4" ht="20.100000000000001" hidden="1" customHeight="1">
      <c r="D610" s="259" t="str">
        <f t="shared" si="12"/>
        <v/>
      </c>
    </row>
    <row r="611" spans="4:4" ht="20.100000000000001" hidden="1" customHeight="1">
      <c r="D611" s="259" t="str">
        <f t="shared" si="12"/>
        <v/>
      </c>
    </row>
    <row r="612" spans="4:4" ht="20.100000000000001" hidden="1" customHeight="1">
      <c r="D612" s="259" t="str">
        <f t="shared" si="12"/>
        <v/>
      </c>
    </row>
    <row r="613" spans="4:4" ht="20.100000000000001" hidden="1" customHeight="1">
      <c r="D613" s="259" t="str">
        <f t="shared" si="12"/>
        <v/>
      </c>
    </row>
    <row r="614" spans="4:4" ht="20.100000000000001" hidden="1" customHeight="1">
      <c r="D614" s="259" t="str">
        <f t="shared" si="12"/>
        <v/>
      </c>
    </row>
    <row r="615" spans="4:4" ht="20.100000000000001" hidden="1" customHeight="1">
      <c r="D615" s="259" t="str">
        <f t="shared" si="12"/>
        <v/>
      </c>
    </row>
    <row r="616" spans="4:4" ht="20.100000000000001" hidden="1" customHeight="1">
      <c r="D616" s="259" t="str">
        <f t="shared" si="12"/>
        <v/>
      </c>
    </row>
    <row r="617" spans="4:4" ht="20.100000000000001" hidden="1" customHeight="1">
      <c r="D617" s="259" t="str">
        <f t="shared" si="12"/>
        <v/>
      </c>
    </row>
    <row r="618" spans="4:4" ht="20.100000000000001" hidden="1" customHeight="1">
      <c r="D618" s="259" t="str">
        <f t="shared" si="12"/>
        <v/>
      </c>
    </row>
    <row r="619" spans="4:4" ht="20.100000000000001" hidden="1" customHeight="1">
      <c r="D619" s="259" t="str">
        <f t="shared" si="12"/>
        <v/>
      </c>
    </row>
    <row r="620" spans="4:4" ht="20.100000000000001" hidden="1" customHeight="1">
      <c r="D620" s="259" t="str">
        <f t="shared" si="12"/>
        <v/>
      </c>
    </row>
    <row r="621" spans="4:4" ht="20.100000000000001" hidden="1" customHeight="1">
      <c r="D621" s="259" t="str">
        <f t="shared" si="12"/>
        <v/>
      </c>
    </row>
    <row r="622" spans="4:4" ht="20.100000000000001" hidden="1" customHeight="1">
      <c r="D622" s="259" t="str">
        <f t="shared" si="12"/>
        <v/>
      </c>
    </row>
    <row r="623" spans="4:4" ht="20.100000000000001" hidden="1" customHeight="1">
      <c r="D623" s="259" t="str">
        <f t="shared" si="12"/>
        <v/>
      </c>
    </row>
    <row r="624" spans="4:4" ht="20.100000000000001" hidden="1" customHeight="1">
      <c r="D624" s="259" t="str">
        <f t="shared" si="12"/>
        <v/>
      </c>
    </row>
    <row r="625" spans="4:4" ht="20.100000000000001" hidden="1" customHeight="1">
      <c r="D625" s="259" t="str">
        <f t="shared" si="12"/>
        <v/>
      </c>
    </row>
    <row r="626" spans="4:4" ht="20.100000000000001" hidden="1" customHeight="1">
      <c r="D626" s="259" t="str">
        <f t="shared" si="12"/>
        <v/>
      </c>
    </row>
    <row r="627" spans="4:4" ht="20.100000000000001" hidden="1" customHeight="1">
      <c r="D627" s="259" t="str">
        <f t="shared" si="12"/>
        <v/>
      </c>
    </row>
    <row r="628" spans="4:4" ht="20.100000000000001" hidden="1" customHeight="1">
      <c r="D628" s="259" t="str">
        <f t="shared" si="12"/>
        <v/>
      </c>
    </row>
    <row r="629" spans="4:4" ht="20.100000000000001" hidden="1" customHeight="1">
      <c r="D629" s="259" t="str">
        <f t="shared" si="12"/>
        <v/>
      </c>
    </row>
    <row r="630" spans="4:4" ht="20.100000000000001" hidden="1" customHeight="1">
      <c r="D630" s="259" t="str">
        <f t="shared" si="12"/>
        <v/>
      </c>
    </row>
    <row r="631" spans="4:4" ht="20.100000000000001" hidden="1" customHeight="1">
      <c r="D631" s="259" t="str">
        <f t="shared" si="12"/>
        <v/>
      </c>
    </row>
    <row r="632" spans="4:4" ht="20.100000000000001" hidden="1" customHeight="1">
      <c r="D632" s="259" t="str">
        <f t="shared" si="12"/>
        <v/>
      </c>
    </row>
    <row r="633" spans="4:4" ht="20.100000000000001" hidden="1" customHeight="1">
      <c r="D633" s="259" t="str">
        <f t="shared" si="12"/>
        <v/>
      </c>
    </row>
    <row r="634" spans="4:4" ht="20.100000000000001" hidden="1" customHeight="1">
      <c r="D634" s="259" t="str">
        <f t="shared" si="12"/>
        <v/>
      </c>
    </row>
    <row r="635" spans="4:4" ht="20.100000000000001" hidden="1" customHeight="1">
      <c r="D635" s="259" t="str">
        <f t="shared" si="12"/>
        <v/>
      </c>
    </row>
    <row r="636" spans="4:4" ht="20.100000000000001" hidden="1" customHeight="1">
      <c r="D636" s="259" t="str">
        <f t="shared" si="12"/>
        <v/>
      </c>
    </row>
    <row r="637" spans="4:4" ht="20.100000000000001" hidden="1" customHeight="1">
      <c r="D637" s="259" t="str">
        <f t="shared" si="12"/>
        <v/>
      </c>
    </row>
    <row r="638" spans="4:4" ht="20.100000000000001" hidden="1" customHeight="1">
      <c r="D638" s="259" t="str">
        <f t="shared" si="12"/>
        <v/>
      </c>
    </row>
    <row r="639" spans="4:4" ht="20.100000000000001" hidden="1" customHeight="1">
      <c r="D639" s="259" t="str">
        <f t="shared" si="12"/>
        <v/>
      </c>
    </row>
    <row r="640" spans="4:4" ht="20.100000000000001" hidden="1" customHeight="1">
      <c r="D640" s="259" t="str">
        <f t="shared" si="12"/>
        <v/>
      </c>
    </row>
    <row r="641" spans="4:4" ht="20.100000000000001" hidden="1" customHeight="1">
      <c r="D641" s="259" t="str">
        <f t="shared" si="12"/>
        <v/>
      </c>
    </row>
    <row r="642" spans="4:4" ht="20.100000000000001" hidden="1" customHeight="1">
      <c r="D642" s="259" t="str">
        <f t="shared" si="12"/>
        <v/>
      </c>
    </row>
    <row r="643" spans="4:4" ht="20.100000000000001" hidden="1" customHeight="1">
      <c r="D643" s="259" t="str">
        <f t="shared" si="12"/>
        <v/>
      </c>
    </row>
    <row r="644" spans="4:4" ht="20.100000000000001" hidden="1" customHeight="1">
      <c r="D644" s="259" t="str">
        <f t="shared" ref="D644:D707" si="13">_xlfn.CONCAT(B644,C644)</f>
        <v/>
      </c>
    </row>
    <row r="645" spans="4:4" ht="20.100000000000001" hidden="1" customHeight="1">
      <c r="D645" s="259" t="str">
        <f t="shared" si="13"/>
        <v/>
      </c>
    </row>
    <row r="646" spans="4:4" ht="20.100000000000001" hidden="1" customHeight="1">
      <c r="D646" s="259" t="str">
        <f t="shared" si="13"/>
        <v/>
      </c>
    </row>
    <row r="647" spans="4:4" ht="20.100000000000001" hidden="1" customHeight="1">
      <c r="D647" s="259" t="str">
        <f t="shared" si="13"/>
        <v/>
      </c>
    </row>
    <row r="648" spans="4:4" ht="20.100000000000001" hidden="1" customHeight="1">
      <c r="D648" s="259" t="str">
        <f t="shared" si="13"/>
        <v/>
      </c>
    </row>
    <row r="649" spans="4:4" ht="20.100000000000001" hidden="1" customHeight="1">
      <c r="D649" s="259" t="str">
        <f t="shared" si="13"/>
        <v/>
      </c>
    </row>
    <row r="650" spans="4:4" ht="20.100000000000001" hidden="1" customHeight="1">
      <c r="D650" s="259" t="str">
        <f t="shared" si="13"/>
        <v/>
      </c>
    </row>
    <row r="651" spans="4:4" ht="20.100000000000001" hidden="1" customHeight="1">
      <c r="D651" s="259" t="str">
        <f t="shared" si="13"/>
        <v/>
      </c>
    </row>
    <row r="652" spans="4:4" ht="20.100000000000001" hidden="1" customHeight="1">
      <c r="D652" s="259" t="str">
        <f t="shared" si="13"/>
        <v/>
      </c>
    </row>
    <row r="653" spans="4:4" ht="20.100000000000001" hidden="1" customHeight="1">
      <c r="D653" s="259" t="str">
        <f t="shared" si="13"/>
        <v/>
      </c>
    </row>
    <row r="654" spans="4:4" ht="20.100000000000001" hidden="1" customHeight="1">
      <c r="D654" s="259" t="str">
        <f t="shared" si="13"/>
        <v/>
      </c>
    </row>
    <row r="655" spans="4:4" ht="20.100000000000001" hidden="1" customHeight="1">
      <c r="D655" s="259" t="str">
        <f t="shared" si="13"/>
        <v/>
      </c>
    </row>
    <row r="656" spans="4:4" ht="20.100000000000001" hidden="1" customHeight="1">
      <c r="D656" s="259" t="str">
        <f t="shared" si="13"/>
        <v/>
      </c>
    </row>
    <row r="657" spans="4:4" ht="20.100000000000001" hidden="1" customHeight="1">
      <c r="D657" s="259" t="str">
        <f t="shared" si="13"/>
        <v/>
      </c>
    </row>
    <row r="658" spans="4:4" ht="20.100000000000001" hidden="1" customHeight="1">
      <c r="D658" s="259" t="str">
        <f t="shared" si="13"/>
        <v/>
      </c>
    </row>
    <row r="659" spans="4:4" ht="20.100000000000001" hidden="1" customHeight="1">
      <c r="D659" s="259" t="str">
        <f t="shared" si="13"/>
        <v/>
      </c>
    </row>
    <row r="660" spans="4:4" ht="20.100000000000001" hidden="1" customHeight="1">
      <c r="D660" s="259" t="str">
        <f t="shared" si="13"/>
        <v/>
      </c>
    </row>
    <row r="661" spans="4:4" ht="20.100000000000001" hidden="1" customHeight="1">
      <c r="D661" s="259" t="str">
        <f t="shared" si="13"/>
        <v/>
      </c>
    </row>
    <row r="662" spans="4:4" ht="20.100000000000001" hidden="1" customHeight="1">
      <c r="D662" s="259" t="str">
        <f t="shared" si="13"/>
        <v/>
      </c>
    </row>
    <row r="663" spans="4:4" ht="20.100000000000001" hidden="1" customHeight="1">
      <c r="D663" s="259" t="str">
        <f t="shared" si="13"/>
        <v/>
      </c>
    </row>
    <row r="664" spans="4:4" ht="20.100000000000001" hidden="1" customHeight="1">
      <c r="D664" s="259" t="str">
        <f t="shared" si="13"/>
        <v/>
      </c>
    </row>
    <row r="665" spans="4:4" ht="20.100000000000001" hidden="1" customHeight="1">
      <c r="D665" s="259" t="str">
        <f t="shared" si="13"/>
        <v/>
      </c>
    </row>
    <row r="666" spans="4:4" ht="20.100000000000001" hidden="1" customHeight="1">
      <c r="D666" s="259" t="str">
        <f t="shared" si="13"/>
        <v/>
      </c>
    </row>
    <row r="667" spans="4:4" ht="20.100000000000001" hidden="1" customHeight="1">
      <c r="D667" s="259" t="str">
        <f t="shared" si="13"/>
        <v/>
      </c>
    </row>
    <row r="668" spans="4:4" ht="20.100000000000001" hidden="1" customHeight="1">
      <c r="D668" s="259" t="str">
        <f t="shared" si="13"/>
        <v/>
      </c>
    </row>
    <row r="669" spans="4:4" ht="20.100000000000001" hidden="1" customHeight="1">
      <c r="D669" s="259" t="str">
        <f t="shared" si="13"/>
        <v/>
      </c>
    </row>
    <row r="670" spans="4:4" ht="20.100000000000001" hidden="1" customHeight="1">
      <c r="D670" s="259" t="str">
        <f t="shared" si="13"/>
        <v/>
      </c>
    </row>
    <row r="671" spans="4:4" ht="20.100000000000001" hidden="1" customHeight="1">
      <c r="D671" s="259" t="str">
        <f t="shared" si="13"/>
        <v/>
      </c>
    </row>
    <row r="672" spans="4:4" ht="20.100000000000001" hidden="1" customHeight="1">
      <c r="D672" s="259" t="str">
        <f t="shared" si="13"/>
        <v/>
      </c>
    </row>
    <row r="673" spans="4:4" ht="20.100000000000001" hidden="1" customHeight="1">
      <c r="D673" s="259" t="str">
        <f t="shared" si="13"/>
        <v/>
      </c>
    </row>
    <row r="674" spans="4:4" ht="20.100000000000001" hidden="1" customHeight="1">
      <c r="D674" s="259" t="str">
        <f t="shared" si="13"/>
        <v/>
      </c>
    </row>
    <row r="675" spans="4:4" ht="20.100000000000001" hidden="1" customHeight="1">
      <c r="D675" s="259" t="str">
        <f t="shared" si="13"/>
        <v/>
      </c>
    </row>
    <row r="676" spans="4:4" ht="20.100000000000001" hidden="1" customHeight="1">
      <c r="D676" s="259" t="str">
        <f t="shared" si="13"/>
        <v/>
      </c>
    </row>
    <row r="677" spans="4:4" ht="20.100000000000001" hidden="1" customHeight="1">
      <c r="D677" s="259" t="str">
        <f t="shared" si="13"/>
        <v/>
      </c>
    </row>
    <row r="678" spans="4:4" ht="20.100000000000001" hidden="1" customHeight="1">
      <c r="D678" s="259" t="str">
        <f t="shared" si="13"/>
        <v/>
      </c>
    </row>
    <row r="679" spans="4:4" ht="20.100000000000001" hidden="1" customHeight="1">
      <c r="D679" s="259" t="str">
        <f t="shared" si="13"/>
        <v/>
      </c>
    </row>
    <row r="680" spans="4:4" ht="20.100000000000001" hidden="1" customHeight="1">
      <c r="D680" s="259" t="str">
        <f t="shared" si="13"/>
        <v/>
      </c>
    </row>
    <row r="681" spans="4:4" ht="20.100000000000001" hidden="1" customHeight="1">
      <c r="D681" s="259" t="str">
        <f t="shared" si="13"/>
        <v/>
      </c>
    </row>
    <row r="682" spans="4:4" ht="20.100000000000001" hidden="1" customHeight="1">
      <c r="D682" s="259" t="str">
        <f t="shared" si="13"/>
        <v/>
      </c>
    </row>
    <row r="683" spans="4:4" ht="20.100000000000001" hidden="1" customHeight="1">
      <c r="D683" s="259" t="str">
        <f t="shared" si="13"/>
        <v/>
      </c>
    </row>
    <row r="684" spans="4:4" ht="20.100000000000001" hidden="1" customHeight="1">
      <c r="D684" s="259" t="str">
        <f t="shared" si="13"/>
        <v/>
      </c>
    </row>
    <row r="685" spans="4:4" ht="20.100000000000001" hidden="1" customHeight="1">
      <c r="D685" s="259" t="str">
        <f t="shared" si="13"/>
        <v/>
      </c>
    </row>
    <row r="686" spans="4:4" ht="20.100000000000001" hidden="1" customHeight="1">
      <c r="D686" s="259" t="str">
        <f t="shared" si="13"/>
        <v/>
      </c>
    </row>
    <row r="687" spans="4:4" ht="20.100000000000001" hidden="1" customHeight="1">
      <c r="D687" s="259" t="str">
        <f t="shared" si="13"/>
        <v/>
      </c>
    </row>
    <row r="688" spans="4:4" ht="20.100000000000001" hidden="1" customHeight="1">
      <c r="D688" s="259" t="str">
        <f t="shared" si="13"/>
        <v/>
      </c>
    </row>
    <row r="689" spans="4:4" ht="20.100000000000001" hidden="1" customHeight="1">
      <c r="D689" s="259" t="str">
        <f t="shared" si="13"/>
        <v/>
      </c>
    </row>
    <row r="690" spans="4:4" ht="20.100000000000001" hidden="1" customHeight="1">
      <c r="D690" s="259" t="str">
        <f t="shared" si="13"/>
        <v/>
      </c>
    </row>
    <row r="691" spans="4:4" ht="20.100000000000001" hidden="1" customHeight="1">
      <c r="D691" s="259" t="str">
        <f t="shared" si="13"/>
        <v/>
      </c>
    </row>
    <row r="692" spans="4:4" ht="20.100000000000001" hidden="1" customHeight="1">
      <c r="D692" s="259" t="str">
        <f t="shared" si="13"/>
        <v/>
      </c>
    </row>
    <row r="693" spans="4:4" ht="20.100000000000001" hidden="1" customHeight="1">
      <c r="D693" s="259" t="str">
        <f t="shared" si="13"/>
        <v/>
      </c>
    </row>
    <row r="694" spans="4:4" ht="20.100000000000001" hidden="1" customHeight="1">
      <c r="D694" s="259" t="str">
        <f t="shared" si="13"/>
        <v/>
      </c>
    </row>
    <row r="695" spans="4:4" ht="20.100000000000001" hidden="1" customHeight="1">
      <c r="D695" s="259" t="str">
        <f t="shared" si="13"/>
        <v/>
      </c>
    </row>
    <row r="696" spans="4:4" ht="20.100000000000001" hidden="1" customHeight="1">
      <c r="D696" s="259" t="str">
        <f t="shared" si="13"/>
        <v/>
      </c>
    </row>
    <row r="697" spans="4:4" ht="20.100000000000001" hidden="1" customHeight="1">
      <c r="D697" s="259" t="str">
        <f t="shared" si="13"/>
        <v/>
      </c>
    </row>
    <row r="698" spans="4:4" ht="20.100000000000001" hidden="1" customHeight="1">
      <c r="D698" s="259" t="str">
        <f t="shared" si="13"/>
        <v/>
      </c>
    </row>
    <row r="699" spans="4:4" ht="20.100000000000001" hidden="1" customHeight="1">
      <c r="D699" s="259" t="str">
        <f t="shared" si="13"/>
        <v/>
      </c>
    </row>
    <row r="700" spans="4:4" ht="20.100000000000001" hidden="1" customHeight="1">
      <c r="D700" s="259" t="str">
        <f t="shared" si="13"/>
        <v/>
      </c>
    </row>
    <row r="701" spans="4:4" ht="20.100000000000001" hidden="1" customHeight="1">
      <c r="D701" s="259" t="str">
        <f t="shared" si="13"/>
        <v/>
      </c>
    </row>
    <row r="702" spans="4:4" ht="20.100000000000001" hidden="1" customHeight="1">
      <c r="D702" s="259" t="str">
        <f t="shared" si="13"/>
        <v/>
      </c>
    </row>
    <row r="703" spans="4:4" ht="20.100000000000001" hidden="1" customHeight="1">
      <c r="D703" s="259" t="str">
        <f t="shared" si="13"/>
        <v/>
      </c>
    </row>
    <row r="704" spans="4:4" ht="20.100000000000001" hidden="1" customHeight="1">
      <c r="D704" s="259" t="str">
        <f t="shared" si="13"/>
        <v/>
      </c>
    </row>
    <row r="705" spans="4:4" ht="20.100000000000001" hidden="1" customHeight="1">
      <c r="D705" s="259" t="str">
        <f t="shared" si="13"/>
        <v/>
      </c>
    </row>
    <row r="706" spans="4:4" ht="20.100000000000001" hidden="1" customHeight="1">
      <c r="D706" s="259" t="str">
        <f t="shared" si="13"/>
        <v/>
      </c>
    </row>
    <row r="707" spans="4:4" ht="20.100000000000001" hidden="1" customHeight="1">
      <c r="D707" s="259" t="str">
        <f t="shared" si="13"/>
        <v/>
      </c>
    </row>
    <row r="708" spans="4:4" ht="20.100000000000001" hidden="1" customHeight="1">
      <c r="D708" s="259" t="str">
        <f t="shared" ref="D708:D771" si="14">_xlfn.CONCAT(B708,C708)</f>
        <v/>
      </c>
    </row>
    <row r="709" spans="4:4" ht="20.100000000000001" hidden="1" customHeight="1">
      <c r="D709" s="259" t="str">
        <f t="shared" si="14"/>
        <v/>
      </c>
    </row>
    <row r="710" spans="4:4" ht="20.100000000000001" hidden="1" customHeight="1">
      <c r="D710" s="259" t="str">
        <f t="shared" si="14"/>
        <v/>
      </c>
    </row>
    <row r="711" spans="4:4" ht="20.100000000000001" hidden="1" customHeight="1">
      <c r="D711" s="259" t="str">
        <f t="shared" si="14"/>
        <v/>
      </c>
    </row>
    <row r="712" spans="4:4" ht="20.100000000000001" hidden="1" customHeight="1">
      <c r="D712" s="259" t="str">
        <f t="shared" si="14"/>
        <v/>
      </c>
    </row>
    <row r="713" spans="4:4" ht="20.100000000000001" hidden="1" customHeight="1">
      <c r="D713" s="259" t="str">
        <f t="shared" si="14"/>
        <v/>
      </c>
    </row>
    <row r="714" spans="4:4" ht="20.100000000000001" hidden="1" customHeight="1">
      <c r="D714" s="259" t="str">
        <f t="shared" si="14"/>
        <v/>
      </c>
    </row>
    <row r="715" spans="4:4" ht="20.100000000000001" hidden="1" customHeight="1">
      <c r="D715" s="259" t="str">
        <f t="shared" si="14"/>
        <v/>
      </c>
    </row>
    <row r="716" spans="4:4" ht="20.100000000000001" hidden="1" customHeight="1">
      <c r="D716" s="259" t="str">
        <f t="shared" si="14"/>
        <v/>
      </c>
    </row>
    <row r="717" spans="4:4" ht="20.100000000000001" hidden="1" customHeight="1">
      <c r="D717" s="259" t="str">
        <f t="shared" si="14"/>
        <v/>
      </c>
    </row>
    <row r="718" spans="4:4" ht="20.100000000000001" hidden="1" customHeight="1">
      <c r="D718" s="259" t="str">
        <f t="shared" si="14"/>
        <v/>
      </c>
    </row>
    <row r="719" spans="4:4" ht="20.100000000000001" hidden="1" customHeight="1">
      <c r="D719" s="259" t="str">
        <f t="shared" si="14"/>
        <v/>
      </c>
    </row>
    <row r="720" spans="4:4" ht="20.100000000000001" hidden="1" customHeight="1">
      <c r="D720" s="259" t="str">
        <f t="shared" si="14"/>
        <v/>
      </c>
    </row>
    <row r="721" spans="4:4" ht="20.100000000000001" hidden="1" customHeight="1">
      <c r="D721" s="259" t="str">
        <f t="shared" si="14"/>
        <v/>
      </c>
    </row>
    <row r="722" spans="4:4" ht="20.100000000000001" hidden="1" customHeight="1">
      <c r="D722" s="259" t="str">
        <f t="shared" si="14"/>
        <v/>
      </c>
    </row>
    <row r="723" spans="4:4" ht="20.100000000000001" hidden="1" customHeight="1">
      <c r="D723" s="259" t="str">
        <f t="shared" si="14"/>
        <v/>
      </c>
    </row>
    <row r="724" spans="4:4" ht="20.100000000000001" hidden="1" customHeight="1">
      <c r="D724" s="259" t="str">
        <f t="shared" si="14"/>
        <v/>
      </c>
    </row>
    <row r="725" spans="4:4" ht="20.100000000000001" hidden="1" customHeight="1">
      <c r="D725" s="259" t="str">
        <f t="shared" si="14"/>
        <v/>
      </c>
    </row>
    <row r="726" spans="4:4" ht="20.100000000000001" hidden="1" customHeight="1">
      <c r="D726" s="259" t="str">
        <f t="shared" si="14"/>
        <v/>
      </c>
    </row>
    <row r="727" spans="4:4" ht="20.100000000000001" hidden="1" customHeight="1">
      <c r="D727" s="259" t="str">
        <f t="shared" si="14"/>
        <v/>
      </c>
    </row>
    <row r="728" spans="4:4" ht="20.100000000000001" hidden="1" customHeight="1">
      <c r="D728" s="259" t="str">
        <f t="shared" si="14"/>
        <v/>
      </c>
    </row>
    <row r="729" spans="4:4" ht="20.100000000000001" hidden="1" customHeight="1">
      <c r="D729" s="259" t="str">
        <f t="shared" si="14"/>
        <v/>
      </c>
    </row>
    <row r="730" spans="4:4" ht="20.100000000000001" hidden="1" customHeight="1">
      <c r="D730" s="259" t="str">
        <f t="shared" si="14"/>
        <v/>
      </c>
    </row>
    <row r="731" spans="4:4" ht="20.100000000000001" hidden="1" customHeight="1">
      <c r="D731" s="259" t="str">
        <f t="shared" si="14"/>
        <v/>
      </c>
    </row>
    <row r="732" spans="4:4" ht="20.100000000000001" hidden="1" customHeight="1">
      <c r="D732" s="259" t="str">
        <f t="shared" si="14"/>
        <v/>
      </c>
    </row>
    <row r="733" spans="4:4" ht="20.100000000000001" hidden="1" customHeight="1">
      <c r="D733" s="259" t="str">
        <f t="shared" si="14"/>
        <v/>
      </c>
    </row>
    <row r="734" spans="4:4" ht="20.100000000000001" hidden="1" customHeight="1">
      <c r="D734" s="259" t="str">
        <f t="shared" si="14"/>
        <v/>
      </c>
    </row>
    <row r="735" spans="4:4" ht="20.100000000000001" hidden="1" customHeight="1">
      <c r="D735" s="259" t="str">
        <f t="shared" si="14"/>
        <v/>
      </c>
    </row>
    <row r="736" spans="4:4" ht="20.100000000000001" hidden="1" customHeight="1">
      <c r="D736" s="259" t="str">
        <f t="shared" si="14"/>
        <v/>
      </c>
    </row>
    <row r="737" spans="4:4" ht="20.100000000000001" hidden="1" customHeight="1">
      <c r="D737" s="259" t="str">
        <f t="shared" si="14"/>
        <v/>
      </c>
    </row>
    <row r="738" spans="4:4" ht="20.100000000000001" hidden="1" customHeight="1">
      <c r="D738" s="259" t="str">
        <f t="shared" si="14"/>
        <v/>
      </c>
    </row>
    <row r="739" spans="4:4" ht="20.100000000000001" hidden="1" customHeight="1">
      <c r="D739" s="259" t="str">
        <f t="shared" si="14"/>
        <v/>
      </c>
    </row>
    <row r="740" spans="4:4" ht="20.100000000000001" hidden="1" customHeight="1">
      <c r="D740" s="259" t="str">
        <f t="shared" si="14"/>
        <v/>
      </c>
    </row>
    <row r="741" spans="4:4" ht="20.100000000000001" hidden="1" customHeight="1">
      <c r="D741" s="259" t="str">
        <f t="shared" si="14"/>
        <v/>
      </c>
    </row>
    <row r="742" spans="4:4" ht="20.100000000000001" hidden="1" customHeight="1">
      <c r="D742" s="259" t="str">
        <f t="shared" si="14"/>
        <v/>
      </c>
    </row>
    <row r="743" spans="4:4" ht="20.100000000000001" hidden="1" customHeight="1">
      <c r="D743" s="259" t="str">
        <f t="shared" si="14"/>
        <v/>
      </c>
    </row>
    <row r="744" spans="4:4" ht="20.100000000000001" hidden="1" customHeight="1">
      <c r="D744" s="259" t="str">
        <f t="shared" si="14"/>
        <v/>
      </c>
    </row>
    <row r="745" spans="4:4" ht="20.100000000000001" hidden="1" customHeight="1">
      <c r="D745" s="259" t="str">
        <f t="shared" si="14"/>
        <v/>
      </c>
    </row>
    <row r="746" spans="4:4" ht="20.100000000000001" hidden="1" customHeight="1">
      <c r="D746" s="259" t="str">
        <f t="shared" si="14"/>
        <v/>
      </c>
    </row>
    <row r="747" spans="4:4" ht="20.100000000000001" hidden="1" customHeight="1">
      <c r="D747" s="259" t="str">
        <f t="shared" si="14"/>
        <v/>
      </c>
    </row>
    <row r="748" spans="4:4" ht="20.100000000000001" hidden="1" customHeight="1">
      <c r="D748" s="259" t="str">
        <f t="shared" si="14"/>
        <v/>
      </c>
    </row>
    <row r="749" spans="4:4" ht="20.100000000000001" hidden="1" customHeight="1">
      <c r="D749" s="259" t="str">
        <f t="shared" si="14"/>
        <v/>
      </c>
    </row>
    <row r="750" spans="4:4" ht="20.100000000000001" hidden="1" customHeight="1">
      <c r="D750" s="259" t="str">
        <f t="shared" si="14"/>
        <v/>
      </c>
    </row>
    <row r="751" spans="4:4" ht="20.100000000000001" hidden="1" customHeight="1">
      <c r="D751" s="259" t="str">
        <f t="shared" si="14"/>
        <v/>
      </c>
    </row>
    <row r="752" spans="4:4" ht="20.100000000000001" hidden="1" customHeight="1">
      <c r="D752" s="259" t="str">
        <f t="shared" si="14"/>
        <v/>
      </c>
    </row>
    <row r="753" spans="4:4" ht="20.100000000000001" hidden="1" customHeight="1">
      <c r="D753" s="259" t="str">
        <f t="shared" si="14"/>
        <v/>
      </c>
    </row>
    <row r="754" spans="4:4" ht="20.100000000000001" hidden="1" customHeight="1">
      <c r="D754" s="259" t="str">
        <f t="shared" si="14"/>
        <v/>
      </c>
    </row>
    <row r="755" spans="4:4" ht="20.100000000000001" hidden="1" customHeight="1">
      <c r="D755" s="259" t="str">
        <f t="shared" si="14"/>
        <v/>
      </c>
    </row>
    <row r="756" spans="4:4" ht="20.100000000000001" hidden="1" customHeight="1">
      <c r="D756" s="259" t="str">
        <f t="shared" si="14"/>
        <v/>
      </c>
    </row>
    <row r="757" spans="4:4" ht="20.100000000000001" hidden="1" customHeight="1">
      <c r="D757" s="259" t="str">
        <f t="shared" si="14"/>
        <v/>
      </c>
    </row>
    <row r="758" spans="4:4" ht="20.100000000000001" hidden="1" customHeight="1">
      <c r="D758" s="259" t="str">
        <f t="shared" si="14"/>
        <v/>
      </c>
    </row>
    <row r="759" spans="4:4" ht="20.100000000000001" hidden="1" customHeight="1">
      <c r="D759" s="259" t="str">
        <f t="shared" si="14"/>
        <v/>
      </c>
    </row>
    <row r="760" spans="4:4" ht="20.100000000000001" hidden="1" customHeight="1">
      <c r="D760" s="259" t="str">
        <f t="shared" si="14"/>
        <v/>
      </c>
    </row>
    <row r="761" spans="4:4" ht="20.100000000000001" hidden="1" customHeight="1">
      <c r="D761" s="259" t="str">
        <f t="shared" si="14"/>
        <v/>
      </c>
    </row>
    <row r="762" spans="4:4" ht="20.100000000000001" hidden="1" customHeight="1">
      <c r="D762" s="259" t="str">
        <f t="shared" si="14"/>
        <v/>
      </c>
    </row>
    <row r="763" spans="4:4" ht="20.100000000000001" hidden="1" customHeight="1">
      <c r="D763" s="259" t="str">
        <f t="shared" si="14"/>
        <v/>
      </c>
    </row>
    <row r="764" spans="4:4" ht="20.100000000000001" hidden="1" customHeight="1">
      <c r="D764" s="259" t="str">
        <f t="shared" si="14"/>
        <v/>
      </c>
    </row>
    <row r="765" spans="4:4" ht="20.100000000000001" hidden="1" customHeight="1">
      <c r="D765" s="259" t="str">
        <f t="shared" si="14"/>
        <v/>
      </c>
    </row>
    <row r="766" spans="4:4" ht="20.100000000000001" hidden="1" customHeight="1">
      <c r="D766" s="259" t="str">
        <f t="shared" si="14"/>
        <v/>
      </c>
    </row>
    <row r="767" spans="4:4" ht="20.100000000000001" hidden="1" customHeight="1">
      <c r="D767" s="259" t="str">
        <f t="shared" si="14"/>
        <v/>
      </c>
    </row>
    <row r="768" spans="4:4" ht="20.100000000000001" hidden="1" customHeight="1">
      <c r="D768" s="259" t="str">
        <f t="shared" si="14"/>
        <v/>
      </c>
    </row>
    <row r="769" spans="4:4" ht="20.100000000000001" hidden="1" customHeight="1">
      <c r="D769" s="259" t="str">
        <f t="shared" si="14"/>
        <v/>
      </c>
    </row>
    <row r="770" spans="4:4" ht="20.100000000000001" hidden="1" customHeight="1">
      <c r="D770" s="259" t="str">
        <f t="shared" si="14"/>
        <v/>
      </c>
    </row>
    <row r="771" spans="4:4" ht="20.100000000000001" hidden="1" customHeight="1">
      <c r="D771" s="259" t="str">
        <f t="shared" si="14"/>
        <v/>
      </c>
    </row>
    <row r="772" spans="4:4" ht="20.100000000000001" hidden="1" customHeight="1">
      <c r="D772" s="259" t="str">
        <f t="shared" ref="D772:D835" si="15">_xlfn.CONCAT(B772,C772)</f>
        <v/>
      </c>
    </row>
    <row r="773" spans="4:4" ht="20.100000000000001" hidden="1" customHeight="1">
      <c r="D773" s="259" t="str">
        <f t="shared" si="15"/>
        <v/>
      </c>
    </row>
    <row r="774" spans="4:4" ht="20.100000000000001" hidden="1" customHeight="1">
      <c r="D774" s="259" t="str">
        <f t="shared" si="15"/>
        <v/>
      </c>
    </row>
    <row r="775" spans="4:4" ht="20.100000000000001" hidden="1" customHeight="1">
      <c r="D775" s="259" t="str">
        <f t="shared" si="15"/>
        <v/>
      </c>
    </row>
    <row r="776" spans="4:4" ht="20.100000000000001" hidden="1" customHeight="1">
      <c r="D776" s="259" t="str">
        <f t="shared" si="15"/>
        <v/>
      </c>
    </row>
    <row r="777" spans="4:4" ht="20.100000000000001" hidden="1" customHeight="1">
      <c r="D777" s="259" t="str">
        <f t="shared" si="15"/>
        <v/>
      </c>
    </row>
    <row r="778" spans="4:4" ht="20.100000000000001" hidden="1" customHeight="1">
      <c r="D778" s="259" t="str">
        <f t="shared" si="15"/>
        <v/>
      </c>
    </row>
    <row r="779" spans="4:4" ht="20.100000000000001" hidden="1" customHeight="1">
      <c r="D779" s="259" t="str">
        <f t="shared" si="15"/>
        <v/>
      </c>
    </row>
    <row r="780" spans="4:4" ht="20.100000000000001" hidden="1" customHeight="1">
      <c r="D780" s="259" t="str">
        <f t="shared" si="15"/>
        <v/>
      </c>
    </row>
    <row r="781" spans="4:4" ht="20.100000000000001" hidden="1" customHeight="1">
      <c r="D781" s="259" t="str">
        <f t="shared" si="15"/>
        <v/>
      </c>
    </row>
    <row r="782" spans="4:4" ht="20.100000000000001" hidden="1" customHeight="1">
      <c r="D782" s="259" t="str">
        <f t="shared" si="15"/>
        <v/>
      </c>
    </row>
    <row r="783" spans="4:4" ht="20.100000000000001" hidden="1" customHeight="1">
      <c r="D783" s="259" t="str">
        <f t="shared" si="15"/>
        <v/>
      </c>
    </row>
    <row r="784" spans="4:4" ht="20.100000000000001" hidden="1" customHeight="1">
      <c r="D784" s="259" t="str">
        <f t="shared" si="15"/>
        <v/>
      </c>
    </row>
    <row r="785" spans="4:4" ht="20.100000000000001" hidden="1" customHeight="1">
      <c r="D785" s="259" t="str">
        <f t="shared" si="15"/>
        <v/>
      </c>
    </row>
    <row r="786" spans="4:4" ht="20.100000000000001" hidden="1" customHeight="1">
      <c r="D786" s="259" t="str">
        <f t="shared" si="15"/>
        <v/>
      </c>
    </row>
    <row r="787" spans="4:4" ht="20.100000000000001" hidden="1" customHeight="1">
      <c r="D787" s="259" t="str">
        <f t="shared" si="15"/>
        <v/>
      </c>
    </row>
    <row r="788" spans="4:4" ht="20.100000000000001" hidden="1" customHeight="1">
      <c r="D788" s="259" t="str">
        <f t="shared" si="15"/>
        <v/>
      </c>
    </row>
    <row r="789" spans="4:4" ht="20.100000000000001" hidden="1" customHeight="1">
      <c r="D789" s="259" t="str">
        <f t="shared" si="15"/>
        <v/>
      </c>
    </row>
    <row r="790" spans="4:4" ht="20.100000000000001" hidden="1" customHeight="1">
      <c r="D790" s="259" t="str">
        <f t="shared" si="15"/>
        <v/>
      </c>
    </row>
    <row r="791" spans="4:4" ht="20.100000000000001" hidden="1" customHeight="1">
      <c r="D791" s="259" t="str">
        <f t="shared" si="15"/>
        <v/>
      </c>
    </row>
    <row r="792" spans="4:4" ht="20.100000000000001" hidden="1" customHeight="1">
      <c r="D792" s="259" t="str">
        <f t="shared" si="15"/>
        <v/>
      </c>
    </row>
    <row r="793" spans="4:4" ht="20.100000000000001" hidden="1" customHeight="1">
      <c r="D793" s="259" t="str">
        <f t="shared" si="15"/>
        <v/>
      </c>
    </row>
    <row r="794" spans="4:4" ht="20.100000000000001" hidden="1" customHeight="1">
      <c r="D794" s="259" t="str">
        <f t="shared" si="15"/>
        <v/>
      </c>
    </row>
    <row r="795" spans="4:4" ht="20.100000000000001" hidden="1" customHeight="1">
      <c r="D795" s="259" t="str">
        <f t="shared" si="15"/>
        <v/>
      </c>
    </row>
    <row r="796" spans="4:4" ht="20.100000000000001" hidden="1" customHeight="1">
      <c r="D796" s="259" t="str">
        <f t="shared" si="15"/>
        <v/>
      </c>
    </row>
    <row r="797" spans="4:4" ht="20.100000000000001" hidden="1" customHeight="1">
      <c r="D797" s="259" t="str">
        <f t="shared" si="15"/>
        <v/>
      </c>
    </row>
    <row r="798" spans="4:4" ht="20.100000000000001" hidden="1" customHeight="1">
      <c r="D798" s="259" t="str">
        <f t="shared" si="15"/>
        <v/>
      </c>
    </row>
    <row r="799" spans="4:4" ht="20.100000000000001" hidden="1" customHeight="1">
      <c r="D799" s="259" t="str">
        <f t="shared" si="15"/>
        <v/>
      </c>
    </row>
    <row r="800" spans="4:4" ht="20.100000000000001" hidden="1" customHeight="1">
      <c r="D800" s="259" t="str">
        <f t="shared" si="15"/>
        <v/>
      </c>
    </row>
    <row r="801" spans="4:4" ht="20.100000000000001" hidden="1" customHeight="1">
      <c r="D801" s="259" t="str">
        <f t="shared" si="15"/>
        <v/>
      </c>
    </row>
    <row r="802" spans="4:4" ht="20.100000000000001" hidden="1" customHeight="1">
      <c r="D802" s="259" t="str">
        <f t="shared" si="15"/>
        <v/>
      </c>
    </row>
    <row r="803" spans="4:4" ht="20.100000000000001" hidden="1" customHeight="1">
      <c r="D803" s="259" t="str">
        <f t="shared" si="15"/>
        <v/>
      </c>
    </row>
    <row r="804" spans="4:4" ht="20.100000000000001" hidden="1" customHeight="1">
      <c r="D804" s="259" t="str">
        <f t="shared" si="15"/>
        <v/>
      </c>
    </row>
    <row r="805" spans="4:4" ht="20.100000000000001" hidden="1" customHeight="1">
      <c r="D805" s="259" t="str">
        <f t="shared" si="15"/>
        <v/>
      </c>
    </row>
    <row r="806" spans="4:4" ht="20.100000000000001" hidden="1" customHeight="1">
      <c r="D806" s="259" t="str">
        <f t="shared" si="15"/>
        <v/>
      </c>
    </row>
    <row r="807" spans="4:4" ht="20.100000000000001" hidden="1" customHeight="1">
      <c r="D807" s="259" t="str">
        <f t="shared" si="15"/>
        <v/>
      </c>
    </row>
    <row r="808" spans="4:4" ht="20.100000000000001" hidden="1" customHeight="1">
      <c r="D808" s="259" t="str">
        <f t="shared" si="15"/>
        <v/>
      </c>
    </row>
    <row r="809" spans="4:4" ht="20.100000000000001" hidden="1" customHeight="1">
      <c r="D809" s="259" t="str">
        <f t="shared" si="15"/>
        <v/>
      </c>
    </row>
    <row r="810" spans="4:4" ht="20.100000000000001" hidden="1" customHeight="1">
      <c r="D810" s="259" t="str">
        <f t="shared" si="15"/>
        <v/>
      </c>
    </row>
    <row r="811" spans="4:4" ht="20.100000000000001" hidden="1" customHeight="1">
      <c r="D811" s="259" t="str">
        <f t="shared" si="15"/>
        <v/>
      </c>
    </row>
    <row r="812" spans="4:4" ht="20.100000000000001" hidden="1" customHeight="1">
      <c r="D812" s="259" t="str">
        <f t="shared" si="15"/>
        <v/>
      </c>
    </row>
    <row r="813" spans="4:4" ht="20.100000000000001" hidden="1" customHeight="1">
      <c r="D813" s="259" t="str">
        <f t="shared" si="15"/>
        <v/>
      </c>
    </row>
    <row r="814" spans="4:4" ht="20.100000000000001" hidden="1" customHeight="1">
      <c r="D814" s="259" t="str">
        <f t="shared" si="15"/>
        <v/>
      </c>
    </row>
    <row r="815" spans="4:4" ht="20.100000000000001" hidden="1" customHeight="1">
      <c r="D815" s="259" t="str">
        <f t="shared" si="15"/>
        <v/>
      </c>
    </row>
    <row r="816" spans="4:4" ht="20.100000000000001" hidden="1" customHeight="1">
      <c r="D816" s="259" t="str">
        <f t="shared" si="15"/>
        <v/>
      </c>
    </row>
    <row r="817" spans="4:4" ht="20.100000000000001" hidden="1" customHeight="1">
      <c r="D817" s="259" t="str">
        <f t="shared" si="15"/>
        <v/>
      </c>
    </row>
    <row r="818" spans="4:4" ht="20.100000000000001" hidden="1" customHeight="1">
      <c r="D818" s="259" t="str">
        <f t="shared" si="15"/>
        <v/>
      </c>
    </row>
    <row r="819" spans="4:4" ht="20.100000000000001" hidden="1" customHeight="1">
      <c r="D819" s="259" t="str">
        <f t="shared" si="15"/>
        <v/>
      </c>
    </row>
    <row r="820" spans="4:4" ht="20.100000000000001" hidden="1" customHeight="1">
      <c r="D820" s="259" t="str">
        <f t="shared" si="15"/>
        <v/>
      </c>
    </row>
    <row r="821" spans="4:4" ht="20.100000000000001" hidden="1" customHeight="1">
      <c r="D821" s="259" t="str">
        <f t="shared" si="15"/>
        <v/>
      </c>
    </row>
    <row r="822" spans="4:4" ht="20.100000000000001" hidden="1" customHeight="1">
      <c r="D822" s="259" t="str">
        <f t="shared" si="15"/>
        <v/>
      </c>
    </row>
    <row r="823" spans="4:4" ht="20.100000000000001" hidden="1" customHeight="1">
      <c r="D823" s="259" t="str">
        <f t="shared" si="15"/>
        <v/>
      </c>
    </row>
    <row r="824" spans="4:4" ht="20.100000000000001" hidden="1" customHeight="1">
      <c r="D824" s="259" t="str">
        <f t="shared" si="15"/>
        <v/>
      </c>
    </row>
    <row r="825" spans="4:4" ht="20.100000000000001" hidden="1" customHeight="1">
      <c r="D825" s="259" t="str">
        <f t="shared" si="15"/>
        <v/>
      </c>
    </row>
    <row r="826" spans="4:4" ht="20.100000000000001" hidden="1" customHeight="1">
      <c r="D826" s="259" t="str">
        <f t="shared" si="15"/>
        <v/>
      </c>
    </row>
    <row r="827" spans="4:4" ht="20.100000000000001" hidden="1" customHeight="1">
      <c r="D827" s="259" t="str">
        <f t="shared" si="15"/>
        <v/>
      </c>
    </row>
    <row r="828" spans="4:4" ht="20.100000000000001" hidden="1" customHeight="1">
      <c r="D828" s="259" t="str">
        <f t="shared" si="15"/>
        <v/>
      </c>
    </row>
    <row r="829" spans="4:4" ht="20.100000000000001" hidden="1" customHeight="1">
      <c r="D829" s="259" t="str">
        <f t="shared" si="15"/>
        <v/>
      </c>
    </row>
    <row r="830" spans="4:4" ht="20.100000000000001" hidden="1" customHeight="1">
      <c r="D830" s="259" t="str">
        <f t="shared" si="15"/>
        <v/>
      </c>
    </row>
    <row r="831" spans="4:4" ht="20.100000000000001" hidden="1" customHeight="1">
      <c r="D831" s="259" t="str">
        <f t="shared" si="15"/>
        <v/>
      </c>
    </row>
    <row r="832" spans="4:4" ht="20.100000000000001" hidden="1" customHeight="1">
      <c r="D832" s="259" t="str">
        <f t="shared" si="15"/>
        <v/>
      </c>
    </row>
    <row r="833" spans="4:4" ht="20.100000000000001" hidden="1" customHeight="1">
      <c r="D833" s="259" t="str">
        <f t="shared" si="15"/>
        <v/>
      </c>
    </row>
    <row r="834" spans="4:4" ht="20.100000000000001" hidden="1" customHeight="1">
      <c r="D834" s="259" t="str">
        <f t="shared" si="15"/>
        <v/>
      </c>
    </row>
    <row r="835" spans="4:4" ht="20.100000000000001" hidden="1" customHeight="1">
      <c r="D835" s="259" t="str">
        <f t="shared" si="15"/>
        <v/>
      </c>
    </row>
    <row r="836" spans="4:4" ht="20.100000000000001" hidden="1" customHeight="1">
      <c r="D836" s="259" t="str">
        <f t="shared" ref="D836:D899" si="16">_xlfn.CONCAT(B836,C836)</f>
        <v/>
      </c>
    </row>
    <row r="837" spans="4:4" ht="20.100000000000001" hidden="1" customHeight="1">
      <c r="D837" s="259" t="str">
        <f t="shared" si="16"/>
        <v/>
      </c>
    </row>
    <row r="838" spans="4:4" ht="20.100000000000001" hidden="1" customHeight="1">
      <c r="D838" s="259" t="str">
        <f t="shared" si="16"/>
        <v/>
      </c>
    </row>
    <row r="839" spans="4:4" ht="20.100000000000001" hidden="1" customHeight="1">
      <c r="D839" s="259" t="str">
        <f t="shared" si="16"/>
        <v/>
      </c>
    </row>
    <row r="840" spans="4:4" ht="20.100000000000001" hidden="1" customHeight="1">
      <c r="D840" s="259" t="str">
        <f t="shared" si="16"/>
        <v/>
      </c>
    </row>
    <row r="841" spans="4:4" ht="20.100000000000001" hidden="1" customHeight="1">
      <c r="D841" s="259" t="str">
        <f t="shared" si="16"/>
        <v/>
      </c>
    </row>
    <row r="842" spans="4:4" ht="20.100000000000001" hidden="1" customHeight="1">
      <c r="D842" s="259" t="str">
        <f t="shared" si="16"/>
        <v/>
      </c>
    </row>
    <row r="843" spans="4:4" ht="20.100000000000001" hidden="1" customHeight="1">
      <c r="D843" s="259" t="str">
        <f t="shared" si="16"/>
        <v/>
      </c>
    </row>
    <row r="844" spans="4:4" ht="20.100000000000001" hidden="1" customHeight="1">
      <c r="D844" s="259" t="str">
        <f t="shared" si="16"/>
        <v/>
      </c>
    </row>
    <row r="845" spans="4:4" ht="20.100000000000001" hidden="1" customHeight="1">
      <c r="D845" s="259" t="str">
        <f t="shared" si="16"/>
        <v/>
      </c>
    </row>
    <row r="846" spans="4:4" ht="20.100000000000001" hidden="1" customHeight="1">
      <c r="D846" s="259" t="str">
        <f t="shared" si="16"/>
        <v/>
      </c>
    </row>
    <row r="847" spans="4:4" ht="20.100000000000001" hidden="1" customHeight="1">
      <c r="D847" s="259" t="str">
        <f t="shared" si="16"/>
        <v/>
      </c>
    </row>
    <row r="848" spans="4:4" ht="20.100000000000001" hidden="1" customHeight="1">
      <c r="D848" s="259" t="str">
        <f t="shared" si="16"/>
        <v/>
      </c>
    </row>
    <row r="849" spans="4:4" ht="20.100000000000001" hidden="1" customHeight="1">
      <c r="D849" s="259" t="str">
        <f t="shared" si="16"/>
        <v/>
      </c>
    </row>
    <row r="850" spans="4:4" ht="20.100000000000001" hidden="1" customHeight="1">
      <c r="D850" s="259" t="str">
        <f t="shared" si="16"/>
        <v/>
      </c>
    </row>
    <row r="851" spans="4:4" ht="20.100000000000001" hidden="1" customHeight="1">
      <c r="D851" s="259" t="str">
        <f t="shared" si="16"/>
        <v/>
      </c>
    </row>
    <row r="852" spans="4:4" ht="20.100000000000001" hidden="1" customHeight="1">
      <c r="D852" s="259" t="str">
        <f t="shared" si="16"/>
        <v/>
      </c>
    </row>
    <row r="853" spans="4:4" ht="20.100000000000001" hidden="1" customHeight="1">
      <c r="D853" s="259" t="str">
        <f t="shared" si="16"/>
        <v/>
      </c>
    </row>
    <row r="854" spans="4:4" ht="20.100000000000001" hidden="1" customHeight="1">
      <c r="D854" s="259" t="str">
        <f t="shared" si="16"/>
        <v/>
      </c>
    </row>
    <row r="855" spans="4:4" ht="20.100000000000001" hidden="1" customHeight="1">
      <c r="D855" s="259" t="str">
        <f t="shared" si="16"/>
        <v/>
      </c>
    </row>
    <row r="856" spans="4:4" ht="20.100000000000001" hidden="1" customHeight="1">
      <c r="D856" s="259" t="str">
        <f t="shared" si="16"/>
        <v/>
      </c>
    </row>
    <row r="857" spans="4:4" ht="20.100000000000001" hidden="1" customHeight="1">
      <c r="D857" s="259" t="str">
        <f t="shared" si="16"/>
        <v/>
      </c>
    </row>
    <row r="858" spans="4:4" ht="20.100000000000001" hidden="1" customHeight="1">
      <c r="D858" s="259" t="str">
        <f t="shared" si="16"/>
        <v/>
      </c>
    </row>
    <row r="859" spans="4:4" ht="20.100000000000001" hidden="1" customHeight="1">
      <c r="D859" s="259" t="str">
        <f t="shared" si="16"/>
        <v/>
      </c>
    </row>
    <row r="860" spans="4:4" ht="20.100000000000001" hidden="1" customHeight="1">
      <c r="D860" s="259" t="str">
        <f t="shared" si="16"/>
        <v/>
      </c>
    </row>
    <row r="861" spans="4:4" ht="20.100000000000001" hidden="1" customHeight="1">
      <c r="D861" s="259" t="str">
        <f t="shared" si="16"/>
        <v/>
      </c>
    </row>
    <row r="862" spans="4:4" ht="20.100000000000001" hidden="1" customHeight="1">
      <c r="D862" s="259" t="str">
        <f t="shared" si="16"/>
        <v/>
      </c>
    </row>
    <row r="863" spans="4:4" ht="20.100000000000001" hidden="1" customHeight="1">
      <c r="D863" s="259" t="str">
        <f t="shared" si="16"/>
        <v/>
      </c>
    </row>
    <row r="864" spans="4:4" ht="20.100000000000001" hidden="1" customHeight="1">
      <c r="D864" s="259" t="str">
        <f t="shared" si="16"/>
        <v/>
      </c>
    </row>
    <row r="865" spans="4:4" ht="20.100000000000001" hidden="1" customHeight="1">
      <c r="D865" s="259" t="str">
        <f t="shared" si="16"/>
        <v/>
      </c>
    </row>
    <row r="866" spans="4:4" ht="20.100000000000001" hidden="1" customHeight="1">
      <c r="D866" s="259" t="str">
        <f t="shared" si="16"/>
        <v/>
      </c>
    </row>
    <row r="867" spans="4:4" ht="20.100000000000001" hidden="1" customHeight="1">
      <c r="D867" s="259" t="str">
        <f t="shared" si="16"/>
        <v/>
      </c>
    </row>
    <row r="868" spans="4:4" ht="20.100000000000001" hidden="1" customHeight="1">
      <c r="D868" s="259" t="str">
        <f t="shared" si="16"/>
        <v/>
      </c>
    </row>
    <row r="869" spans="4:4" ht="20.100000000000001" hidden="1" customHeight="1">
      <c r="D869" s="259" t="str">
        <f t="shared" si="16"/>
        <v/>
      </c>
    </row>
    <row r="870" spans="4:4" ht="20.100000000000001" hidden="1" customHeight="1">
      <c r="D870" s="259" t="str">
        <f t="shared" si="16"/>
        <v/>
      </c>
    </row>
    <row r="871" spans="4:4" ht="20.100000000000001" hidden="1" customHeight="1">
      <c r="D871" s="259" t="str">
        <f t="shared" si="16"/>
        <v/>
      </c>
    </row>
    <row r="872" spans="4:4" ht="20.100000000000001" hidden="1" customHeight="1">
      <c r="D872" s="259" t="str">
        <f t="shared" si="16"/>
        <v/>
      </c>
    </row>
    <row r="873" spans="4:4" ht="20.100000000000001" hidden="1" customHeight="1">
      <c r="D873" s="259" t="str">
        <f t="shared" si="16"/>
        <v/>
      </c>
    </row>
    <row r="874" spans="4:4" ht="20.100000000000001" hidden="1" customHeight="1">
      <c r="D874" s="259" t="str">
        <f t="shared" si="16"/>
        <v/>
      </c>
    </row>
    <row r="875" spans="4:4" ht="20.100000000000001" hidden="1" customHeight="1">
      <c r="D875" s="259" t="str">
        <f t="shared" si="16"/>
        <v/>
      </c>
    </row>
    <row r="876" spans="4:4" ht="20.100000000000001" hidden="1" customHeight="1">
      <c r="D876" s="259" t="str">
        <f t="shared" si="16"/>
        <v/>
      </c>
    </row>
    <row r="877" spans="4:4" ht="20.100000000000001" hidden="1" customHeight="1">
      <c r="D877" s="259" t="str">
        <f t="shared" si="16"/>
        <v/>
      </c>
    </row>
    <row r="878" spans="4:4" ht="20.100000000000001" hidden="1" customHeight="1">
      <c r="D878" s="259" t="str">
        <f t="shared" si="16"/>
        <v/>
      </c>
    </row>
    <row r="879" spans="4:4" ht="20.100000000000001" hidden="1" customHeight="1">
      <c r="D879" s="259" t="str">
        <f t="shared" si="16"/>
        <v/>
      </c>
    </row>
    <row r="880" spans="4:4" ht="20.100000000000001" hidden="1" customHeight="1">
      <c r="D880" s="259" t="str">
        <f t="shared" si="16"/>
        <v/>
      </c>
    </row>
    <row r="881" spans="4:4" ht="20.100000000000001" hidden="1" customHeight="1">
      <c r="D881" s="259" t="str">
        <f t="shared" si="16"/>
        <v/>
      </c>
    </row>
    <row r="882" spans="4:4" ht="20.100000000000001" hidden="1" customHeight="1">
      <c r="D882" s="259" t="str">
        <f t="shared" si="16"/>
        <v/>
      </c>
    </row>
    <row r="883" spans="4:4" ht="20.100000000000001" hidden="1" customHeight="1">
      <c r="D883" s="259" t="str">
        <f t="shared" si="16"/>
        <v/>
      </c>
    </row>
    <row r="884" spans="4:4" ht="20.100000000000001" hidden="1" customHeight="1">
      <c r="D884" s="259" t="str">
        <f t="shared" si="16"/>
        <v/>
      </c>
    </row>
    <row r="885" spans="4:4" ht="20.100000000000001" hidden="1" customHeight="1">
      <c r="D885" s="259" t="str">
        <f t="shared" si="16"/>
        <v/>
      </c>
    </row>
    <row r="886" spans="4:4" ht="20.100000000000001" hidden="1" customHeight="1">
      <c r="D886" s="259" t="str">
        <f t="shared" si="16"/>
        <v/>
      </c>
    </row>
    <row r="887" spans="4:4" ht="20.100000000000001" hidden="1" customHeight="1">
      <c r="D887" s="259" t="str">
        <f t="shared" si="16"/>
        <v/>
      </c>
    </row>
    <row r="888" spans="4:4" ht="20.100000000000001" hidden="1" customHeight="1">
      <c r="D888" s="259" t="str">
        <f t="shared" si="16"/>
        <v/>
      </c>
    </row>
    <row r="889" spans="4:4" ht="20.100000000000001" hidden="1" customHeight="1">
      <c r="D889" s="259" t="str">
        <f t="shared" si="16"/>
        <v/>
      </c>
    </row>
    <row r="890" spans="4:4" ht="20.100000000000001" hidden="1" customHeight="1">
      <c r="D890" s="259" t="str">
        <f t="shared" si="16"/>
        <v/>
      </c>
    </row>
    <row r="891" spans="4:4" ht="20.100000000000001" hidden="1" customHeight="1">
      <c r="D891" s="259" t="str">
        <f t="shared" si="16"/>
        <v/>
      </c>
    </row>
    <row r="892" spans="4:4" ht="20.100000000000001" hidden="1" customHeight="1">
      <c r="D892" s="259" t="str">
        <f t="shared" si="16"/>
        <v/>
      </c>
    </row>
    <row r="893" spans="4:4" ht="20.100000000000001" hidden="1" customHeight="1">
      <c r="D893" s="259" t="str">
        <f t="shared" si="16"/>
        <v/>
      </c>
    </row>
    <row r="894" spans="4:4" ht="20.100000000000001" hidden="1" customHeight="1">
      <c r="D894" s="259" t="str">
        <f t="shared" si="16"/>
        <v/>
      </c>
    </row>
    <row r="895" spans="4:4" ht="20.100000000000001" hidden="1" customHeight="1">
      <c r="D895" s="259" t="str">
        <f t="shared" si="16"/>
        <v/>
      </c>
    </row>
    <row r="896" spans="4:4" ht="20.100000000000001" hidden="1" customHeight="1">
      <c r="D896" s="259" t="str">
        <f t="shared" si="16"/>
        <v/>
      </c>
    </row>
    <row r="897" spans="4:4" ht="20.100000000000001" hidden="1" customHeight="1">
      <c r="D897" s="259" t="str">
        <f t="shared" si="16"/>
        <v/>
      </c>
    </row>
    <row r="898" spans="4:4" ht="20.100000000000001" hidden="1" customHeight="1">
      <c r="D898" s="259" t="str">
        <f t="shared" si="16"/>
        <v/>
      </c>
    </row>
    <row r="899" spans="4:4" ht="20.100000000000001" hidden="1" customHeight="1">
      <c r="D899" s="259" t="str">
        <f t="shared" si="16"/>
        <v/>
      </c>
    </row>
    <row r="900" spans="4:4" ht="20.100000000000001" hidden="1" customHeight="1">
      <c r="D900" s="259" t="str">
        <f t="shared" ref="D900:D963" si="17">_xlfn.CONCAT(B900,C900)</f>
        <v/>
      </c>
    </row>
    <row r="901" spans="4:4" ht="20.100000000000001" hidden="1" customHeight="1">
      <c r="D901" s="259" t="str">
        <f t="shared" si="17"/>
        <v/>
      </c>
    </row>
    <row r="902" spans="4:4" ht="20.100000000000001" hidden="1" customHeight="1">
      <c r="D902" s="259" t="str">
        <f t="shared" si="17"/>
        <v/>
      </c>
    </row>
    <row r="903" spans="4:4" ht="20.100000000000001" hidden="1" customHeight="1">
      <c r="D903" s="259" t="str">
        <f t="shared" si="17"/>
        <v/>
      </c>
    </row>
    <row r="904" spans="4:4" ht="20.100000000000001" hidden="1" customHeight="1">
      <c r="D904" s="259" t="str">
        <f t="shared" si="17"/>
        <v/>
      </c>
    </row>
    <row r="905" spans="4:4" ht="20.100000000000001" hidden="1" customHeight="1">
      <c r="D905" s="259" t="str">
        <f t="shared" si="17"/>
        <v/>
      </c>
    </row>
    <row r="906" spans="4:4" ht="20.100000000000001" hidden="1" customHeight="1">
      <c r="D906" s="259" t="str">
        <f t="shared" si="17"/>
        <v/>
      </c>
    </row>
    <row r="907" spans="4:4" ht="20.100000000000001" hidden="1" customHeight="1">
      <c r="D907" s="259" t="str">
        <f t="shared" si="17"/>
        <v/>
      </c>
    </row>
    <row r="908" spans="4:4" ht="20.100000000000001" hidden="1" customHeight="1">
      <c r="D908" s="259" t="str">
        <f t="shared" si="17"/>
        <v/>
      </c>
    </row>
    <row r="909" spans="4:4" ht="20.100000000000001" hidden="1" customHeight="1">
      <c r="D909" s="259" t="str">
        <f t="shared" si="17"/>
        <v/>
      </c>
    </row>
    <row r="910" spans="4:4" ht="20.100000000000001" hidden="1" customHeight="1">
      <c r="D910" s="259" t="str">
        <f t="shared" si="17"/>
        <v/>
      </c>
    </row>
    <row r="911" spans="4:4" ht="20.100000000000001" hidden="1" customHeight="1">
      <c r="D911" s="259" t="str">
        <f t="shared" si="17"/>
        <v/>
      </c>
    </row>
    <row r="912" spans="4:4" ht="20.100000000000001" hidden="1" customHeight="1">
      <c r="D912" s="259" t="str">
        <f t="shared" si="17"/>
        <v/>
      </c>
    </row>
    <row r="913" spans="4:4" ht="20.100000000000001" hidden="1" customHeight="1">
      <c r="D913" s="259" t="str">
        <f t="shared" si="17"/>
        <v/>
      </c>
    </row>
    <row r="914" spans="4:4" ht="20.100000000000001" hidden="1" customHeight="1">
      <c r="D914" s="259" t="str">
        <f t="shared" si="17"/>
        <v/>
      </c>
    </row>
    <row r="915" spans="4:4" ht="20.100000000000001" hidden="1" customHeight="1">
      <c r="D915" s="259" t="str">
        <f t="shared" si="17"/>
        <v/>
      </c>
    </row>
    <row r="916" spans="4:4" ht="20.100000000000001" hidden="1" customHeight="1">
      <c r="D916" s="259" t="str">
        <f t="shared" si="17"/>
        <v/>
      </c>
    </row>
    <row r="917" spans="4:4" ht="20.100000000000001" hidden="1" customHeight="1">
      <c r="D917" s="259" t="str">
        <f t="shared" si="17"/>
        <v/>
      </c>
    </row>
    <row r="918" spans="4:4" ht="20.100000000000001" hidden="1" customHeight="1">
      <c r="D918" s="259" t="str">
        <f t="shared" si="17"/>
        <v/>
      </c>
    </row>
    <row r="919" spans="4:4" ht="20.100000000000001" hidden="1" customHeight="1">
      <c r="D919" s="259" t="str">
        <f t="shared" si="17"/>
        <v/>
      </c>
    </row>
    <row r="920" spans="4:4" ht="20.100000000000001" hidden="1" customHeight="1">
      <c r="D920" s="259" t="str">
        <f t="shared" si="17"/>
        <v/>
      </c>
    </row>
    <row r="921" spans="4:4" ht="20.100000000000001" hidden="1" customHeight="1">
      <c r="D921" s="259" t="str">
        <f t="shared" si="17"/>
        <v/>
      </c>
    </row>
    <row r="922" spans="4:4" ht="20.100000000000001" hidden="1" customHeight="1">
      <c r="D922" s="259" t="str">
        <f t="shared" si="17"/>
        <v/>
      </c>
    </row>
    <row r="923" spans="4:4" ht="20.100000000000001" hidden="1" customHeight="1">
      <c r="D923" s="259" t="str">
        <f t="shared" si="17"/>
        <v/>
      </c>
    </row>
    <row r="924" spans="4:4" ht="20.100000000000001" hidden="1" customHeight="1">
      <c r="D924" s="259" t="str">
        <f t="shared" si="17"/>
        <v/>
      </c>
    </row>
    <row r="925" spans="4:4" ht="20.100000000000001" hidden="1" customHeight="1">
      <c r="D925" s="259" t="str">
        <f t="shared" si="17"/>
        <v/>
      </c>
    </row>
    <row r="926" spans="4:4" ht="20.100000000000001" hidden="1" customHeight="1">
      <c r="D926" s="259" t="str">
        <f t="shared" si="17"/>
        <v/>
      </c>
    </row>
    <row r="927" spans="4:4" ht="20.100000000000001" hidden="1" customHeight="1">
      <c r="D927" s="259" t="str">
        <f t="shared" si="17"/>
        <v/>
      </c>
    </row>
    <row r="928" spans="4:4" ht="20.100000000000001" hidden="1" customHeight="1">
      <c r="D928" s="259" t="str">
        <f t="shared" si="17"/>
        <v/>
      </c>
    </row>
    <row r="929" spans="4:4" ht="20.100000000000001" hidden="1" customHeight="1">
      <c r="D929" s="259" t="str">
        <f t="shared" si="17"/>
        <v/>
      </c>
    </row>
    <row r="930" spans="4:4" ht="20.100000000000001" hidden="1" customHeight="1">
      <c r="D930" s="259" t="str">
        <f t="shared" si="17"/>
        <v/>
      </c>
    </row>
    <row r="931" spans="4:4" ht="20.100000000000001" hidden="1" customHeight="1">
      <c r="D931" s="259" t="str">
        <f t="shared" si="17"/>
        <v/>
      </c>
    </row>
    <row r="932" spans="4:4" ht="20.100000000000001" hidden="1" customHeight="1">
      <c r="D932" s="259" t="str">
        <f t="shared" si="17"/>
        <v/>
      </c>
    </row>
    <row r="933" spans="4:4" ht="20.100000000000001" hidden="1" customHeight="1">
      <c r="D933" s="259" t="str">
        <f t="shared" si="17"/>
        <v/>
      </c>
    </row>
    <row r="934" spans="4:4" ht="20.100000000000001" hidden="1" customHeight="1">
      <c r="D934" s="259" t="str">
        <f t="shared" si="17"/>
        <v/>
      </c>
    </row>
    <row r="935" spans="4:4" ht="20.100000000000001" hidden="1" customHeight="1">
      <c r="D935" s="259" t="str">
        <f t="shared" si="17"/>
        <v/>
      </c>
    </row>
    <row r="936" spans="4:4" ht="20.100000000000001" hidden="1" customHeight="1">
      <c r="D936" s="259" t="str">
        <f t="shared" si="17"/>
        <v/>
      </c>
    </row>
    <row r="937" spans="4:4" ht="20.100000000000001" hidden="1" customHeight="1">
      <c r="D937" s="259" t="str">
        <f t="shared" si="17"/>
        <v/>
      </c>
    </row>
    <row r="938" spans="4:4" ht="20.100000000000001" hidden="1" customHeight="1">
      <c r="D938" s="259" t="str">
        <f t="shared" si="17"/>
        <v/>
      </c>
    </row>
    <row r="939" spans="4:4" ht="20.100000000000001" hidden="1" customHeight="1">
      <c r="D939" s="259" t="str">
        <f t="shared" si="17"/>
        <v/>
      </c>
    </row>
    <row r="940" spans="4:4" ht="20.100000000000001" hidden="1" customHeight="1">
      <c r="D940" s="259" t="str">
        <f t="shared" si="17"/>
        <v/>
      </c>
    </row>
    <row r="941" spans="4:4" ht="20.100000000000001" hidden="1" customHeight="1">
      <c r="D941" s="259" t="str">
        <f t="shared" si="17"/>
        <v/>
      </c>
    </row>
    <row r="942" spans="4:4" ht="20.100000000000001" hidden="1" customHeight="1">
      <c r="D942" s="259" t="str">
        <f t="shared" si="17"/>
        <v/>
      </c>
    </row>
    <row r="943" spans="4:4" ht="20.100000000000001" hidden="1" customHeight="1">
      <c r="D943" s="259" t="str">
        <f t="shared" si="17"/>
        <v/>
      </c>
    </row>
    <row r="944" spans="4:4" ht="20.100000000000001" hidden="1" customHeight="1">
      <c r="D944" s="259" t="str">
        <f t="shared" si="17"/>
        <v/>
      </c>
    </row>
    <row r="945" spans="4:4" ht="20.100000000000001" hidden="1" customHeight="1">
      <c r="D945" s="259" t="str">
        <f t="shared" si="17"/>
        <v/>
      </c>
    </row>
    <row r="946" spans="4:4" ht="20.100000000000001" hidden="1" customHeight="1">
      <c r="D946" s="259" t="str">
        <f t="shared" si="17"/>
        <v/>
      </c>
    </row>
    <row r="947" spans="4:4" ht="20.100000000000001" hidden="1" customHeight="1">
      <c r="D947" s="259" t="str">
        <f t="shared" si="17"/>
        <v/>
      </c>
    </row>
    <row r="948" spans="4:4" ht="20.100000000000001" hidden="1" customHeight="1">
      <c r="D948" s="259" t="str">
        <f t="shared" si="17"/>
        <v/>
      </c>
    </row>
    <row r="949" spans="4:4" ht="20.100000000000001" hidden="1" customHeight="1">
      <c r="D949" s="259" t="str">
        <f t="shared" si="17"/>
        <v/>
      </c>
    </row>
    <row r="950" spans="4:4" ht="20.100000000000001" hidden="1" customHeight="1">
      <c r="D950" s="259" t="str">
        <f t="shared" si="17"/>
        <v/>
      </c>
    </row>
    <row r="951" spans="4:4" ht="20.100000000000001" hidden="1" customHeight="1">
      <c r="D951" s="259" t="str">
        <f t="shared" si="17"/>
        <v/>
      </c>
    </row>
    <row r="952" spans="4:4" ht="20.100000000000001" hidden="1" customHeight="1">
      <c r="D952" s="259" t="str">
        <f t="shared" si="17"/>
        <v/>
      </c>
    </row>
    <row r="953" spans="4:4" ht="20.100000000000001" hidden="1" customHeight="1">
      <c r="D953" s="259" t="str">
        <f t="shared" si="17"/>
        <v/>
      </c>
    </row>
    <row r="954" spans="4:4" ht="20.100000000000001" hidden="1" customHeight="1">
      <c r="D954" s="259" t="str">
        <f t="shared" si="17"/>
        <v/>
      </c>
    </row>
    <row r="955" spans="4:4" ht="20.100000000000001" hidden="1" customHeight="1">
      <c r="D955" s="259" t="str">
        <f t="shared" si="17"/>
        <v/>
      </c>
    </row>
    <row r="956" spans="4:4" ht="20.100000000000001" hidden="1" customHeight="1">
      <c r="D956" s="259" t="str">
        <f t="shared" si="17"/>
        <v/>
      </c>
    </row>
    <row r="957" spans="4:4" ht="20.100000000000001" hidden="1" customHeight="1">
      <c r="D957" s="259" t="str">
        <f t="shared" si="17"/>
        <v/>
      </c>
    </row>
    <row r="958" spans="4:4" ht="20.100000000000001" hidden="1" customHeight="1">
      <c r="D958" s="259" t="str">
        <f t="shared" si="17"/>
        <v/>
      </c>
    </row>
    <row r="959" spans="4:4" ht="20.100000000000001" hidden="1" customHeight="1">
      <c r="D959" s="259" t="str">
        <f t="shared" si="17"/>
        <v/>
      </c>
    </row>
    <row r="960" spans="4:4" ht="20.100000000000001" hidden="1" customHeight="1">
      <c r="D960" s="259" t="str">
        <f t="shared" si="17"/>
        <v/>
      </c>
    </row>
    <row r="961" spans="4:4" ht="20.100000000000001" hidden="1" customHeight="1">
      <c r="D961" s="259" t="str">
        <f t="shared" si="17"/>
        <v/>
      </c>
    </row>
    <row r="962" spans="4:4" ht="20.100000000000001" hidden="1" customHeight="1">
      <c r="D962" s="259" t="str">
        <f t="shared" si="17"/>
        <v/>
      </c>
    </row>
    <row r="963" spans="4:4" ht="20.100000000000001" hidden="1" customHeight="1">
      <c r="D963" s="259" t="str">
        <f t="shared" si="17"/>
        <v/>
      </c>
    </row>
    <row r="964" spans="4:4" ht="20.100000000000001" hidden="1" customHeight="1">
      <c r="D964" s="259" t="str">
        <f t="shared" ref="D964:D1000" si="18">_xlfn.CONCAT(B964,C964)</f>
        <v/>
      </c>
    </row>
    <row r="965" spans="4:4" ht="20.100000000000001" hidden="1" customHeight="1">
      <c r="D965" s="259" t="str">
        <f t="shared" si="18"/>
        <v/>
      </c>
    </row>
    <row r="966" spans="4:4" ht="20.100000000000001" hidden="1" customHeight="1">
      <c r="D966" s="259" t="str">
        <f t="shared" si="18"/>
        <v/>
      </c>
    </row>
    <row r="967" spans="4:4" ht="20.100000000000001" hidden="1" customHeight="1">
      <c r="D967" s="259" t="str">
        <f t="shared" si="18"/>
        <v/>
      </c>
    </row>
    <row r="968" spans="4:4" ht="20.100000000000001" hidden="1" customHeight="1">
      <c r="D968" s="259" t="str">
        <f t="shared" si="18"/>
        <v/>
      </c>
    </row>
    <row r="969" spans="4:4" ht="20.100000000000001" hidden="1" customHeight="1">
      <c r="D969" s="259" t="str">
        <f t="shared" si="18"/>
        <v/>
      </c>
    </row>
    <row r="970" spans="4:4" ht="20.100000000000001" hidden="1" customHeight="1">
      <c r="D970" s="259" t="str">
        <f t="shared" si="18"/>
        <v/>
      </c>
    </row>
    <row r="971" spans="4:4" ht="20.100000000000001" hidden="1" customHeight="1">
      <c r="D971" s="259" t="str">
        <f t="shared" si="18"/>
        <v/>
      </c>
    </row>
    <row r="972" spans="4:4" ht="20.100000000000001" hidden="1" customHeight="1">
      <c r="D972" s="259" t="str">
        <f t="shared" si="18"/>
        <v/>
      </c>
    </row>
    <row r="973" spans="4:4" ht="20.100000000000001" hidden="1" customHeight="1">
      <c r="D973" s="259" t="str">
        <f t="shared" si="18"/>
        <v/>
      </c>
    </row>
    <row r="974" spans="4:4" ht="20.100000000000001" hidden="1" customHeight="1">
      <c r="D974" s="259" t="str">
        <f t="shared" si="18"/>
        <v/>
      </c>
    </row>
    <row r="975" spans="4:4" ht="20.100000000000001" hidden="1" customHeight="1">
      <c r="D975" s="259" t="str">
        <f t="shared" si="18"/>
        <v/>
      </c>
    </row>
    <row r="976" spans="4:4" ht="20.100000000000001" hidden="1" customHeight="1">
      <c r="D976" s="259" t="str">
        <f t="shared" si="18"/>
        <v/>
      </c>
    </row>
    <row r="977" spans="4:4" ht="20.100000000000001" hidden="1" customHeight="1">
      <c r="D977" s="259" t="str">
        <f t="shared" si="18"/>
        <v/>
      </c>
    </row>
    <row r="978" spans="4:4" ht="20.100000000000001" hidden="1" customHeight="1">
      <c r="D978" s="259" t="str">
        <f t="shared" si="18"/>
        <v/>
      </c>
    </row>
    <row r="979" spans="4:4" ht="20.100000000000001" hidden="1" customHeight="1">
      <c r="D979" s="259" t="str">
        <f t="shared" si="18"/>
        <v/>
      </c>
    </row>
    <row r="980" spans="4:4" ht="20.100000000000001" hidden="1" customHeight="1">
      <c r="D980" s="259" t="str">
        <f t="shared" si="18"/>
        <v/>
      </c>
    </row>
    <row r="981" spans="4:4" ht="20.100000000000001" hidden="1" customHeight="1">
      <c r="D981" s="259" t="str">
        <f t="shared" si="18"/>
        <v/>
      </c>
    </row>
    <row r="982" spans="4:4" ht="20.100000000000001" hidden="1" customHeight="1">
      <c r="D982" s="259" t="str">
        <f t="shared" si="18"/>
        <v/>
      </c>
    </row>
    <row r="983" spans="4:4" ht="20.100000000000001" hidden="1" customHeight="1">
      <c r="D983" s="259" t="str">
        <f t="shared" si="18"/>
        <v/>
      </c>
    </row>
    <row r="984" spans="4:4" ht="20.100000000000001" hidden="1" customHeight="1">
      <c r="D984" s="259" t="str">
        <f t="shared" si="18"/>
        <v/>
      </c>
    </row>
    <row r="985" spans="4:4" ht="20.100000000000001" hidden="1" customHeight="1">
      <c r="D985" s="259" t="str">
        <f t="shared" si="18"/>
        <v/>
      </c>
    </row>
    <row r="986" spans="4:4" ht="20.100000000000001" hidden="1" customHeight="1">
      <c r="D986" s="259" t="str">
        <f t="shared" si="18"/>
        <v/>
      </c>
    </row>
    <row r="987" spans="4:4" ht="20.100000000000001" hidden="1" customHeight="1">
      <c r="D987" s="259" t="str">
        <f t="shared" si="18"/>
        <v/>
      </c>
    </row>
    <row r="988" spans="4:4" ht="20.100000000000001" hidden="1" customHeight="1">
      <c r="D988" s="259" t="str">
        <f t="shared" si="18"/>
        <v/>
      </c>
    </row>
    <row r="989" spans="4:4" ht="20.100000000000001" hidden="1" customHeight="1">
      <c r="D989" s="259" t="str">
        <f t="shared" si="18"/>
        <v/>
      </c>
    </row>
    <row r="990" spans="4:4" ht="20.100000000000001" hidden="1" customHeight="1">
      <c r="D990" s="259" t="str">
        <f t="shared" si="18"/>
        <v/>
      </c>
    </row>
    <row r="991" spans="4:4" ht="20.100000000000001" hidden="1" customHeight="1">
      <c r="D991" s="259" t="str">
        <f t="shared" si="18"/>
        <v/>
      </c>
    </row>
    <row r="992" spans="4:4" ht="20.100000000000001" hidden="1" customHeight="1">
      <c r="D992" s="259" t="str">
        <f t="shared" si="18"/>
        <v/>
      </c>
    </row>
    <row r="993" spans="1:15" ht="20.100000000000001" hidden="1" customHeight="1">
      <c r="D993" s="259" t="str">
        <f t="shared" si="18"/>
        <v/>
      </c>
    </row>
    <row r="994" spans="1:15" ht="20.100000000000001" hidden="1" customHeight="1">
      <c r="D994" s="259" t="str">
        <f t="shared" si="18"/>
        <v/>
      </c>
    </row>
    <row r="995" spans="1:15" ht="20.100000000000001" hidden="1" customHeight="1">
      <c r="D995" s="259" t="str">
        <f t="shared" si="18"/>
        <v/>
      </c>
    </row>
    <row r="996" spans="1:15" ht="20.100000000000001" hidden="1" customHeight="1">
      <c r="D996" s="259" t="str">
        <f t="shared" si="18"/>
        <v/>
      </c>
    </row>
    <row r="997" spans="1:15" ht="20.100000000000001" hidden="1" customHeight="1">
      <c r="D997" s="259" t="str">
        <f t="shared" si="18"/>
        <v/>
      </c>
    </row>
    <row r="998" spans="1:15" ht="20.100000000000001" hidden="1" customHeight="1">
      <c r="D998" s="259" t="str">
        <f t="shared" si="18"/>
        <v/>
      </c>
    </row>
    <row r="999" spans="1:15" ht="20.100000000000001" hidden="1" customHeight="1">
      <c r="D999" s="259" t="str">
        <f t="shared" si="18"/>
        <v/>
      </c>
    </row>
    <row r="1000" spans="1:15" ht="20.100000000000001" hidden="1" customHeight="1">
      <c r="D1000" s="259" t="str">
        <f t="shared" si="18"/>
        <v/>
      </c>
    </row>
    <row r="1001" spans="1:15" ht="20.100000000000001" customHeight="1">
      <c r="A1001" s="100">
        <v>150</v>
      </c>
      <c r="B1001" s="252" t="s">
        <v>2017</v>
      </c>
      <c r="C1001" s="248" t="s">
        <v>2551</v>
      </c>
      <c r="E1001" s="249">
        <v>46096</v>
      </c>
      <c r="H1001" s="102" t="s">
        <v>2728</v>
      </c>
      <c r="I1001" s="103">
        <v>45683</v>
      </c>
      <c r="J1001" s="103">
        <v>45772</v>
      </c>
      <c r="K1001" s="340">
        <v>1700000</v>
      </c>
      <c r="L1001" s="340">
        <v>1700000</v>
      </c>
      <c r="M1001" s="340">
        <v>100000</v>
      </c>
      <c r="N1001" s="340">
        <v>200000</v>
      </c>
      <c r="O1001" s="340">
        <v>200000</v>
      </c>
    </row>
  </sheetData>
  <autoFilter ref="A3:P1000" xr:uid="{AB79583A-DC77-433D-B007-14E955ACDD6F}">
    <filterColumn colId="1">
      <filters>
        <filter val="옥당빌라"/>
      </filters>
    </filterColumn>
    <sortState xmlns:xlrd2="http://schemas.microsoft.com/office/spreadsheetml/2017/richdata2" ref="A4:P1000">
      <sortCondition ref="A3:A35"/>
    </sortState>
  </autoFilter>
  <phoneticPr fontId="2" type="noConversion"/>
  <conditionalFormatting sqref="B122:C122">
    <cfRule type="expression" dxfId="6" priority="1">
      <formula>$B122=$B123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2D74-C480-463F-8601-617261162682}">
  <sheetPr>
    <tabColor theme="7" tint="0.59999389629810485"/>
  </sheetPr>
  <dimension ref="A1:AE1102"/>
  <sheetViews>
    <sheetView workbookViewId="0">
      <selection activeCell="R24" sqref="R24"/>
    </sheetView>
  </sheetViews>
  <sheetFormatPr defaultColWidth="10" defaultRowHeight="16.5"/>
  <cols>
    <col min="1" max="1" width="1.625" style="116" customWidth="1"/>
    <col min="2" max="3" width="6.375" style="177" customWidth="1"/>
    <col min="4" max="4" width="9.125" style="177" customWidth="1"/>
    <col min="5" max="6" width="6.375" style="177" customWidth="1"/>
    <col min="7" max="7" width="9.125" style="177" customWidth="1"/>
    <col min="8" max="9" width="6.375" style="177" customWidth="1"/>
    <col min="10" max="10" width="9.125" style="177" customWidth="1"/>
    <col min="11" max="12" width="6.375" style="177" customWidth="1"/>
    <col min="13" max="13" width="9.125" style="177" customWidth="1"/>
    <col min="14" max="14" width="1.625" style="177" customWidth="1"/>
    <col min="15" max="15" width="9.625" style="115" customWidth="1"/>
    <col min="16" max="16" width="26" style="116" customWidth="1"/>
    <col min="17" max="17" width="23.625" style="117" customWidth="1"/>
    <col min="18" max="18" width="18" style="116" bestFit="1" customWidth="1"/>
    <col min="19" max="19" width="10" style="116"/>
    <col min="20" max="20" width="26" style="116" customWidth="1"/>
    <col min="21" max="21" width="23.625" style="117" customWidth="1"/>
    <col min="22" max="22" width="10" style="116"/>
    <col min="23" max="24" width="10.125" style="116" bestFit="1" customWidth="1"/>
    <col min="25" max="25" width="10.75" style="116" bestFit="1" customWidth="1"/>
    <col min="26" max="28" width="10.125" style="116" bestFit="1" customWidth="1"/>
    <col min="29" max="29" width="10.5" style="116" bestFit="1" customWidth="1"/>
    <col min="30" max="16384" width="10" style="116"/>
  </cols>
  <sheetData>
    <row r="1" spans="1:31" ht="7.5" customHeight="1">
      <c r="A1" s="175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spans="1:31" ht="24.95" customHeight="1">
      <c r="A2" s="175"/>
      <c r="B2" s="118"/>
      <c r="C2" s="119"/>
      <c r="D2" s="525" t="s">
        <v>2032</v>
      </c>
      <c r="E2" s="525"/>
      <c r="F2" s="525"/>
      <c r="G2" s="526">
        <v>401</v>
      </c>
      <c r="H2" s="526"/>
      <c r="I2" s="527" t="s">
        <v>2729</v>
      </c>
      <c r="J2" s="528"/>
      <c r="K2" s="515" t="str">
        <f>IF(D12&gt;=Q19,"만기퇴실","만기전퇴실")</f>
        <v>만기퇴실</v>
      </c>
      <c r="L2" s="515"/>
      <c r="M2" s="515"/>
      <c r="N2" s="171"/>
      <c r="P2" s="511" t="s">
        <v>2730</v>
      </c>
      <c r="Q2" s="512"/>
      <c r="R2" s="513"/>
      <c r="T2" s="448" cm="1">
        <f t="array" ref="T2">_xlfn.XLOOKUP($D$2&amp;$G$2,■입주정보!$B:$B&amp;■입주정보!$C:$C,■입주정보!F:F,"Error")</f>
        <v>46093</v>
      </c>
      <c r="U2" s="448"/>
      <c r="AE2" s="116" t="s">
        <v>2731</v>
      </c>
    </row>
    <row r="3" spans="1:31" ht="16.5" customHeight="1">
      <c r="A3" s="175"/>
      <c r="B3" s="514" t="s">
        <v>2732</v>
      </c>
      <c r="C3" s="514"/>
      <c r="D3" s="514"/>
      <c r="E3" s="156"/>
      <c r="F3" s="156"/>
      <c r="G3" s="156"/>
      <c r="H3" s="156"/>
      <c r="I3" s="156"/>
      <c r="J3" s="156"/>
      <c r="K3" s="156"/>
      <c r="L3" s="156"/>
      <c r="M3" s="121"/>
      <c r="N3" s="163"/>
      <c r="P3" s="122" t="s">
        <v>2733</v>
      </c>
      <c r="Q3" s="122" t="s">
        <v>31</v>
      </c>
      <c r="R3" s="122" t="s">
        <v>2734</v>
      </c>
      <c r="T3" s="458" t="s">
        <v>2735</v>
      </c>
      <c r="U3" s="459"/>
    </row>
    <row r="4" spans="1:31" ht="16.5" customHeight="1">
      <c r="A4" s="175"/>
      <c r="B4" s="493" t="s">
        <v>2</v>
      </c>
      <c r="C4" s="499"/>
      <c r="D4" s="494"/>
      <c r="E4" s="520" t="str">
        <f>_xlfn.XLOOKUP($D$2&amp;$G$2,■입주정보!$E4:$E1000,■입주정보!$D4:$D1000,"값 없음")</f>
        <v>윤정호</v>
      </c>
      <c r="F4" s="521"/>
      <c r="G4" s="522"/>
      <c r="H4" s="493" t="s">
        <v>11</v>
      </c>
      <c r="I4" s="499"/>
      <c r="J4" s="494"/>
      <c r="K4" s="520" t="str">
        <f>_xlfn.XLOOKUP($D$2&amp;$G$2,■입주정보!$E4:$E1000,■입주정보!$O4:$O1000,"값 없음")</f>
        <v>010-8211-5861</v>
      </c>
      <c r="L4" s="521"/>
      <c r="M4" s="522"/>
      <c r="N4" s="157"/>
      <c r="P4" s="123" t="s">
        <v>2529</v>
      </c>
      <c r="Q4" s="124">
        <v>46103</v>
      </c>
      <c r="R4" s="125" t="s">
        <v>2736</v>
      </c>
      <c r="T4" s="460"/>
      <c r="U4" s="461"/>
    </row>
    <row r="5" spans="1:31" ht="16.5" customHeight="1">
      <c r="A5" s="175"/>
      <c r="B5" s="403" t="s">
        <v>2737</v>
      </c>
      <c r="C5" s="523" t="str">
        <f>IF(Q6="","",Q6)</f>
        <v/>
      </c>
      <c r="D5" s="524"/>
      <c r="E5" s="403" t="s">
        <v>2738</v>
      </c>
      <c r="F5" s="520" t="str">
        <f>IF(Q7="","",Q7)</f>
        <v/>
      </c>
      <c r="G5" s="522"/>
      <c r="H5" s="493" t="s">
        <v>2739</v>
      </c>
      <c r="I5" s="494"/>
      <c r="J5" s="520" t="str">
        <f>IF(Q8="","",Q8)</f>
        <v/>
      </c>
      <c r="K5" s="521"/>
      <c r="L5" s="521"/>
      <c r="M5" s="522"/>
      <c r="N5" s="157"/>
      <c r="P5" s="123" t="s">
        <v>2740</v>
      </c>
      <c r="Q5" s="126">
        <f>Q4</f>
        <v>46103</v>
      </c>
      <c r="R5" s="125" t="s">
        <v>2741</v>
      </c>
      <c r="T5" s="462"/>
      <c r="U5" s="463"/>
    </row>
    <row r="6" spans="1:31" ht="16.5" customHeight="1">
      <c r="A6" s="175"/>
      <c r="B6" s="492" t="s">
        <v>2742</v>
      </c>
      <c r="C6" s="492"/>
      <c r="D6" s="492"/>
      <c r="E6" s="120"/>
      <c r="F6" s="120"/>
      <c r="G6" s="120"/>
      <c r="H6" s="120"/>
      <c r="I6" s="120"/>
      <c r="J6" s="120"/>
      <c r="K6" s="120"/>
      <c r="L6" s="120"/>
      <c r="M6" s="120"/>
      <c r="N6" s="120"/>
      <c r="P6" s="123" t="s">
        <v>2737</v>
      </c>
      <c r="Q6" s="127"/>
      <c r="R6" s="128"/>
      <c r="T6" s="462"/>
      <c r="U6" s="463"/>
    </row>
    <row r="7" spans="1:31" ht="16.5" customHeight="1">
      <c r="A7" s="175"/>
      <c r="B7" s="403" t="s">
        <v>8</v>
      </c>
      <c r="C7" s="529">
        <f>$Q$18</f>
        <v>45912</v>
      </c>
      <c r="D7" s="530"/>
      <c r="E7" s="129" t="s">
        <v>2529</v>
      </c>
      <c r="F7" s="529">
        <f>$Q$4</f>
        <v>46103</v>
      </c>
      <c r="G7" s="530"/>
      <c r="H7" s="493" t="s">
        <v>2743</v>
      </c>
      <c r="I7" s="494"/>
      <c r="J7" s="130">
        <f>DATEDIF($C$7,$F$7+1,"m")</f>
        <v>6</v>
      </c>
      <c r="K7" s="403" t="s">
        <v>2744</v>
      </c>
      <c r="L7" s="131">
        <f>$F$7-EDATE($C$7,$J$7)+1</f>
        <v>11</v>
      </c>
      <c r="M7" s="403" t="s">
        <v>2745</v>
      </c>
      <c r="N7" s="157"/>
      <c r="P7" s="123" t="s">
        <v>2738</v>
      </c>
      <c r="Q7" s="132"/>
      <c r="R7" s="128"/>
      <c r="T7" s="462"/>
      <c r="U7" s="463"/>
    </row>
    <row r="8" spans="1:31" ht="16.5" customHeight="1">
      <c r="A8" s="175"/>
      <c r="B8" s="133" t="s">
        <v>2746</v>
      </c>
      <c r="C8" s="133"/>
      <c r="D8" s="133"/>
      <c r="E8" s="120"/>
      <c r="F8" s="120"/>
      <c r="G8" s="120"/>
      <c r="H8" s="120"/>
      <c r="I8" s="120"/>
      <c r="J8" s="120"/>
      <c r="K8" s="120"/>
      <c r="L8" s="120"/>
      <c r="M8" s="120"/>
      <c r="N8" s="120"/>
      <c r="P8" s="123" t="s">
        <v>2739</v>
      </c>
      <c r="Q8" s="132"/>
      <c r="R8" s="128"/>
      <c r="T8" s="462"/>
      <c r="U8" s="463"/>
    </row>
    <row r="9" spans="1:31" ht="16.5" customHeight="1">
      <c r="A9" s="175"/>
      <c r="B9" s="403" t="s">
        <v>12</v>
      </c>
      <c r="C9" s="531" cm="1">
        <f t="array" ref="C9">_xlfn.XLOOKUP($D$2&amp;$G$2,■입주정보!$B4:$B1000&amp;■입주정보!$C4:$C1000,■입주정보!$P4:$P1000,"값 없음")</f>
        <v>1850000</v>
      </c>
      <c r="D9" s="532"/>
      <c r="E9" s="403" t="s">
        <v>1973</v>
      </c>
      <c r="F9" s="134" t="str" cm="1">
        <f t="array" ref="F9">_xlfn.LET(_xlpm.result,_xlfn.XLOOKUP($D$2&amp;$G$2,■입주정보!$B:$B&amp;■입주정보!$C:$C,■입주정보!$R:$R,"선불"),IF(_xlpm.result="","선불",_xlpm.result))</f>
        <v>선불</v>
      </c>
      <c r="G9" s="162" cm="1">
        <f t="array" ref="G9">_xlfn.XLOOKUP($D$2&amp;$G$2,■입주정보!$B4:$B1000&amp;■입주정보!$C4:$C1000,■입주정보!$Q4:$Q1000,"값 없음")</f>
        <v>1850000</v>
      </c>
      <c r="H9" s="403" t="s">
        <v>14</v>
      </c>
      <c r="I9" s="134" t="str" cm="1">
        <f t="array" ref="I9">_xlfn.LET(_xlpm.result,_xlfn.XLOOKUP($D$2&amp;$G$2,■입주정보!$B4:$B1000&amp;■입주정보!$C4:$C1000,■입주정보!$T4:$T1000,"선불"),IF(_xlpm.result="","선불",_xlpm.result))</f>
        <v>선불</v>
      </c>
      <c r="J9" s="162" cm="1">
        <f t="array" ref="J9">_xlfn.XLOOKUP($D$2&amp;$G$2,■입주정보!$B:$B&amp;■입주정보!$C:$C,■입주정보!$S:$S,"값 없음")</f>
        <v>120000</v>
      </c>
      <c r="K9" s="493" t="s">
        <v>2747</v>
      </c>
      <c r="L9" s="494"/>
      <c r="M9" s="135" cm="1">
        <f t="array" ref="M9">_xlfn.XLOOKUP($D$2&amp;$G$2,■입주정보!$B4:$B1000&amp;■입주정보!$C4:$C1000,■입주정보!$AB4:$AB1000,"값 없음")</f>
        <v>200000</v>
      </c>
      <c r="N9" s="164"/>
      <c r="P9" s="136"/>
      <c r="Q9" s="137"/>
      <c r="R9" s="138"/>
      <c r="T9" s="462"/>
      <c r="U9" s="463"/>
    </row>
    <row r="10" spans="1:31" ht="16.5" customHeight="1">
      <c r="A10" s="175"/>
      <c r="B10" s="403" t="s">
        <v>15</v>
      </c>
      <c r="C10" s="134" t="str" cm="1">
        <f t="array" ref="C10">_xlfn.LET(_xlpm.result,_xlfn.XLOOKUP($D$2&amp;$G$2,■입주정보!$B4:$B1000&amp;■입주정보!$C4:$C1000,■입주정보!$V4:$V1000,"선불"),IF(_xlpm.result="","선불",_xlpm.result))</f>
        <v>선불</v>
      </c>
      <c r="D10" s="162" cm="1">
        <f t="array" ref="D10">_xlfn.XLOOKUP($D$2&amp;$G$2,■입주정보!$B4:$B1000&amp;■입주정보!$C4:$C1000,■입주정보!$U4:$U1000,"값 없음")</f>
        <v>30000</v>
      </c>
      <c r="E10" s="139" t="s">
        <v>2748</v>
      </c>
      <c r="F10" s="134" t="str" cm="1">
        <f t="array" ref="F10">_xlfn.LET(_xlpm.result,_xlfn.XLOOKUP($D$2&amp;$G$2,■입주정보!$B4:$B1000&amp;■입주정보!$C4:$C1000,■입주정보!$X4:$X1000,"선불"),IF(_xlpm.result="","선불",_xlpm.result))</f>
        <v>선불</v>
      </c>
      <c r="G10" s="162" cm="1">
        <f t="array" ref="G10">_xlfn.XLOOKUP($D$2&amp;$G$2,■입주정보!$B4:$B1000&amp;■입주정보!$C4:$C1000,■입주정보!$W4:$W1000,"값 없음")</f>
        <v>25000</v>
      </c>
      <c r="H10" s="493" t="s">
        <v>2749</v>
      </c>
      <c r="I10" s="499"/>
      <c r="J10" s="494"/>
      <c r="K10" s="454" cm="1">
        <f t="array" ref="K10">_xlfn.XLOOKUP($D$2&amp;$G$2,■입주정보!$B4:$B1000&amp;■입주정보!$C4:$C1000,■입주정보!$Z4:$Z1000,"값 없음")</f>
        <v>0</v>
      </c>
      <c r="L10" s="455"/>
      <c r="M10" s="161" cm="1">
        <f t="array" ref="M10">_xlfn.XLOOKUP($D$2&amp;$G$2,■입주정보!$B4:$B1000&amp;■입주정보!$C4:$C1000,■입주정보!$Y4:$Y1000,"값 없음")</f>
        <v>0</v>
      </c>
      <c r="N10" s="165"/>
      <c r="P10" s="123" t="s">
        <v>2750</v>
      </c>
      <c r="Q10" s="140"/>
      <c r="R10" s="128" t="s">
        <v>2751</v>
      </c>
      <c r="T10" s="462"/>
      <c r="U10" s="463"/>
    </row>
    <row r="11" spans="1:31" ht="16.5" customHeight="1">
      <c r="A11" s="176"/>
      <c r="B11" s="133" t="s">
        <v>2752</v>
      </c>
      <c r="C11" s="133"/>
      <c r="D11" s="133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P11" s="141" t="s">
        <v>2753</v>
      </c>
      <c r="Q11" s="140" t="s">
        <v>2754</v>
      </c>
      <c r="R11" s="142" t="s">
        <v>2755</v>
      </c>
      <c r="T11" s="462"/>
      <c r="U11" s="463"/>
    </row>
    <row r="12" spans="1:31" ht="16.5" customHeight="1">
      <c r="A12" s="176"/>
      <c r="B12" s="507" t="s">
        <v>2756</v>
      </c>
      <c r="C12" s="507"/>
      <c r="D12" s="508">
        <f>Q5</f>
        <v>46103</v>
      </c>
      <c r="E12" s="508"/>
      <c r="F12" s="120"/>
      <c r="G12" s="120"/>
      <c r="H12" s="120"/>
      <c r="I12" s="120"/>
      <c r="J12" s="120"/>
      <c r="K12" s="120"/>
      <c r="L12" s="120"/>
      <c r="M12" s="120"/>
      <c r="N12" s="120"/>
      <c r="P12" s="141" t="s">
        <v>2757</v>
      </c>
      <c r="Q12" s="140" t="s">
        <v>1979</v>
      </c>
      <c r="R12" s="142" t="s">
        <v>2758</v>
      </c>
      <c r="T12" s="462"/>
      <c r="U12" s="463"/>
    </row>
    <row r="13" spans="1:31" ht="5.0999999999999996" customHeight="1">
      <c r="A13" s="176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P13" s="143"/>
      <c r="Q13" s="143"/>
      <c r="R13" s="143"/>
      <c r="T13" s="462"/>
      <c r="U13" s="463"/>
    </row>
    <row r="14" spans="1:31" ht="16.5" customHeight="1">
      <c r="A14" s="176"/>
      <c r="B14" s="509" t="s">
        <v>2759</v>
      </c>
      <c r="C14" s="509"/>
      <c r="D14" s="509"/>
      <c r="E14" s="509" t="s">
        <v>2760</v>
      </c>
      <c r="F14" s="509"/>
      <c r="G14" s="509"/>
      <c r="H14" s="509" t="s">
        <v>2761</v>
      </c>
      <c r="I14" s="509"/>
      <c r="J14" s="509"/>
      <c r="K14" s="509" t="s">
        <v>2762</v>
      </c>
      <c r="L14" s="509"/>
      <c r="M14" s="509"/>
      <c r="N14" s="157"/>
      <c r="P14" s="143"/>
      <c r="Q14" s="143"/>
      <c r="R14" s="143"/>
      <c r="T14" s="462"/>
      <c r="U14" s="463"/>
    </row>
    <row r="15" spans="1:31" ht="16.5" customHeight="1">
      <c r="A15" s="176"/>
      <c r="B15" s="497" t="s">
        <v>12</v>
      </c>
      <c r="C15" s="497"/>
      <c r="D15" s="497"/>
      <c r="E15" s="497"/>
      <c r="F15" s="497"/>
      <c r="G15" s="497"/>
      <c r="H15" s="497"/>
      <c r="I15" s="497"/>
      <c r="J15" s="497"/>
      <c r="K15" s="498">
        <f>C9</f>
        <v>1850000</v>
      </c>
      <c r="L15" s="498"/>
      <c r="M15" s="498"/>
      <c r="N15" s="166"/>
      <c r="P15" s="501" t="s">
        <v>2763</v>
      </c>
      <c r="Q15" s="502"/>
      <c r="R15" s="143"/>
      <c r="T15" s="462"/>
      <c r="U15" s="463"/>
    </row>
    <row r="16" spans="1:31" ht="16.5" customHeight="1">
      <c r="A16" s="176"/>
      <c r="B16" s="497" t="s">
        <v>2764</v>
      </c>
      <c r="C16" s="497"/>
      <c r="D16" s="497"/>
      <c r="E16" s="497"/>
      <c r="F16" s="497"/>
      <c r="G16" s="497"/>
      <c r="H16" s="497"/>
      <c r="I16" s="497"/>
      <c r="J16" s="497"/>
      <c r="K16" s="510">
        <v>1575000</v>
      </c>
      <c r="L16" s="510"/>
      <c r="M16" s="510"/>
      <c r="N16" s="166"/>
      <c r="P16" s="158" t="s">
        <v>2765</v>
      </c>
      <c r="Q16" s="159">
        <f>DAY(EOMONTH(Q17,-1))</f>
        <v>28</v>
      </c>
      <c r="R16" s="143"/>
      <c r="T16" s="462"/>
      <c r="U16" s="463"/>
    </row>
    <row r="17" spans="1:29" ht="16.5" customHeight="1">
      <c r="A17" s="176"/>
      <c r="B17" s="497" t="s">
        <v>1973</v>
      </c>
      <c r="C17" s="497"/>
      <c r="D17" s="497"/>
      <c r="E17" s="503">
        <f>MAX(0, DATEDIF(MIN($D$12+1,$Q$17), MAX($D$12+1,$Q$17), "m") - 1) * IF($D$12+1&gt;=$Q$17, -1, 1)</f>
        <v>0</v>
      </c>
      <c r="F17" s="503"/>
      <c r="G17" s="503"/>
      <c r="H17" s="503">
        <f>IF(J7=0,0,IF(D12+1&gt;=Q17,-(D12-EDATE(Q17,-E17)+1),(Q17-EDATE(D12,E17)-1)+IF(Q16&gt;30,-1,0)))</f>
        <v>-11</v>
      </c>
      <c r="I17" s="503"/>
      <c r="J17" s="503"/>
      <c r="K17" s="498">
        <f>E17*G9+ROUNDDOWN(G9/30*H17,-1)</f>
        <v>-678330</v>
      </c>
      <c r="L17" s="498"/>
      <c r="M17" s="498"/>
      <c r="N17" s="166"/>
      <c r="P17" s="158" t="s">
        <v>2766</v>
      </c>
      <c r="Q17" s="160" cm="1">
        <f t="array" ref="Q17">_xlfn.XLOOKUP($D$2&amp;$G$2,■입주정보!$B4:$B1000&amp;■입주정보!$C4:$C1000,■입주정보!F4:F1000,"Error")</f>
        <v>46093</v>
      </c>
      <c r="R17" s="143"/>
      <c r="T17" s="462"/>
      <c r="U17" s="463"/>
      <c r="W17" s="456" t="s">
        <v>2767</v>
      </c>
      <c r="X17" s="456"/>
      <c r="Y17" s="456"/>
      <c r="Z17" s="456"/>
      <c r="AA17" s="144"/>
      <c r="AB17" s="144"/>
      <c r="AC17" s="144"/>
    </row>
    <row r="18" spans="1:29" ht="16.5" customHeight="1">
      <c r="A18" s="176"/>
      <c r="B18" s="497" t="s">
        <v>14</v>
      </c>
      <c r="C18" s="497"/>
      <c r="D18" s="497"/>
      <c r="E18" s="503">
        <f>$E$17</f>
        <v>0</v>
      </c>
      <c r="F18" s="503"/>
      <c r="G18" s="503"/>
      <c r="H18" s="503">
        <f>$H$17</f>
        <v>-11</v>
      </c>
      <c r="I18" s="503"/>
      <c r="J18" s="503"/>
      <c r="K18" s="498">
        <f>E18*J9+ROUNDDOWN(J9/30*H18,-1)</f>
        <v>-44000</v>
      </c>
      <c r="L18" s="498"/>
      <c r="M18" s="498"/>
      <c r="N18" s="166"/>
      <c r="P18" s="158" t="s">
        <v>2768</v>
      </c>
      <c r="Q18" s="160" cm="1">
        <f t="array" ref="Q18">_xlfn.XLOOKUP($D$2&amp;$G$2,■입주정보!$B4:$B1000&amp;■입주정보!$C4:$C1000,■입주정보!L4:L1000,"Error")</f>
        <v>45912</v>
      </c>
      <c r="T18" s="462"/>
      <c r="U18" s="463"/>
      <c r="W18" s="456"/>
      <c r="X18" s="456"/>
      <c r="Y18" s="456"/>
      <c r="Z18" s="456"/>
      <c r="AA18" s="144"/>
      <c r="AB18" s="144"/>
      <c r="AC18" s="144"/>
    </row>
    <row r="19" spans="1:29" ht="16.5" customHeight="1">
      <c r="A19" s="176"/>
      <c r="B19" s="497" t="s">
        <v>15</v>
      </c>
      <c r="C19" s="497"/>
      <c r="D19" s="497"/>
      <c r="E19" s="503">
        <f>$E$17</f>
        <v>0</v>
      </c>
      <c r="F19" s="503"/>
      <c r="G19" s="503"/>
      <c r="H19" s="503">
        <f>IF($H$17&gt;0,0,$H$17)</f>
        <v>-11</v>
      </c>
      <c r="I19" s="503"/>
      <c r="J19" s="503"/>
      <c r="K19" s="498">
        <f>IF(F7+1&gt;=-Q17,E19*D10+ROUNDDOWN(D10/30*H19,-1),-(E19*D10+ROUNDDOWN(D10/30*H19,-1)))</f>
        <v>-11000</v>
      </c>
      <c r="L19" s="498"/>
      <c r="M19" s="498"/>
      <c r="N19" s="166"/>
      <c r="P19" s="158" t="s">
        <v>9</v>
      </c>
      <c r="Q19" s="160" cm="1">
        <f t="array" ref="Q19">_xlfn.XLOOKUP($D$2&amp;$G$2,■입주정보!$B4:$B1000&amp;■입주정보!$C4:$C1000,■입주정보!M4:M1000,"Error")</f>
        <v>46002</v>
      </c>
      <c r="T19" s="462"/>
      <c r="U19" s="463"/>
      <c r="W19" s="457"/>
      <c r="X19" s="457"/>
      <c r="Y19" s="457"/>
      <c r="Z19" s="457"/>
      <c r="AA19" s="104"/>
      <c r="AB19" s="105"/>
      <c r="AC19" s="144"/>
    </row>
    <row r="20" spans="1:29" ht="16.5" customHeight="1">
      <c r="A20" s="176"/>
      <c r="B20" s="497" t="s">
        <v>2748</v>
      </c>
      <c r="C20" s="497"/>
      <c r="D20" s="497"/>
      <c r="E20" s="503">
        <f>$E$17</f>
        <v>0</v>
      </c>
      <c r="F20" s="503"/>
      <c r="G20" s="503"/>
      <c r="H20" s="503">
        <f>IF($H$17&gt;0,0,$H$17)</f>
        <v>-11</v>
      </c>
      <c r="I20" s="503"/>
      <c r="J20" s="503"/>
      <c r="K20" s="498">
        <f>IF(F7+1&gt;=-Q17,E19*G10+ROUNDDOWN(G10/30*H19,-1),-(E19*G10+ROUNDDOWN(G10/30*H19,-1)))</f>
        <v>-9160</v>
      </c>
      <c r="L20" s="498"/>
      <c r="M20" s="498"/>
      <c r="N20" s="166"/>
      <c r="T20" s="462"/>
      <c r="U20" s="463"/>
      <c r="W20" s="106" t="s">
        <v>2769</v>
      </c>
      <c r="X20" s="107" t="s">
        <v>2770</v>
      </c>
      <c r="Y20" s="108" t="s">
        <v>2771</v>
      </c>
      <c r="Z20" s="109" t="s">
        <v>2772</v>
      </c>
      <c r="AA20" s="108" t="s">
        <v>2773</v>
      </c>
      <c r="AB20" s="108" t="s">
        <v>2774</v>
      </c>
      <c r="AC20" s="110" t="s">
        <v>2775</v>
      </c>
    </row>
    <row r="21" spans="1:29" ht="16.5" customHeight="1">
      <c r="A21" s="176"/>
      <c r="B21" s="497" t="s">
        <v>2776</v>
      </c>
      <c r="C21" s="497"/>
      <c r="D21" s="497"/>
      <c r="E21" s="500"/>
      <c r="F21" s="500"/>
      <c r="G21" s="500"/>
      <c r="H21" s="504"/>
      <c r="I21" s="505"/>
      <c r="J21" s="506"/>
      <c r="K21" s="498">
        <f>-F45</f>
        <v>0</v>
      </c>
      <c r="L21" s="498"/>
      <c r="M21" s="498"/>
      <c r="N21" s="166"/>
      <c r="P21" s="145" t="s">
        <v>2777</v>
      </c>
      <c r="Q21" s="146" t="str" cm="1">
        <f t="array" ref="Q21">_xlfn.XLOOKUP($D$2&amp;$G$2,◆관리정보!$B4:$B1000&amp;◆관리정보!$C4:$C1000,◆관리정보!$H4:$H1000,"값 없음")</f>
        <v>01-1172-0255</v>
      </c>
      <c r="T21" s="462"/>
      <c r="U21" s="463"/>
      <c r="W21" s="111">
        <v>1</v>
      </c>
      <c r="X21" s="112">
        <v>910</v>
      </c>
      <c r="Y21" s="113">
        <v>93</v>
      </c>
      <c r="Z21" s="113">
        <v>1003</v>
      </c>
      <c r="AA21" s="112">
        <v>100</v>
      </c>
      <c r="AB21" s="112">
        <v>30</v>
      </c>
      <c r="AC21" s="147">
        <v>1862.1071007</v>
      </c>
    </row>
    <row r="22" spans="1:29" ht="16.5" customHeight="1">
      <c r="A22" s="176"/>
      <c r="B22" s="497" t="s">
        <v>2778</v>
      </c>
      <c r="C22" s="497"/>
      <c r="D22" s="497"/>
      <c r="E22" s="500"/>
      <c r="F22" s="500"/>
      <c r="G22" s="500"/>
      <c r="H22" s="500"/>
      <c r="I22" s="500"/>
      <c r="J22" s="500"/>
      <c r="K22" s="498">
        <f>-L45</f>
        <v>0</v>
      </c>
      <c r="L22" s="498"/>
      <c r="M22" s="498"/>
      <c r="N22" s="166"/>
      <c r="P22" s="145" t="s">
        <v>2779</v>
      </c>
      <c r="Q22" s="146" cm="1">
        <f t="array" ref="Q22">_xlfn.XLOOKUP($D$2&amp;$G$2,◆관리정보!$B4:$B1000&amp;◆관리정보!$C4:$C1000,◆관리정보!$I4:$I1000,"값 없음")</f>
        <v>21246045</v>
      </c>
      <c r="T22" s="462"/>
      <c r="U22" s="463"/>
      <c r="W22" s="111">
        <v>2</v>
      </c>
      <c r="X22" s="112">
        <v>910</v>
      </c>
      <c r="Y22" s="113">
        <v>186</v>
      </c>
      <c r="Z22" s="113">
        <v>1096</v>
      </c>
      <c r="AA22" s="112">
        <v>110</v>
      </c>
      <c r="AB22" s="112">
        <v>40</v>
      </c>
      <c r="AC22" s="147">
        <v>2043.3741636</v>
      </c>
    </row>
    <row r="23" spans="1:29" ht="16.5" customHeight="1">
      <c r="A23" s="176"/>
      <c r="B23" s="454" t="s">
        <v>2749</v>
      </c>
      <c r="C23" s="516"/>
      <c r="D23" s="516"/>
      <c r="E23" s="516"/>
      <c r="F23" s="516"/>
      <c r="G23" s="516"/>
      <c r="H23" s="516"/>
      <c r="I23" s="516"/>
      <c r="J23" s="455"/>
      <c r="K23" s="497">
        <f>IF(Q11="확인",$M$10,0)</f>
        <v>0</v>
      </c>
      <c r="L23" s="497"/>
      <c r="M23" s="497"/>
      <c r="N23" s="167"/>
      <c r="T23" s="462"/>
      <c r="U23" s="463"/>
      <c r="W23" s="111">
        <v>3</v>
      </c>
      <c r="X23" s="112">
        <v>910</v>
      </c>
      <c r="Y23" s="113">
        <v>279</v>
      </c>
      <c r="Z23" s="113">
        <v>1189</v>
      </c>
      <c r="AA23" s="112">
        <v>119</v>
      </c>
      <c r="AB23" s="112">
        <v>40</v>
      </c>
      <c r="AC23" s="147">
        <v>2208.1624026000004</v>
      </c>
    </row>
    <row r="24" spans="1:29" ht="16.5" customHeight="1">
      <c r="A24" s="176"/>
      <c r="B24" s="517" t="s">
        <v>2759</v>
      </c>
      <c r="C24" s="518"/>
      <c r="D24" s="518"/>
      <c r="E24" s="518"/>
      <c r="F24" s="518"/>
      <c r="G24" s="518"/>
      <c r="H24" s="518"/>
      <c r="I24" s="518"/>
      <c r="J24" s="518"/>
      <c r="K24" s="518"/>
      <c r="L24" s="518"/>
      <c r="M24" s="519"/>
      <c r="N24" s="167"/>
      <c r="T24" s="462"/>
      <c r="U24" s="463"/>
      <c r="W24" s="111">
        <v>4</v>
      </c>
      <c r="X24" s="112">
        <v>910</v>
      </c>
      <c r="Y24" s="113">
        <v>373</v>
      </c>
      <c r="Z24" s="113">
        <v>1283</v>
      </c>
      <c r="AA24" s="112">
        <v>128</v>
      </c>
      <c r="AB24" s="112">
        <v>40</v>
      </c>
      <c r="AC24" s="147">
        <v>2389.4294654999999</v>
      </c>
    </row>
    <row r="25" spans="1:29" ht="16.5" customHeight="1">
      <c r="A25" s="176"/>
      <c r="B25" s="497" t="s">
        <v>1977</v>
      </c>
      <c r="C25" s="497"/>
      <c r="D25" s="497"/>
      <c r="E25" s="497"/>
      <c r="F25" s="497"/>
      <c r="G25" s="497"/>
      <c r="H25" s="497"/>
      <c r="I25" s="497"/>
      <c r="J25" s="497"/>
      <c r="K25" s="498">
        <f>-M9</f>
        <v>-200000</v>
      </c>
      <c r="L25" s="498"/>
      <c r="M25" s="498"/>
      <c r="N25" s="166"/>
      <c r="T25" s="462"/>
      <c r="U25" s="463"/>
      <c r="W25" s="111">
        <v>5</v>
      </c>
      <c r="X25" s="112">
        <v>910</v>
      </c>
      <c r="Y25" s="113">
        <v>466</v>
      </c>
      <c r="Z25" s="113">
        <v>1376</v>
      </c>
      <c r="AA25" s="112">
        <v>138</v>
      </c>
      <c r="AB25" s="112">
        <v>50</v>
      </c>
      <c r="AC25" s="147">
        <v>2570.6965284000003</v>
      </c>
    </row>
    <row r="26" spans="1:29" ht="16.5" customHeight="1">
      <c r="A26" s="176"/>
      <c r="B26" s="497" t="s">
        <v>2780</v>
      </c>
      <c r="C26" s="497"/>
      <c r="D26" s="497"/>
      <c r="E26" s="497"/>
      <c r="F26" s="497"/>
      <c r="G26" s="497"/>
      <c r="H26" s="497"/>
      <c r="I26" s="497"/>
      <c r="J26" s="497"/>
      <c r="K26" s="498">
        <f>-L30</f>
        <v>0</v>
      </c>
      <c r="L26" s="498"/>
      <c r="M26" s="498"/>
      <c r="N26" s="166"/>
      <c r="T26" s="462"/>
      <c r="U26" s="463"/>
      <c r="W26" s="111">
        <v>6</v>
      </c>
      <c r="X26" s="112">
        <v>910</v>
      </c>
      <c r="Y26" s="113">
        <v>559</v>
      </c>
      <c r="Z26" s="113">
        <v>1469</v>
      </c>
      <c r="AA26" s="112">
        <v>147</v>
      </c>
      <c r="AB26" s="112">
        <v>50</v>
      </c>
      <c r="AC26" s="147">
        <v>2735.4847674000002</v>
      </c>
    </row>
    <row r="27" spans="1:29" ht="16.5" customHeight="1">
      <c r="A27" s="176"/>
      <c r="B27" s="497" t="s">
        <v>2781</v>
      </c>
      <c r="C27" s="497"/>
      <c r="D27" s="497"/>
      <c r="E27" s="497"/>
      <c r="F27" s="497"/>
      <c r="G27" s="497"/>
      <c r="H27" s="497"/>
      <c r="I27" s="497"/>
      <c r="J27" s="497"/>
      <c r="K27" s="498">
        <f>K38</f>
        <v>0</v>
      </c>
      <c r="L27" s="498"/>
      <c r="M27" s="498"/>
      <c r="N27" s="166"/>
      <c r="T27" s="462"/>
      <c r="U27" s="463"/>
      <c r="W27" s="111">
        <v>7</v>
      </c>
      <c r="X27" s="112">
        <v>910</v>
      </c>
      <c r="Y27" s="113">
        <v>653</v>
      </c>
      <c r="Z27" s="113">
        <v>1563</v>
      </c>
      <c r="AA27" s="112">
        <v>156</v>
      </c>
      <c r="AB27" s="112">
        <v>50</v>
      </c>
      <c r="AC27" s="147">
        <v>2900.2730064000002</v>
      </c>
    </row>
    <row r="28" spans="1:29" ht="16.5" customHeight="1">
      <c r="A28" s="176"/>
      <c r="B28" s="490" t="s">
        <v>2782</v>
      </c>
      <c r="C28" s="490"/>
      <c r="D28" s="490"/>
      <c r="E28" s="490"/>
      <c r="F28" s="490"/>
      <c r="G28" s="490"/>
      <c r="H28" s="490"/>
      <c r="I28" s="490"/>
      <c r="J28" s="490"/>
      <c r="K28" s="491">
        <f>SUM(K15:K27)</f>
        <v>2482510</v>
      </c>
      <c r="L28" s="491"/>
      <c r="M28" s="491"/>
      <c r="N28" s="172"/>
      <c r="T28" s="462"/>
      <c r="U28" s="463"/>
      <c r="W28" s="111">
        <v>8</v>
      </c>
      <c r="X28" s="112">
        <v>910</v>
      </c>
      <c r="Y28" s="113">
        <v>746</v>
      </c>
      <c r="Z28" s="113">
        <v>1656</v>
      </c>
      <c r="AA28" s="112">
        <v>166</v>
      </c>
      <c r="AB28" s="112">
        <v>60</v>
      </c>
      <c r="AC28" s="147">
        <v>3098.0188931999996</v>
      </c>
    </row>
    <row r="29" spans="1:29" ht="16.5" customHeight="1">
      <c r="A29" s="176"/>
      <c r="B29" s="492" t="s">
        <v>2783</v>
      </c>
      <c r="C29" s="492"/>
      <c r="D29" s="492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T29" s="462"/>
      <c r="U29" s="463"/>
      <c r="W29" s="111">
        <v>9</v>
      </c>
      <c r="X29" s="112">
        <v>910</v>
      </c>
      <c r="Y29" s="113">
        <v>839</v>
      </c>
      <c r="Z29" s="113">
        <v>1749</v>
      </c>
      <c r="AA29" s="112">
        <v>175</v>
      </c>
      <c r="AB29" s="112">
        <v>60</v>
      </c>
      <c r="AC29" s="147">
        <v>3262.8071322000001</v>
      </c>
    </row>
    <row r="30" spans="1:29" ht="16.5" customHeight="1">
      <c r="A30" s="176"/>
      <c r="B30" s="493" t="s">
        <v>2784</v>
      </c>
      <c r="C30" s="494"/>
      <c r="D30" s="495" cm="1">
        <f t="array" ref="D30">_xlfn.LET(
_xlpm.면제, IF(Q10="면제",TRUE,FALSE),
_xlpm.만기전퇴실, IF(K2="만기전퇴실",TRUE,FALSE),
IF(_xlpm.만기전퇴실,IF(_xlpm.면제,0,ROUNDDOWN((G9+J9)/30*7,-1)),0)
)</f>
        <v>0</v>
      </c>
      <c r="E30" s="496"/>
      <c r="F30" s="493" t="s">
        <v>20</v>
      </c>
      <c r="G30" s="494"/>
      <c r="H30" s="495" cm="1">
        <f t="array" ref="H30">_xlfn.LET(
_xlpm.만기전퇴실,IF(K2="만기전퇴실",TRUE,FALSE),
_xlpm.추가,IF(Q12="추가",TRUE,FALSE),
_xlpm.부수기본,_xlfn.XLOOKUP($D$2&amp;$G$2,■입주정보!$B:$B&amp;■입주정보!$C:$C,■입주정보!$AC:$AC,0),
_xlpm.부수이벤트,_xlfn.XLOOKUP($D$2&amp;$G$2,■입주정보!$B:$B&amp;■입주정보!$C:$C,■입주정보!$AD:$AD,0),
IF(_xlpm.만기전퇴실,IF(_xlpm.추가,_xlpm.부수기본+_xlpm.부수이벤트+50000,_xlpm.부수기본+_xlpm.부수이벤트),0)
)</f>
        <v>0</v>
      </c>
      <c r="I30" s="496"/>
      <c r="J30" s="493" t="s">
        <v>2785</v>
      </c>
      <c r="K30" s="494"/>
      <c r="L30" s="495">
        <f>D30+H30</f>
        <v>0</v>
      </c>
      <c r="M30" s="496"/>
      <c r="N30" s="168"/>
      <c r="T30" s="462"/>
      <c r="U30" s="463"/>
      <c r="W30" s="111">
        <v>10</v>
      </c>
      <c r="X30" s="112">
        <v>910</v>
      </c>
      <c r="Y30" s="113">
        <v>933</v>
      </c>
      <c r="Z30" s="113">
        <v>1843</v>
      </c>
      <c r="AA30" s="112">
        <v>184</v>
      </c>
      <c r="AB30" s="112">
        <v>60</v>
      </c>
      <c r="AC30" s="147">
        <v>3427.5953711999996</v>
      </c>
    </row>
    <row r="31" spans="1:29" ht="16.5" customHeight="1">
      <c r="A31" s="176"/>
      <c r="B31" s="492" t="s">
        <v>2786</v>
      </c>
      <c r="C31" s="492"/>
      <c r="D31" s="492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T31" s="462"/>
      <c r="U31" s="463"/>
      <c r="W31" s="111">
        <v>11</v>
      </c>
      <c r="X31" s="112">
        <v>910</v>
      </c>
      <c r="Y31" s="113">
        <v>1026</v>
      </c>
      <c r="Z31" s="113">
        <v>1936</v>
      </c>
      <c r="AA31" s="112">
        <v>194</v>
      </c>
      <c r="AB31" s="112">
        <v>70</v>
      </c>
      <c r="AC31" s="147">
        <v>3625.3412579999999</v>
      </c>
    </row>
    <row r="32" spans="1:29" ht="16.5" customHeight="1">
      <c r="A32" s="176"/>
      <c r="B32" s="493" t="s">
        <v>2733</v>
      </c>
      <c r="C32" s="499"/>
      <c r="D32" s="499"/>
      <c r="E32" s="499"/>
      <c r="F32" s="499"/>
      <c r="G32" s="499"/>
      <c r="H32" s="499"/>
      <c r="I32" s="499"/>
      <c r="J32" s="494"/>
      <c r="K32" s="493" t="s">
        <v>2787</v>
      </c>
      <c r="L32" s="499"/>
      <c r="M32" s="494"/>
      <c r="N32" s="157"/>
      <c r="T32" s="462"/>
      <c r="U32" s="463"/>
      <c r="W32" s="111">
        <v>12</v>
      </c>
      <c r="X32" s="112">
        <v>910</v>
      </c>
      <c r="Y32" s="113">
        <v>1119</v>
      </c>
      <c r="Z32" s="113">
        <v>2029</v>
      </c>
      <c r="AA32" s="112">
        <v>203</v>
      </c>
      <c r="AB32" s="112">
        <v>70</v>
      </c>
      <c r="AC32" s="147">
        <v>3790.1294969999994</v>
      </c>
    </row>
    <row r="33" spans="1:29" ht="16.5" customHeight="1">
      <c r="A33" s="176"/>
      <c r="B33" s="473"/>
      <c r="C33" s="489"/>
      <c r="D33" s="489"/>
      <c r="E33" s="489"/>
      <c r="F33" s="489"/>
      <c r="G33" s="489"/>
      <c r="H33" s="489"/>
      <c r="I33" s="489"/>
      <c r="J33" s="474"/>
      <c r="K33" s="469"/>
      <c r="L33" s="478"/>
      <c r="M33" s="470"/>
      <c r="N33" s="173"/>
      <c r="T33" s="462"/>
      <c r="U33" s="463"/>
      <c r="W33" s="111">
        <v>13</v>
      </c>
      <c r="X33" s="112">
        <v>910</v>
      </c>
      <c r="Y33" s="113">
        <v>1212</v>
      </c>
      <c r="Z33" s="113">
        <v>2122</v>
      </c>
      <c r="AA33" s="112">
        <v>212</v>
      </c>
      <c r="AB33" s="112">
        <v>70</v>
      </c>
      <c r="AC33" s="147">
        <v>3954.9177359999999</v>
      </c>
    </row>
    <row r="34" spans="1:29" ht="16.5" customHeight="1">
      <c r="A34" s="176"/>
      <c r="B34" s="473"/>
      <c r="C34" s="489"/>
      <c r="D34" s="489"/>
      <c r="E34" s="489"/>
      <c r="F34" s="489"/>
      <c r="G34" s="489"/>
      <c r="H34" s="489"/>
      <c r="I34" s="489"/>
      <c r="J34" s="474"/>
      <c r="K34" s="469"/>
      <c r="L34" s="478"/>
      <c r="M34" s="470"/>
      <c r="N34" s="173"/>
      <c r="T34" s="462"/>
      <c r="U34" s="463"/>
      <c r="W34" s="111">
        <v>14</v>
      </c>
      <c r="X34" s="112">
        <v>910</v>
      </c>
      <c r="Y34" s="113">
        <v>1306</v>
      </c>
      <c r="Z34" s="113">
        <v>2216</v>
      </c>
      <c r="AA34" s="112">
        <v>222</v>
      </c>
      <c r="AB34" s="112">
        <v>80</v>
      </c>
      <c r="AC34" s="147">
        <v>4136.1847988999998</v>
      </c>
    </row>
    <row r="35" spans="1:29" ht="16.5" customHeight="1">
      <c r="A35" s="176"/>
      <c r="B35" s="475"/>
      <c r="C35" s="476"/>
      <c r="D35" s="476"/>
      <c r="E35" s="476"/>
      <c r="F35" s="476"/>
      <c r="G35" s="476"/>
      <c r="H35" s="476"/>
      <c r="I35" s="476"/>
      <c r="J35" s="477"/>
      <c r="K35" s="469"/>
      <c r="L35" s="478"/>
      <c r="M35" s="470"/>
      <c r="N35" s="173"/>
      <c r="T35" s="462"/>
      <c r="U35" s="463"/>
      <c r="W35" s="111">
        <v>15</v>
      </c>
      <c r="X35" s="112">
        <v>910</v>
      </c>
      <c r="Y35" s="113">
        <v>1399</v>
      </c>
      <c r="Z35" s="113">
        <v>2309</v>
      </c>
      <c r="AA35" s="112">
        <v>231</v>
      </c>
      <c r="AB35" s="112">
        <v>80</v>
      </c>
      <c r="AC35" s="147">
        <v>4317.4518618000002</v>
      </c>
    </row>
    <row r="36" spans="1:29" ht="16.5" customHeight="1">
      <c r="A36" s="176"/>
      <c r="B36" s="475"/>
      <c r="C36" s="476"/>
      <c r="D36" s="476"/>
      <c r="E36" s="476"/>
      <c r="F36" s="476"/>
      <c r="G36" s="476"/>
      <c r="H36" s="476"/>
      <c r="I36" s="476"/>
      <c r="J36" s="477"/>
      <c r="K36" s="469"/>
      <c r="L36" s="478"/>
      <c r="M36" s="470"/>
      <c r="N36" s="173"/>
      <c r="T36" s="464"/>
      <c r="U36" s="465"/>
      <c r="W36" s="111">
        <v>16</v>
      </c>
      <c r="X36" s="112">
        <v>910</v>
      </c>
      <c r="Y36" s="113">
        <v>1492</v>
      </c>
      <c r="Z36" s="113">
        <v>2402</v>
      </c>
      <c r="AA36" s="112">
        <v>240</v>
      </c>
      <c r="AB36" s="112">
        <v>80</v>
      </c>
      <c r="AC36" s="147">
        <v>4482.2401007999997</v>
      </c>
    </row>
    <row r="37" spans="1:29" ht="16.5" customHeight="1">
      <c r="A37" s="176"/>
      <c r="B37" s="475"/>
      <c r="C37" s="476"/>
      <c r="D37" s="476"/>
      <c r="E37" s="476"/>
      <c r="F37" s="476"/>
      <c r="G37" s="476"/>
      <c r="H37" s="476"/>
      <c r="I37" s="476"/>
      <c r="J37" s="477"/>
      <c r="K37" s="469"/>
      <c r="L37" s="478"/>
      <c r="M37" s="470"/>
      <c r="N37" s="173"/>
      <c r="W37" s="111">
        <v>17</v>
      </c>
      <c r="X37" s="112">
        <v>910</v>
      </c>
      <c r="Y37" s="113">
        <v>1586</v>
      </c>
      <c r="Z37" s="113">
        <v>2496</v>
      </c>
      <c r="AA37" s="112">
        <v>250</v>
      </c>
      <c r="AB37" s="112">
        <v>90</v>
      </c>
      <c r="AC37" s="147">
        <v>4663.5071637000001</v>
      </c>
    </row>
    <row r="38" spans="1:29" ht="16.5" customHeight="1">
      <c r="A38" s="176"/>
      <c r="B38" s="479" t="s">
        <v>2788</v>
      </c>
      <c r="C38" s="480"/>
      <c r="D38" s="480"/>
      <c r="E38" s="480"/>
      <c r="F38" s="480"/>
      <c r="G38" s="480"/>
      <c r="H38" s="480"/>
      <c r="I38" s="480"/>
      <c r="J38" s="481"/>
      <c r="K38" s="482">
        <f>SUM(K33:M37)</f>
        <v>0</v>
      </c>
      <c r="L38" s="483"/>
      <c r="M38" s="484"/>
      <c r="N38" s="169"/>
      <c r="W38" s="111">
        <v>18</v>
      </c>
      <c r="X38" s="112">
        <v>910</v>
      </c>
      <c r="Y38" s="113">
        <v>1679</v>
      </c>
      <c r="Z38" s="113">
        <v>2589</v>
      </c>
      <c r="AA38" s="112">
        <v>259</v>
      </c>
      <c r="AB38" s="112">
        <v>90</v>
      </c>
      <c r="AC38" s="147">
        <v>4828.2954027000005</v>
      </c>
    </row>
    <row r="39" spans="1:29" ht="16.5" customHeight="1">
      <c r="A39" s="176"/>
      <c r="B39" s="485" t="s">
        <v>2789</v>
      </c>
      <c r="C39" s="485"/>
      <c r="D39" s="485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W39" s="111">
        <v>19</v>
      </c>
      <c r="X39" s="112">
        <v>910</v>
      </c>
      <c r="Y39" s="113">
        <v>1772</v>
      </c>
      <c r="Z39" s="113">
        <v>2682</v>
      </c>
      <c r="AA39" s="112">
        <v>268</v>
      </c>
      <c r="AB39" s="112">
        <v>90</v>
      </c>
      <c r="AC39" s="147">
        <v>5009.5624656</v>
      </c>
    </row>
    <row r="40" spans="1:29" ht="16.5" customHeight="1">
      <c r="A40" s="176"/>
      <c r="B40" s="486" t="s">
        <v>2790</v>
      </c>
      <c r="C40" s="487"/>
      <c r="D40" s="488"/>
      <c r="E40" s="149" t="s">
        <v>2791</v>
      </c>
      <c r="F40" s="486" t="s">
        <v>2792</v>
      </c>
      <c r="G40" s="488"/>
      <c r="H40" s="486" t="s">
        <v>2793</v>
      </c>
      <c r="I40" s="487"/>
      <c r="J40" s="488"/>
      <c r="K40" s="149" t="s">
        <v>2791</v>
      </c>
      <c r="L40" s="486" t="s">
        <v>2794</v>
      </c>
      <c r="M40" s="488"/>
      <c r="N40" s="174"/>
      <c r="W40" s="111">
        <v>20</v>
      </c>
      <c r="X40" s="112">
        <v>910</v>
      </c>
      <c r="Y40" s="113">
        <v>1866</v>
      </c>
      <c r="Z40" s="113">
        <v>2776</v>
      </c>
      <c r="AA40" s="112">
        <v>278</v>
      </c>
      <c r="AB40" s="112">
        <v>100</v>
      </c>
      <c r="AC40" s="147">
        <v>5190.8295285000004</v>
      </c>
    </row>
    <row r="41" spans="1:29" ht="16.5" customHeight="1">
      <c r="A41" s="176"/>
      <c r="B41" s="466"/>
      <c r="C41" s="467"/>
      <c r="D41" s="468"/>
      <c r="E41" s="150"/>
      <c r="F41" s="469"/>
      <c r="G41" s="470"/>
      <c r="H41" s="466"/>
      <c r="I41" s="467"/>
      <c r="J41" s="468"/>
      <c r="K41" s="150"/>
      <c r="L41" s="471"/>
      <c r="M41" s="472"/>
      <c r="N41" s="170"/>
      <c r="R41" s="114"/>
      <c r="W41" s="111">
        <v>21</v>
      </c>
      <c r="X41" s="112">
        <v>910</v>
      </c>
      <c r="Y41" s="113">
        <v>1959</v>
      </c>
      <c r="Z41" s="113">
        <v>2869</v>
      </c>
      <c r="AA41" s="112">
        <v>287</v>
      </c>
      <c r="AB41" s="112">
        <v>100</v>
      </c>
      <c r="AC41" s="147">
        <v>5355.6177674999999</v>
      </c>
    </row>
    <row r="42" spans="1:29" ht="16.5" customHeight="1">
      <c r="A42" s="176"/>
      <c r="B42" s="466"/>
      <c r="C42" s="467"/>
      <c r="D42" s="468"/>
      <c r="E42" s="150"/>
      <c r="F42" s="469"/>
      <c r="G42" s="470"/>
      <c r="H42" s="466"/>
      <c r="I42" s="467"/>
      <c r="J42" s="468"/>
      <c r="K42" s="150"/>
      <c r="L42" s="471"/>
      <c r="M42" s="472"/>
      <c r="N42" s="170"/>
      <c r="W42" s="111">
        <v>22</v>
      </c>
      <c r="X42" s="112">
        <v>910</v>
      </c>
      <c r="Y42" s="113">
        <v>2052</v>
      </c>
      <c r="Z42" s="113">
        <v>2962</v>
      </c>
      <c r="AA42" s="112">
        <v>296</v>
      </c>
      <c r="AB42" s="112">
        <v>100</v>
      </c>
      <c r="AC42" s="147">
        <v>5520.4060065000003</v>
      </c>
    </row>
    <row r="43" spans="1:29" ht="16.5" customHeight="1">
      <c r="A43" s="176"/>
      <c r="B43" s="466"/>
      <c r="C43" s="467"/>
      <c r="D43" s="468"/>
      <c r="E43" s="150"/>
      <c r="F43" s="469"/>
      <c r="G43" s="470"/>
      <c r="H43" s="466"/>
      <c r="I43" s="467"/>
      <c r="J43" s="468"/>
      <c r="K43" s="150"/>
      <c r="L43" s="471"/>
      <c r="M43" s="472"/>
      <c r="N43" s="170"/>
      <c r="W43" s="111">
        <v>23</v>
      </c>
      <c r="X43" s="112">
        <v>910</v>
      </c>
      <c r="Y43" s="113">
        <v>2145</v>
      </c>
      <c r="Z43" s="113">
        <v>3055</v>
      </c>
      <c r="AA43" s="112">
        <v>306</v>
      </c>
      <c r="AB43" s="112">
        <v>110</v>
      </c>
      <c r="AC43" s="147">
        <v>5718.1518933000007</v>
      </c>
    </row>
    <row r="44" spans="1:29" ht="16.5" customHeight="1">
      <c r="A44" s="176"/>
      <c r="B44" s="466"/>
      <c r="C44" s="467"/>
      <c r="D44" s="468"/>
      <c r="E44" s="150"/>
      <c r="F44" s="473"/>
      <c r="G44" s="474"/>
      <c r="H44" s="151"/>
      <c r="I44" s="152"/>
      <c r="J44" s="153"/>
      <c r="K44" s="154"/>
      <c r="L44" s="471"/>
      <c r="M44" s="472"/>
      <c r="N44" s="170"/>
      <c r="W44" s="111">
        <v>24</v>
      </c>
      <c r="X44" s="112">
        <v>910</v>
      </c>
      <c r="Y44" s="113">
        <v>2239</v>
      </c>
      <c r="Z44" s="113">
        <v>3149</v>
      </c>
      <c r="AA44" s="112">
        <v>315</v>
      </c>
      <c r="AB44" s="112">
        <v>110</v>
      </c>
      <c r="AC44" s="147">
        <v>5882.9401323000002</v>
      </c>
    </row>
    <row r="45" spans="1:29" ht="16.5" customHeight="1">
      <c r="A45" s="176"/>
      <c r="B45" s="449" t="s">
        <v>2795</v>
      </c>
      <c r="C45" s="450"/>
      <c r="D45" s="451"/>
      <c r="E45" s="155"/>
      <c r="F45" s="452">
        <f>SUM(F41:F44)</f>
        <v>0</v>
      </c>
      <c r="G45" s="453"/>
      <c r="H45" s="449" t="s">
        <v>2796</v>
      </c>
      <c r="I45" s="450"/>
      <c r="J45" s="451"/>
      <c r="K45" s="155"/>
      <c r="L45" s="454">
        <f>SUM(L41:M44)</f>
        <v>0</v>
      </c>
      <c r="M45" s="455"/>
      <c r="N45" s="170"/>
      <c r="W45" s="111">
        <v>25</v>
      </c>
      <c r="X45" s="112">
        <v>910</v>
      </c>
      <c r="Y45" s="113">
        <v>2332</v>
      </c>
      <c r="Z45" s="113">
        <v>3242</v>
      </c>
      <c r="AA45" s="112">
        <v>324</v>
      </c>
      <c r="AB45" s="112">
        <v>110</v>
      </c>
      <c r="AC45" s="147">
        <v>6047.7283712999997</v>
      </c>
    </row>
    <row r="46" spans="1:29" ht="16.5" customHeight="1"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W46" s="111">
        <v>26</v>
      </c>
      <c r="X46" s="112">
        <v>910</v>
      </c>
      <c r="Y46" s="113">
        <v>2425</v>
      </c>
      <c r="Z46" s="113">
        <v>3335</v>
      </c>
      <c r="AA46" s="112">
        <v>334</v>
      </c>
      <c r="AB46" s="112">
        <v>120</v>
      </c>
      <c r="AC46" s="147">
        <v>6228.9954341999992</v>
      </c>
    </row>
    <row r="47" spans="1:29">
      <c r="E47" s="178"/>
      <c r="W47" s="111">
        <v>27</v>
      </c>
      <c r="X47" s="112">
        <v>910</v>
      </c>
      <c r="Y47" s="113">
        <v>2519</v>
      </c>
      <c r="Z47" s="113">
        <v>3429</v>
      </c>
      <c r="AA47" s="112">
        <v>343</v>
      </c>
      <c r="AB47" s="112">
        <v>120</v>
      </c>
      <c r="AC47" s="147">
        <v>6410.2624970999996</v>
      </c>
    </row>
    <row r="48" spans="1:29" s="114" customFormat="1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15"/>
      <c r="P48" s="116"/>
      <c r="Q48" s="117"/>
      <c r="R48" s="116"/>
      <c r="S48" s="177"/>
      <c r="T48" s="116"/>
      <c r="U48" s="117"/>
      <c r="V48" s="177"/>
      <c r="W48" s="111">
        <v>28</v>
      </c>
      <c r="X48" s="112">
        <v>910</v>
      </c>
      <c r="Y48" s="113">
        <v>2612</v>
      </c>
      <c r="Z48" s="113">
        <v>3522</v>
      </c>
      <c r="AA48" s="112">
        <v>352</v>
      </c>
      <c r="AB48" s="112">
        <v>130</v>
      </c>
      <c r="AC48" s="147">
        <v>6591.5295600000009</v>
      </c>
    </row>
    <row r="49" spans="23:29">
      <c r="W49" s="111">
        <v>29</v>
      </c>
      <c r="X49" s="112">
        <v>910</v>
      </c>
      <c r="Y49" s="113">
        <v>2705</v>
      </c>
      <c r="Z49" s="113">
        <v>3615</v>
      </c>
      <c r="AA49" s="112">
        <v>362</v>
      </c>
      <c r="AB49" s="112">
        <v>130</v>
      </c>
      <c r="AC49" s="147">
        <v>6756.3177989999986</v>
      </c>
    </row>
    <row r="50" spans="23:29">
      <c r="W50" s="111">
        <v>30</v>
      </c>
      <c r="X50" s="112">
        <v>910</v>
      </c>
      <c r="Y50" s="113">
        <v>2799</v>
      </c>
      <c r="Z50" s="113">
        <v>3709</v>
      </c>
      <c r="AA50" s="112">
        <v>371</v>
      </c>
      <c r="AB50" s="112">
        <v>130</v>
      </c>
      <c r="AC50" s="147">
        <v>6937.5848619000008</v>
      </c>
    </row>
    <row r="51" spans="23:29">
      <c r="W51" s="111">
        <v>31</v>
      </c>
      <c r="X51" s="112">
        <v>910</v>
      </c>
      <c r="Y51" s="113">
        <v>2892</v>
      </c>
      <c r="Z51" s="113">
        <v>3802</v>
      </c>
      <c r="AA51" s="112">
        <v>380</v>
      </c>
      <c r="AB51" s="112">
        <v>140</v>
      </c>
      <c r="AC51" s="147">
        <v>7118.8519248000002</v>
      </c>
    </row>
    <row r="52" spans="23:29">
      <c r="W52" s="111">
        <v>32</v>
      </c>
      <c r="X52" s="112">
        <v>910</v>
      </c>
      <c r="Y52" s="113">
        <v>2985</v>
      </c>
      <c r="Z52" s="113">
        <v>3895</v>
      </c>
      <c r="AA52" s="112">
        <v>390</v>
      </c>
      <c r="AB52" s="112">
        <v>140</v>
      </c>
      <c r="AC52" s="147">
        <v>7283.6401637999998</v>
      </c>
    </row>
    <row r="53" spans="23:29">
      <c r="W53" s="111">
        <v>33</v>
      </c>
      <c r="X53" s="112">
        <v>910</v>
      </c>
      <c r="Y53" s="113">
        <v>3078</v>
      </c>
      <c r="Z53" s="113">
        <v>3988</v>
      </c>
      <c r="AA53" s="112">
        <v>399</v>
      </c>
      <c r="AB53" s="112">
        <v>140</v>
      </c>
      <c r="AC53" s="147">
        <v>7448.4284028000002</v>
      </c>
    </row>
    <row r="54" spans="23:29">
      <c r="W54" s="111">
        <v>34</v>
      </c>
      <c r="X54" s="112">
        <v>910</v>
      </c>
      <c r="Y54" s="113">
        <v>3172</v>
      </c>
      <c r="Z54" s="113">
        <v>4082</v>
      </c>
      <c r="AA54" s="112">
        <v>408</v>
      </c>
      <c r="AB54" s="112">
        <v>150</v>
      </c>
      <c r="AC54" s="147">
        <v>7646.1742895999987</v>
      </c>
    </row>
    <row r="55" spans="23:29">
      <c r="W55" s="111">
        <v>35</v>
      </c>
      <c r="X55" s="112">
        <v>910</v>
      </c>
      <c r="Y55" s="113">
        <v>3265</v>
      </c>
      <c r="Z55" s="113">
        <v>4175</v>
      </c>
      <c r="AA55" s="112">
        <v>418</v>
      </c>
      <c r="AB55" s="112">
        <v>150</v>
      </c>
      <c r="AC55" s="147">
        <v>7810.9625286</v>
      </c>
    </row>
    <row r="56" spans="23:29">
      <c r="W56" s="111">
        <v>36</v>
      </c>
      <c r="X56" s="112">
        <v>910</v>
      </c>
      <c r="Y56" s="113">
        <v>3358</v>
      </c>
      <c r="Z56" s="113">
        <v>4268</v>
      </c>
      <c r="AA56" s="112">
        <v>427</v>
      </c>
      <c r="AB56" s="112">
        <v>150</v>
      </c>
      <c r="AC56" s="147">
        <v>7975.7507675999996</v>
      </c>
    </row>
    <row r="57" spans="23:29">
      <c r="W57" s="111">
        <v>37</v>
      </c>
      <c r="X57" s="112">
        <v>910</v>
      </c>
      <c r="Y57" s="113">
        <v>3452</v>
      </c>
      <c r="Z57" s="113">
        <v>4362</v>
      </c>
      <c r="AA57" s="112">
        <v>436</v>
      </c>
      <c r="AB57" s="112">
        <v>160</v>
      </c>
      <c r="AC57" s="147">
        <v>8157.0178304999999</v>
      </c>
    </row>
    <row r="58" spans="23:29">
      <c r="W58" s="111">
        <v>38</v>
      </c>
      <c r="X58" s="112">
        <v>910</v>
      </c>
      <c r="Y58" s="113">
        <v>3545</v>
      </c>
      <c r="Z58" s="113">
        <v>4455</v>
      </c>
      <c r="AA58" s="112">
        <v>446</v>
      </c>
      <c r="AB58" s="112">
        <v>160</v>
      </c>
      <c r="AC58" s="147">
        <v>8338.2848933999994</v>
      </c>
    </row>
    <row r="59" spans="23:29">
      <c r="W59" s="111">
        <v>39</v>
      </c>
      <c r="X59" s="112">
        <v>910</v>
      </c>
      <c r="Y59" s="113">
        <v>3638</v>
      </c>
      <c r="Z59" s="113">
        <v>4548</v>
      </c>
      <c r="AA59" s="112">
        <v>455</v>
      </c>
      <c r="AB59" s="112">
        <v>160</v>
      </c>
      <c r="AC59" s="147">
        <v>8503.0731324000008</v>
      </c>
    </row>
    <row r="60" spans="23:29">
      <c r="W60" s="111">
        <v>40</v>
      </c>
      <c r="X60" s="112">
        <v>910</v>
      </c>
      <c r="Y60" s="113">
        <v>3732</v>
      </c>
      <c r="Z60" s="113">
        <v>4642</v>
      </c>
      <c r="AA60" s="112">
        <v>464</v>
      </c>
      <c r="AB60" s="112">
        <v>170</v>
      </c>
      <c r="AC60" s="147">
        <v>8684.3401953000011</v>
      </c>
    </row>
    <row r="61" spans="23:29">
      <c r="W61" s="111">
        <v>41</v>
      </c>
      <c r="X61" s="112">
        <v>910</v>
      </c>
      <c r="Y61" s="113">
        <v>3825</v>
      </c>
      <c r="Z61" s="113">
        <v>4735</v>
      </c>
      <c r="AA61" s="112">
        <v>474</v>
      </c>
      <c r="AB61" s="112">
        <v>170</v>
      </c>
      <c r="AC61" s="147">
        <v>8849.1284343000007</v>
      </c>
    </row>
    <row r="62" spans="23:29">
      <c r="W62" s="111">
        <v>42</v>
      </c>
      <c r="X62" s="112">
        <v>910</v>
      </c>
      <c r="Y62" s="113">
        <v>3918</v>
      </c>
      <c r="Z62" s="113">
        <v>4828</v>
      </c>
      <c r="AA62" s="112">
        <v>483</v>
      </c>
      <c r="AB62" s="112">
        <v>170</v>
      </c>
      <c r="AC62" s="147">
        <v>9030.3954971999992</v>
      </c>
    </row>
    <row r="63" spans="23:29">
      <c r="W63" s="111">
        <v>43</v>
      </c>
      <c r="X63" s="112">
        <v>910</v>
      </c>
      <c r="Y63" s="113">
        <v>4011</v>
      </c>
      <c r="Z63" s="113">
        <v>4921</v>
      </c>
      <c r="AA63" s="112">
        <v>492</v>
      </c>
      <c r="AB63" s="112">
        <v>180</v>
      </c>
      <c r="AC63" s="147">
        <v>9211.6625601000014</v>
      </c>
    </row>
    <row r="64" spans="23:29">
      <c r="W64" s="111">
        <v>44</v>
      </c>
      <c r="X64" s="112">
        <v>910</v>
      </c>
      <c r="Y64" s="113">
        <v>4105</v>
      </c>
      <c r="Z64" s="113">
        <v>5015</v>
      </c>
      <c r="AA64" s="112">
        <v>502</v>
      </c>
      <c r="AB64" s="112">
        <v>180</v>
      </c>
      <c r="AC64" s="147">
        <v>9376.4507991000009</v>
      </c>
    </row>
    <row r="65" spans="23:29">
      <c r="W65" s="111">
        <v>45</v>
      </c>
      <c r="X65" s="112">
        <v>910</v>
      </c>
      <c r="Y65" s="113">
        <v>4198</v>
      </c>
      <c r="Z65" s="113">
        <v>5108</v>
      </c>
      <c r="AA65" s="112">
        <v>511</v>
      </c>
      <c r="AB65" s="112">
        <v>180</v>
      </c>
      <c r="AC65" s="147">
        <v>9541.2390381000005</v>
      </c>
    </row>
    <row r="66" spans="23:29">
      <c r="W66" s="111">
        <v>46</v>
      </c>
      <c r="X66" s="112">
        <v>910</v>
      </c>
      <c r="Y66" s="113">
        <v>4291</v>
      </c>
      <c r="Z66" s="113">
        <v>5201</v>
      </c>
      <c r="AA66" s="112">
        <v>520</v>
      </c>
      <c r="AB66" s="112">
        <v>190</v>
      </c>
      <c r="AC66" s="147">
        <v>9738.9849249000017</v>
      </c>
    </row>
    <row r="67" spans="23:29">
      <c r="W67" s="111">
        <v>47</v>
      </c>
      <c r="X67" s="112">
        <v>910</v>
      </c>
      <c r="Y67" s="113">
        <v>4385</v>
      </c>
      <c r="Z67" s="113">
        <v>5295</v>
      </c>
      <c r="AA67" s="112">
        <v>530</v>
      </c>
      <c r="AB67" s="112">
        <v>190</v>
      </c>
      <c r="AC67" s="147">
        <v>9903.7731639000012</v>
      </c>
    </row>
    <row r="68" spans="23:29">
      <c r="W68" s="111">
        <v>48</v>
      </c>
      <c r="X68" s="112">
        <v>910</v>
      </c>
      <c r="Y68" s="113">
        <v>4478</v>
      </c>
      <c r="Z68" s="113">
        <v>5388</v>
      </c>
      <c r="AA68" s="112">
        <v>539</v>
      </c>
      <c r="AB68" s="112">
        <v>190</v>
      </c>
      <c r="AC68" s="147">
        <v>10068.561402900001</v>
      </c>
    </row>
    <row r="69" spans="23:29">
      <c r="W69" s="111">
        <v>49</v>
      </c>
      <c r="X69" s="112">
        <v>910</v>
      </c>
      <c r="Y69" s="113">
        <v>4571</v>
      </c>
      <c r="Z69" s="113">
        <v>5481</v>
      </c>
      <c r="AA69" s="112">
        <v>548</v>
      </c>
      <c r="AB69" s="112">
        <v>200</v>
      </c>
      <c r="AC69" s="147">
        <v>10249.828465800001</v>
      </c>
    </row>
    <row r="70" spans="23:29">
      <c r="W70" s="111">
        <v>50</v>
      </c>
      <c r="X70" s="112">
        <v>910</v>
      </c>
      <c r="Y70" s="113">
        <v>4665</v>
      </c>
      <c r="Z70" s="113">
        <v>5575</v>
      </c>
      <c r="AA70" s="112">
        <v>558</v>
      </c>
      <c r="AB70" s="112">
        <v>200</v>
      </c>
      <c r="AC70" s="147">
        <v>10431.0955287</v>
      </c>
    </row>
    <row r="71" spans="23:29">
      <c r="W71" s="111">
        <v>51</v>
      </c>
      <c r="X71" s="112">
        <v>910</v>
      </c>
      <c r="Y71" s="113">
        <v>4758</v>
      </c>
      <c r="Z71" s="113">
        <v>5668</v>
      </c>
      <c r="AA71" s="112">
        <v>567</v>
      </c>
      <c r="AB71" s="112">
        <v>200</v>
      </c>
      <c r="AC71" s="147">
        <v>10595.883767700003</v>
      </c>
    </row>
    <row r="72" spans="23:29">
      <c r="W72" s="111">
        <v>52</v>
      </c>
      <c r="X72" s="112">
        <v>910</v>
      </c>
      <c r="Y72" s="113">
        <v>4851</v>
      </c>
      <c r="Z72" s="113">
        <v>5761</v>
      </c>
      <c r="AA72" s="112">
        <v>576</v>
      </c>
      <c r="AB72" s="112">
        <v>210</v>
      </c>
      <c r="AC72" s="147">
        <v>10777.1508306</v>
      </c>
    </row>
    <row r="73" spans="23:29">
      <c r="W73" s="111">
        <v>53</v>
      </c>
      <c r="X73" s="112">
        <v>910</v>
      </c>
      <c r="Y73" s="113">
        <v>4944</v>
      </c>
      <c r="Z73" s="113">
        <v>5854</v>
      </c>
      <c r="AA73" s="112">
        <v>585</v>
      </c>
      <c r="AB73" s="112">
        <v>210</v>
      </c>
      <c r="AC73" s="147">
        <v>10941.939069600001</v>
      </c>
    </row>
    <row r="74" spans="23:29">
      <c r="W74" s="111">
        <v>54</v>
      </c>
      <c r="X74" s="112">
        <v>910</v>
      </c>
      <c r="Y74" s="113">
        <v>5038</v>
      </c>
      <c r="Z74" s="113">
        <v>5948</v>
      </c>
      <c r="AA74" s="112">
        <v>595</v>
      </c>
      <c r="AB74" s="112">
        <v>220</v>
      </c>
      <c r="AC74" s="147">
        <v>11139.684956400002</v>
      </c>
    </row>
    <row r="75" spans="23:29">
      <c r="W75" s="111">
        <v>55</v>
      </c>
      <c r="X75" s="112">
        <v>910</v>
      </c>
      <c r="Y75" s="113">
        <v>5131</v>
      </c>
      <c r="Z75" s="113">
        <v>6041</v>
      </c>
      <c r="AA75" s="112">
        <v>604</v>
      </c>
      <c r="AB75" s="112">
        <v>220</v>
      </c>
      <c r="AC75" s="147">
        <v>11304.4731954</v>
      </c>
    </row>
    <row r="76" spans="23:29">
      <c r="W76" s="111">
        <v>56</v>
      </c>
      <c r="X76" s="112">
        <v>910</v>
      </c>
      <c r="Y76" s="113">
        <v>5224</v>
      </c>
      <c r="Z76" s="113">
        <v>6134</v>
      </c>
      <c r="AA76" s="112">
        <v>613</v>
      </c>
      <c r="AB76" s="112">
        <v>220</v>
      </c>
      <c r="AC76" s="147">
        <v>11469.261434400001</v>
      </c>
    </row>
    <row r="77" spans="23:29">
      <c r="W77" s="111">
        <v>57</v>
      </c>
      <c r="X77" s="112">
        <v>910</v>
      </c>
      <c r="Y77" s="113">
        <v>5318</v>
      </c>
      <c r="Z77" s="113">
        <v>6228</v>
      </c>
      <c r="AA77" s="112">
        <v>623</v>
      </c>
      <c r="AB77" s="112">
        <v>230</v>
      </c>
      <c r="AC77" s="147">
        <v>11667.007321200001</v>
      </c>
    </row>
    <row r="78" spans="23:29">
      <c r="W78" s="111">
        <v>58</v>
      </c>
      <c r="X78" s="112">
        <v>910</v>
      </c>
      <c r="Y78" s="113">
        <v>5411</v>
      </c>
      <c r="Z78" s="113">
        <v>6321</v>
      </c>
      <c r="AA78" s="112">
        <v>632</v>
      </c>
      <c r="AB78" s="112">
        <v>230</v>
      </c>
      <c r="AC78" s="147">
        <v>11831.795560200002</v>
      </c>
    </row>
    <row r="79" spans="23:29">
      <c r="W79" s="111">
        <v>59</v>
      </c>
      <c r="X79" s="112">
        <v>910</v>
      </c>
      <c r="Y79" s="113">
        <v>5504</v>
      </c>
      <c r="Z79" s="113">
        <v>6414</v>
      </c>
      <c r="AA79" s="112">
        <v>641</v>
      </c>
      <c r="AB79" s="112">
        <v>230</v>
      </c>
      <c r="AC79" s="147">
        <v>11996.5837992</v>
      </c>
    </row>
    <row r="80" spans="23:29">
      <c r="W80" s="111">
        <v>60</v>
      </c>
      <c r="X80" s="112">
        <v>910</v>
      </c>
      <c r="Y80" s="113">
        <v>5598</v>
      </c>
      <c r="Z80" s="113">
        <v>6508</v>
      </c>
      <c r="AA80" s="112">
        <v>651</v>
      </c>
      <c r="AB80" s="112">
        <v>240</v>
      </c>
      <c r="AC80" s="147">
        <v>12177.850862100002</v>
      </c>
    </row>
    <row r="81" spans="23:29">
      <c r="W81" s="111">
        <v>61</v>
      </c>
      <c r="X81" s="112">
        <v>910</v>
      </c>
      <c r="Y81" s="113">
        <v>5691</v>
      </c>
      <c r="Z81" s="113">
        <v>6601</v>
      </c>
      <c r="AA81" s="112">
        <v>660</v>
      </c>
      <c r="AB81" s="112">
        <v>240</v>
      </c>
      <c r="AC81" s="147">
        <v>12359.117925</v>
      </c>
    </row>
    <row r="82" spans="23:29">
      <c r="W82" s="111">
        <v>62</v>
      </c>
      <c r="X82" s="112">
        <v>910</v>
      </c>
      <c r="Y82" s="113">
        <v>5784</v>
      </c>
      <c r="Z82" s="113">
        <v>6694</v>
      </c>
      <c r="AA82" s="112">
        <v>669</v>
      </c>
      <c r="AB82" s="112">
        <v>240</v>
      </c>
      <c r="AC82" s="147">
        <v>12523.906163999998</v>
      </c>
    </row>
    <row r="83" spans="23:29">
      <c r="W83" s="111">
        <v>63</v>
      </c>
      <c r="X83" s="112">
        <v>910</v>
      </c>
      <c r="Y83" s="113">
        <v>5877</v>
      </c>
      <c r="Z83" s="113">
        <v>6787</v>
      </c>
      <c r="AA83" s="112">
        <v>679</v>
      </c>
      <c r="AB83" s="112">
        <v>250</v>
      </c>
      <c r="AC83" s="147">
        <v>12705.173226899999</v>
      </c>
    </row>
    <row r="84" spans="23:29">
      <c r="W84" s="111">
        <v>64</v>
      </c>
      <c r="X84" s="112">
        <v>910</v>
      </c>
      <c r="Y84" s="113">
        <v>5971</v>
      </c>
      <c r="Z84" s="113">
        <v>6881</v>
      </c>
      <c r="AA84" s="112">
        <v>688</v>
      </c>
      <c r="AB84" s="112">
        <v>250</v>
      </c>
      <c r="AC84" s="147">
        <v>12869.9614659</v>
      </c>
    </row>
    <row r="85" spans="23:29">
      <c r="W85" s="111">
        <v>65</v>
      </c>
      <c r="X85" s="112">
        <v>910</v>
      </c>
      <c r="Y85" s="113">
        <v>6064</v>
      </c>
      <c r="Z85" s="113">
        <v>6974</v>
      </c>
      <c r="AA85" s="112">
        <v>697</v>
      </c>
      <c r="AB85" s="112">
        <v>250</v>
      </c>
      <c r="AC85" s="147">
        <v>13051.2285288</v>
      </c>
    </row>
    <row r="86" spans="23:29">
      <c r="W86" s="111">
        <v>66</v>
      </c>
      <c r="X86" s="112">
        <v>910</v>
      </c>
      <c r="Y86" s="113">
        <v>6157</v>
      </c>
      <c r="Z86" s="113">
        <v>7067</v>
      </c>
      <c r="AA86" s="112">
        <v>707</v>
      </c>
      <c r="AB86" s="112">
        <v>260</v>
      </c>
      <c r="AC86" s="147">
        <v>13232.495591699999</v>
      </c>
    </row>
    <row r="87" spans="23:29">
      <c r="W87" s="111">
        <v>67</v>
      </c>
      <c r="X87" s="112">
        <v>910</v>
      </c>
      <c r="Y87" s="113">
        <v>6251</v>
      </c>
      <c r="Z87" s="113">
        <v>7161</v>
      </c>
      <c r="AA87" s="112">
        <v>716</v>
      </c>
      <c r="AB87" s="112">
        <v>260</v>
      </c>
      <c r="AC87" s="147">
        <v>13397.2838307</v>
      </c>
    </row>
    <row r="88" spans="23:29">
      <c r="W88" s="111">
        <v>68</v>
      </c>
      <c r="X88" s="112">
        <v>910</v>
      </c>
      <c r="Y88" s="113">
        <v>6344</v>
      </c>
      <c r="Z88" s="113">
        <v>7254</v>
      </c>
      <c r="AA88" s="112">
        <v>725</v>
      </c>
      <c r="AB88" s="112">
        <v>260</v>
      </c>
      <c r="AC88" s="147">
        <v>13562.072069699998</v>
      </c>
    </row>
    <row r="89" spans="23:29">
      <c r="W89" s="111">
        <v>69</v>
      </c>
      <c r="X89" s="112">
        <v>910</v>
      </c>
      <c r="Y89" s="113">
        <v>6437</v>
      </c>
      <c r="Z89" s="113">
        <v>7347</v>
      </c>
      <c r="AA89" s="112">
        <v>735</v>
      </c>
      <c r="AB89" s="112">
        <v>270</v>
      </c>
      <c r="AC89" s="147">
        <v>13759.817956499999</v>
      </c>
    </row>
    <row r="90" spans="23:29">
      <c r="W90" s="111">
        <v>70</v>
      </c>
      <c r="X90" s="112">
        <v>910</v>
      </c>
      <c r="Y90" s="113">
        <v>6531</v>
      </c>
      <c r="Z90" s="113">
        <v>7441</v>
      </c>
      <c r="AA90" s="112">
        <v>744</v>
      </c>
      <c r="AB90" s="112">
        <v>270</v>
      </c>
      <c r="AC90" s="147">
        <v>13924.606195499997</v>
      </c>
    </row>
    <row r="91" spans="23:29">
      <c r="W91" s="111">
        <v>71</v>
      </c>
      <c r="X91" s="112">
        <v>910</v>
      </c>
      <c r="Y91" s="113">
        <v>6624</v>
      </c>
      <c r="Z91" s="113">
        <v>7534</v>
      </c>
      <c r="AA91" s="112">
        <v>753</v>
      </c>
      <c r="AB91" s="112">
        <v>270</v>
      </c>
      <c r="AC91" s="147">
        <v>14089.3944345</v>
      </c>
    </row>
    <row r="92" spans="23:29">
      <c r="W92" s="111">
        <v>72</v>
      </c>
      <c r="X92" s="112">
        <v>910</v>
      </c>
      <c r="Y92" s="113">
        <v>6717</v>
      </c>
      <c r="Z92" s="113">
        <v>7627</v>
      </c>
      <c r="AA92" s="112">
        <v>763</v>
      </c>
      <c r="AB92" s="112">
        <v>280</v>
      </c>
      <c r="AC92" s="147">
        <v>14287.140321299999</v>
      </c>
    </row>
    <row r="93" spans="23:29">
      <c r="W93" s="111">
        <v>73</v>
      </c>
      <c r="X93" s="112">
        <v>910</v>
      </c>
      <c r="Y93" s="113">
        <v>6810</v>
      </c>
      <c r="Z93" s="113">
        <v>7720</v>
      </c>
      <c r="AA93" s="112">
        <v>772</v>
      </c>
      <c r="AB93" s="112">
        <v>280</v>
      </c>
      <c r="AC93" s="147">
        <v>14451.928560299999</v>
      </c>
    </row>
    <row r="94" spans="23:29">
      <c r="W94" s="111">
        <v>74</v>
      </c>
      <c r="X94" s="112">
        <v>910</v>
      </c>
      <c r="Y94" s="113">
        <v>6904</v>
      </c>
      <c r="Z94" s="113">
        <v>7814</v>
      </c>
      <c r="AA94" s="112">
        <v>781</v>
      </c>
      <c r="AB94" s="112">
        <v>280</v>
      </c>
      <c r="AC94" s="147">
        <v>14616.716799299998</v>
      </c>
    </row>
    <row r="95" spans="23:29">
      <c r="W95" s="111">
        <v>75</v>
      </c>
      <c r="X95" s="112">
        <v>910</v>
      </c>
      <c r="Y95" s="113">
        <v>6997</v>
      </c>
      <c r="Z95" s="113">
        <v>7907</v>
      </c>
      <c r="AA95" s="112">
        <v>791</v>
      </c>
      <c r="AB95" s="112">
        <v>290</v>
      </c>
      <c r="AC95" s="147">
        <v>14797.983862199999</v>
      </c>
    </row>
    <row r="96" spans="23:29">
      <c r="W96" s="111">
        <v>76</v>
      </c>
      <c r="X96" s="112">
        <v>910</v>
      </c>
      <c r="Y96" s="113">
        <v>7090</v>
      </c>
      <c r="Z96" s="113">
        <v>8000</v>
      </c>
      <c r="AA96" s="112">
        <v>800</v>
      </c>
      <c r="AB96" s="112">
        <v>290</v>
      </c>
      <c r="AC96" s="147">
        <v>14979.250925099999</v>
      </c>
    </row>
    <row r="97" spans="23:29">
      <c r="W97" s="111">
        <v>77</v>
      </c>
      <c r="X97" s="112">
        <v>910</v>
      </c>
      <c r="Y97" s="113">
        <v>7184</v>
      </c>
      <c r="Z97" s="113">
        <v>8094</v>
      </c>
      <c r="AA97" s="112">
        <v>809</v>
      </c>
      <c r="AB97" s="112">
        <v>290</v>
      </c>
      <c r="AC97" s="147">
        <v>15144.039164099999</v>
      </c>
    </row>
    <row r="98" spans="23:29">
      <c r="W98" s="111">
        <v>78</v>
      </c>
      <c r="X98" s="112">
        <v>910</v>
      </c>
      <c r="Y98" s="113">
        <v>7277</v>
      </c>
      <c r="Z98" s="113">
        <v>8187</v>
      </c>
      <c r="AA98" s="112">
        <v>819</v>
      </c>
      <c r="AB98" s="112">
        <v>300</v>
      </c>
      <c r="AC98" s="147">
        <v>15325.306227000001</v>
      </c>
    </row>
    <row r="99" spans="23:29">
      <c r="W99" s="111">
        <v>79</v>
      </c>
      <c r="X99" s="112">
        <v>910</v>
      </c>
      <c r="Y99" s="113">
        <v>7370</v>
      </c>
      <c r="Z99" s="113">
        <v>8280</v>
      </c>
      <c r="AA99" s="112">
        <v>828</v>
      </c>
      <c r="AB99" s="112">
        <v>300</v>
      </c>
      <c r="AC99" s="147">
        <v>15490.094465999999</v>
      </c>
    </row>
    <row r="100" spans="23:29">
      <c r="W100" s="111">
        <v>80</v>
      </c>
      <c r="X100" s="112">
        <v>910</v>
      </c>
      <c r="Y100" s="113">
        <v>7464</v>
      </c>
      <c r="Z100" s="113">
        <v>8374</v>
      </c>
      <c r="AA100" s="112">
        <v>837</v>
      </c>
      <c r="AB100" s="112">
        <v>300</v>
      </c>
      <c r="AC100" s="147">
        <v>15671.361528899999</v>
      </c>
    </row>
    <row r="101" spans="23:29">
      <c r="W101" s="111">
        <v>81</v>
      </c>
      <c r="X101" s="112">
        <v>910</v>
      </c>
      <c r="Y101" s="113">
        <v>7557</v>
      </c>
      <c r="Z101" s="113">
        <v>8467</v>
      </c>
      <c r="AA101" s="112">
        <v>847</v>
      </c>
      <c r="AB101" s="112">
        <v>310</v>
      </c>
      <c r="AC101" s="147">
        <v>15852.628591800001</v>
      </c>
    </row>
    <row r="102" spans="23:29">
      <c r="W102" s="111">
        <v>82</v>
      </c>
      <c r="X102" s="112">
        <v>910</v>
      </c>
      <c r="Y102" s="113">
        <v>7650</v>
      </c>
      <c r="Z102" s="113">
        <v>8560</v>
      </c>
      <c r="AA102" s="112">
        <v>856</v>
      </c>
      <c r="AB102" s="112">
        <v>310</v>
      </c>
      <c r="AC102" s="147">
        <v>16017.416830799999</v>
      </c>
    </row>
    <row r="103" spans="23:29">
      <c r="W103" s="111">
        <v>83</v>
      </c>
      <c r="X103" s="112">
        <v>910</v>
      </c>
      <c r="Y103" s="113">
        <v>7743</v>
      </c>
      <c r="Z103" s="113">
        <v>8653</v>
      </c>
      <c r="AA103" s="112">
        <v>865</v>
      </c>
      <c r="AB103" s="112">
        <v>320</v>
      </c>
      <c r="AC103" s="147">
        <v>16198.683893699999</v>
      </c>
    </row>
    <row r="104" spans="23:29">
      <c r="W104" s="111">
        <v>84</v>
      </c>
      <c r="X104" s="112">
        <v>910</v>
      </c>
      <c r="Y104" s="113">
        <v>7837</v>
      </c>
      <c r="Z104" s="113">
        <v>8747</v>
      </c>
      <c r="AA104" s="112">
        <v>875</v>
      </c>
      <c r="AB104" s="112">
        <v>320</v>
      </c>
      <c r="AC104" s="147">
        <v>16379.9509566</v>
      </c>
    </row>
    <row r="105" spans="23:29">
      <c r="W105" s="111">
        <v>85</v>
      </c>
      <c r="X105" s="112">
        <v>910</v>
      </c>
      <c r="Y105" s="113">
        <v>7930</v>
      </c>
      <c r="Z105" s="113">
        <v>8840</v>
      </c>
      <c r="AA105" s="112">
        <v>884</v>
      </c>
      <c r="AB105" s="112">
        <v>320</v>
      </c>
      <c r="AC105" s="147">
        <v>16544.739195599999</v>
      </c>
    </row>
    <row r="106" spans="23:29">
      <c r="W106" s="111">
        <v>86</v>
      </c>
      <c r="X106" s="112">
        <v>910</v>
      </c>
      <c r="Y106" s="113">
        <v>8023</v>
      </c>
      <c r="Z106" s="113">
        <v>8933</v>
      </c>
      <c r="AA106" s="112">
        <v>893</v>
      </c>
      <c r="AB106" s="112">
        <v>330</v>
      </c>
      <c r="AC106" s="147">
        <v>16726.006258500001</v>
      </c>
    </row>
    <row r="107" spans="23:29">
      <c r="W107" s="111">
        <v>87</v>
      </c>
      <c r="X107" s="112">
        <v>910</v>
      </c>
      <c r="Y107" s="113">
        <v>8117</v>
      </c>
      <c r="Z107" s="113">
        <v>9027</v>
      </c>
      <c r="AA107" s="112">
        <v>903</v>
      </c>
      <c r="AB107" s="112">
        <v>330</v>
      </c>
      <c r="AC107" s="147">
        <v>16907.273321400004</v>
      </c>
    </row>
    <row r="108" spans="23:29">
      <c r="W108" s="111">
        <v>88</v>
      </c>
      <c r="X108" s="112">
        <v>910</v>
      </c>
      <c r="Y108" s="113">
        <v>8210</v>
      </c>
      <c r="Z108" s="113">
        <v>9120</v>
      </c>
      <c r="AA108" s="112">
        <v>912</v>
      </c>
      <c r="AB108" s="112">
        <v>330</v>
      </c>
      <c r="AC108" s="147">
        <v>17072.061560400001</v>
      </c>
    </row>
    <row r="109" spans="23:29">
      <c r="W109" s="111">
        <v>89</v>
      </c>
      <c r="X109" s="112">
        <v>910</v>
      </c>
      <c r="Y109" s="113">
        <v>8303</v>
      </c>
      <c r="Z109" s="113">
        <v>9213</v>
      </c>
      <c r="AA109" s="112">
        <v>921</v>
      </c>
      <c r="AB109" s="112">
        <v>340</v>
      </c>
      <c r="AC109" s="147">
        <v>17253.328623300004</v>
      </c>
    </row>
    <row r="110" spans="23:29">
      <c r="W110" s="111">
        <v>90</v>
      </c>
      <c r="X110" s="112">
        <v>910</v>
      </c>
      <c r="Y110" s="113">
        <v>8397</v>
      </c>
      <c r="Z110" s="113">
        <v>9307</v>
      </c>
      <c r="AA110" s="112">
        <v>931</v>
      </c>
      <c r="AB110" s="112">
        <v>340</v>
      </c>
      <c r="AC110" s="147">
        <v>17418.116862300005</v>
      </c>
    </row>
    <row r="111" spans="23:29">
      <c r="W111" s="111">
        <v>91</v>
      </c>
      <c r="X111" s="112">
        <v>910</v>
      </c>
      <c r="Y111" s="113">
        <v>8490</v>
      </c>
      <c r="Z111" s="113">
        <v>9400</v>
      </c>
      <c r="AA111" s="112">
        <v>940</v>
      </c>
      <c r="AB111" s="112">
        <v>340</v>
      </c>
      <c r="AC111" s="147">
        <v>17599.3839252</v>
      </c>
    </row>
    <row r="112" spans="23:29">
      <c r="W112" s="111">
        <v>92</v>
      </c>
      <c r="X112" s="112">
        <v>910</v>
      </c>
      <c r="Y112" s="113">
        <v>8583</v>
      </c>
      <c r="Z112" s="113">
        <v>9493</v>
      </c>
      <c r="AA112" s="112">
        <v>949</v>
      </c>
      <c r="AB112" s="112">
        <v>350</v>
      </c>
      <c r="AC112" s="147">
        <v>17780.650988100002</v>
      </c>
    </row>
    <row r="113" spans="23:29">
      <c r="W113" s="111">
        <v>93</v>
      </c>
      <c r="X113" s="112">
        <v>910</v>
      </c>
      <c r="Y113" s="113">
        <v>8676</v>
      </c>
      <c r="Z113" s="113">
        <v>9586</v>
      </c>
      <c r="AA113" s="112">
        <v>959</v>
      </c>
      <c r="AB113" s="112">
        <v>350</v>
      </c>
      <c r="AC113" s="147">
        <v>17945.4392271</v>
      </c>
    </row>
    <row r="114" spans="23:29">
      <c r="W114" s="111">
        <v>94</v>
      </c>
      <c r="X114" s="112">
        <v>910</v>
      </c>
      <c r="Y114" s="113">
        <v>8770</v>
      </c>
      <c r="Z114" s="113">
        <v>9680</v>
      </c>
      <c r="AA114" s="112">
        <v>968</v>
      </c>
      <c r="AB114" s="112">
        <v>350</v>
      </c>
      <c r="AC114" s="147">
        <v>18110.227466100001</v>
      </c>
    </row>
    <row r="115" spans="23:29">
      <c r="W115" s="111">
        <v>95</v>
      </c>
      <c r="X115" s="112">
        <v>910</v>
      </c>
      <c r="Y115" s="113">
        <v>8863</v>
      </c>
      <c r="Z115" s="113">
        <v>9773</v>
      </c>
      <c r="AA115" s="112">
        <v>977</v>
      </c>
      <c r="AB115" s="112">
        <v>360</v>
      </c>
      <c r="AC115" s="147">
        <v>18307.9733529</v>
      </c>
    </row>
    <row r="116" spans="23:29">
      <c r="W116" s="111">
        <v>96</v>
      </c>
      <c r="X116" s="112">
        <v>910</v>
      </c>
      <c r="Y116" s="113">
        <v>8956</v>
      </c>
      <c r="Z116" s="113">
        <v>9866</v>
      </c>
      <c r="AA116" s="112">
        <v>987</v>
      </c>
      <c r="AB116" s="112">
        <v>360</v>
      </c>
      <c r="AC116" s="147">
        <v>18472.761591900002</v>
      </c>
    </row>
    <row r="117" spans="23:29">
      <c r="W117" s="111">
        <v>97</v>
      </c>
      <c r="X117" s="112">
        <v>910</v>
      </c>
      <c r="Y117" s="113">
        <v>9050</v>
      </c>
      <c r="Z117" s="113">
        <v>9960</v>
      </c>
      <c r="AA117" s="112">
        <v>996</v>
      </c>
      <c r="AB117" s="112">
        <v>360</v>
      </c>
      <c r="AC117" s="147">
        <v>18637.549830900003</v>
      </c>
    </row>
    <row r="118" spans="23:29">
      <c r="W118" s="111">
        <v>98</v>
      </c>
      <c r="X118" s="112">
        <v>910</v>
      </c>
      <c r="Y118" s="113">
        <v>9143</v>
      </c>
      <c r="Z118" s="113">
        <v>10053</v>
      </c>
      <c r="AA118" s="112">
        <v>1005</v>
      </c>
      <c r="AB118" s="112">
        <v>370</v>
      </c>
      <c r="AC118" s="147">
        <v>18818.816893800002</v>
      </c>
    </row>
    <row r="119" spans="23:29">
      <c r="W119" s="111">
        <v>99</v>
      </c>
      <c r="X119" s="112">
        <v>910</v>
      </c>
      <c r="Y119" s="113">
        <v>9236</v>
      </c>
      <c r="Z119" s="113">
        <v>10146</v>
      </c>
      <c r="AA119" s="112">
        <v>1015</v>
      </c>
      <c r="AB119" s="112">
        <v>370</v>
      </c>
      <c r="AC119" s="147">
        <v>19000.0839567</v>
      </c>
    </row>
    <row r="120" spans="23:29">
      <c r="W120" s="111">
        <v>100</v>
      </c>
      <c r="X120" s="112">
        <v>910</v>
      </c>
      <c r="Y120" s="113">
        <v>9330</v>
      </c>
      <c r="Z120" s="113">
        <v>10240</v>
      </c>
      <c r="AA120" s="112">
        <v>1024</v>
      </c>
      <c r="AB120" s="112">
        <v>370</v>
      </c>
      <c r="AC120" s="147">
        <v>19164.872195700002</v>
      </c>
    </row>
    <row r="121" spans="23:29">
      <c r="W121" s="111">
        <v>101</v>
      </c>
      <c r="X121" s="112">
        <v>910</v>
      </c>
      <c r="Y121" s="113">
        <v>9423</v>
      </c>
      <c r="Z121" s="113">
        <v>10333</v>
      </c>
      <c r="AA121" s="112">
        <v>1033</v>
      </c>
      <c r="AB121" s="112">
        <v>380</v>
      </c>
      <c r="AC121" s="147">
        <v>19346.1392586</v>
      </c>
    </row>
    <row r="122" spans="23:29">
      <c r="W122" s="111">
        <v>102</v>
      </c>
      <c r="X122" s="112">
        <v>910</v>
      </c>
      <c r="Y122" s="113">
        <v>9516</v>
      </c>
      <c r="Z122" s="113">
        <v>10426</v>
      </c>
      <c r="AA122" s="112">
        <v>1043</v>
      </c>
      <c r="AB122" s="112">
        <v>380</v>
      </c>
      <c r="AC122" s="147">
        <v>19510.927497600005</v>
      </c>
    </row>
    <row r="123" spans="23:29">
      <c r="W123" s="111">
        <v>103</v>
      </c>
      <c r="X123" s="112">
        <v>910</v>
      </c>
      <c r="Y123" s="113">
        <v>9609</v>
      </c>
      <c r="Z123" s="113">
        <v>10519</v>
      </c>
      <c r="AA123" s="112">
        <v>1052</v>
      </c>
      <c r="AB123" s="112">
        <v>380</v>
      </c>
      <c r="AC123" s="147">
        <v>19692.194560500004</v>
      </c>
    </row>
    <row r="124" spans="23:29">
      <c r="W124" s="111">
        <v>104</v>
      </c>
      <c r="X124" s="112">
        <v>910</v>
      </c>
      <c r="Y124" s="113">
        <v>9703</v>
      </c>
      <c r="Z124" s="113">
        <v>10613</v>
      </c>
      <c r="AA124" s="112">
        <v>1061</v>
      </c>
      <c r="AB124" s="112">
        <v>390</v>
      </c>
      <c r="AC124" s="147">
        <v>19873.461623399999</v>
      </c>
    </row>
    <row r="125" spans="23:29">
      <c r="W125" s="111">
        <v>105</v>
      </c>
      <c r="X125" s="112">
        <v>910</v>
      </c>
      <c r="Y125" s="113">
        <v>9796</v>
      </c>
      <c r="Z125" s="113">
        <v>10706</v>
      </c>
      <c r="AA125" s="112">
        <v>1071</v>
      </c>
      <c r="AB125" s="112">
        <v>390</v>
      </c>
      <c r="AC125" s="147">
        <v>20038.2498624</v>
      </c>
    </row>
    <row r="126" spans="23:29">
      <c r="W126" s="111">
        <v>106</v>
      </c>
      <c r="X126" s="112">
        <v>910</v>
      </c>
      <c r="Y126" s="113">
        <v>9889</v>
      </c>
      <c r="Z126" s="113">
        <v>10799</v>
      </c>
      <c r="AA126" s="112">
        <v>1080</v>
      </c>
      <c r="AB126" s="112">
        <v>390</v>
      </c>
      <c r="AC126" s="147">
        <v>20203.038101400001</v>
      </c>
    </row>
    <row r="127" spans="23:29">
      <c r="W127" s="111">
        <v>107</v>
      </c>
      <c r="X127" s="112">
        <v>910</v>
      </c>
      <c r="Y127" s="113">
        <v>9983</v>
      </c>
      <c r="Z127" s="113">
        <v>10893</v>
      </c>
      <c r="AA127" s="112">
        <v>1089</v>
      </c>
      <c r="AB127" s="112">
        <v>400</v>
      </c>
      <c r="AC127" s="147">
        <v>20400.783988200001</v>
      </c>
    </row>
    <row r="128" spans="23:29">
      <c r="W128" s="111">
        <v>108</v>
      </c>
      <c r="X128" s="112">
        <v>910</v>
      </c>
      <c r="Y128" s="113">
        <v>10076</v>
      </c>
      <c r="Z128" s="113">
        <v>10986</v>
      </c>
      <c r="AA128" s="112">
        <v>1099</v>
      </c>
      <c r="AB128" s="112">
        <v>400</v>
      </c>
      <c r="AC128" s="147">
        <v>20565.572227200002</v>
      </c>
    </row>
    <row r="129" spans="23:29">
      <c r="W129" s="111">
        <v>109</v>
      </c>
      <c r="X129" s="112">
        <v>910</v>
      </c>
      <c r="Y129" s="113">
        <v>10169</v>
      </c>
      <c r="Z129" s="113">
        <v>11079</v>
      </c>
      <c r="AA129" s="112">
        <v>1108</v>
      </c>
      <c r="AB129" s="112">
        <v>400</v>
      </c>
      <c r="AC129" s="147">
        <v>20730.360466200003</v>
      </c>
    </row>
    <row r="130" spans="23:29">
      <c r="W130" s="111">
        <v>110</v>
      </c>
      <c r="X130" s="112">
        <v>910</v>
      </c>
      <c r="Y130" s="113">
        <v>10263</v>
      </c>
      <c r="Z130" s="113">
        <v>11173</v>
      </c>
      <c r="AA130" s="112">
        <v>1117</v>
      </c>
      <c r="AB130" s="112">
        <v>410</v>
      </c>
      <c r="AC130" s="147">
        <v>20928.106353000003</v>
      </c>
    </row>
    <row r="131" spans="23:29">
      <c r="W131" s="111">
        <v>111</v>
      </c>
      <c r="X131" s="112">
        <v>910</v>
      </c>
      <c r="Y131" s="113">
        <v>10356</v>
      </c>
      <c r="Z131" s="113">
        <v>11266</v>
      </c>
      <c r="AA131" s="112">
        <v>1127</v>
      </c>
      <c r="AB131" s="112">
        <v>410</v>
      </c>
      <c r="AC131" s="147">
        <v>21092.894592000001</v>
      </c>
    </row>
    <row r="132" spans="23:29">
      <c r="W132" s="111">
        <v>112</v>
      </c>
      <c r="X132" s="112">
        <v>910</v>
      </c>
      <c r="Y132" s="113">
        <v>10449</v>
      </c>
      <c r="Z132" s="113">
        <v>11359</v>
      </c>
      <c r="AA132" s="112">
        <v>1136</v>
      </c>
      <c r="AB132" s="112">
        <v>420</v>
      </c>
      <c r="AC132" s="147">
        <v>23085.334209000001</v>
      </c>
    </row>
    <row r="133" spans="23:29">
      <c r="W133" s="111">
        <v>113</v>
      </c>
      <c r="X133" s="112">
        <v>910</v>
      </c>
      <c r="Y133" s="113">
        <v>10542</v>
      </c>
      <c r="Z133" s="113">
        <v>11452</v>
      </c>
      <c r="AA133" s="112">
        <v>1145</v>
      </c>
      <c r="AB133" s="112">
        <v>420</v>
      </c>
      <c r="AC133" s="147">
        <v>23235.141698999996</v>
      </c>
    </row>
    <row r="134" spans="23:29">
      <c r="W134" s="111">
        <v>114</v>
      </c>
      <c r="X134" s="112">
        <v>910</v>
      </c>
      <c r="Y134" s="113">
        <v>10636</v>
      </c>
      <c r="Z134" s="113">
        <v>11546</v>
      </c>
      <c r="AA134" s="112">
        <v>1155</v>
      </c>
      <c r="AB134" s="112">
        <v>420</v>
      </c>
      <c r="AC134" s="147">
        <v>23399.929937999994</v>
      </c>
    </row>
    <row r="135" spans="23:29">
      <c r="W135" s="111">
        <v>115</v>
      </c>
      <c r="X135" s="112">
        <v>910</v>
      </c>
      <c r="Y135" s="113">
        <v>10729</v>
      </c>
      <c r="Z135" s="113">
        <v>11639</v>
      </c>
      <c r="AA135" s="112">
        <v>1164</v>
      </c>
      <c r="AB135" s="112">
        <v>430</v>
      </c>
      <c r="AC135" s="147">
        <v>23564.718176999999</v>
      </c>
    </row>
    <row r="136" spans="23:29">
      <c r="W136" s="111">
        <v>116</v>
      </c>
      <c r="X136" s="112">
        <v>910</v>
      </c>
      <c r="Y136" s="113">
        <v>10822</v>
      </c>
      <c r="Z136" s="113">
        <v>11732</v>
      </c>
      <c r="AA136" s="112">
        <v>1173</v>
      </c>
      <c r="AB136" s="112">
        <v>430</v>
      </c>
      <c r="AC136" s="147">
        <v>23714.525666999998</v>
      </c>
    </row>
    <row r="137" spans="23:29">
      <c r="W137" s="111">
        <v>117</v>
      </c>
      <c r="X137" s="112">
        <v>910</v>
      </c>
      <c r="Y137" s="113">
        <v>10916</v>
      </c>
      <c r="Z137" s="113">
        <v>11826</v>
      </c>
      <c r="AA137" s="112">
        <v>1183</v>
      </c>
      <c r="AB137" s="112">
        <v>430</v>
      </c>
      <c r="AC137" s="147">
        <v>23864.333156999994</v>
      </c>
    </row>
    <row r="138" spans="23:29">
      <c r="W138" s="111">
        <v>118</v>
      </c>
      <c r="X138" s="112">
        <v>910</v>
      </c>
      <c r="Y138" s="113">
        <v>11009</v>
      </c>
      <c r="Z138" s="113">
        <v>11919</v>
      </c>
      <c r="AA138" s="112">
        <v>1192</v>
      </c>
      <c r="AB138" s="112">
        <v>440</v>
      </c>
      <c r="AC138" s="147">
        <v>24044.102144999997</v>
      </c>
    </row>
    <row r="139" spans="23:29">
      <c r="W139" s="111">
        <v>119</v>
      </c>
      <c r="X139" s="112">
        <v>910</v>
      </c>
      <c r="Y139" s="113">
        <v>11102</v>
      </c>
      <c r="Z139" s="113">
        <v>12012</v>
      </c>
      <c r="AA139" s="112">
        <v>1201</v>
      </c>
      <c r="AB139" s="112">
        <v>440</v>
      </c>
      <c r="AC139" s="147">
        <v>24193.909635</v>
      </c>
    </row>
    <row r="140" spans="23:29">
      <c r="W140" s="111">
        <v>120</v>
      </c>
      <c r="X140" s="112">
        <v>910</v>
      </c>
      <c r="Y140" s="113">
        <v>11196</v>
      </c>
      <c r="Z140" s="113">
        <v>12106</v>
      </c>
      <c r="AA140" s="112">
        <v>1211</v>
      </c>
      <c r="AB140" s="112">
        <v>440</v>
      </c>
      <c r="AC140" s="147">
        <v>24343.717124999999</v>
      </c>
    </row>
    <row r="141" spans="23:29">
      <c r="W141" s="111">
        <v>121</v>
      </c>
      <c r="X141" s="112">
        <v>910</v>
      </c>
      <c r="Y141" s="113">
        <v>11289</v>
      </c>
      <c r="Z141" s="113">
        <v>12199</v>
      </c>
      <c r="AA141" s="112">
        <v>1220</v>
      </c>
      <c r="AB141" s="112">
        <v>450</v>
      </c>
      <c r="AC141" s="147">
        <v>24508.505363999997</v>
      </c>
    </row>
    <row r="142" spans="23:29">
      <c r="W142" s="111">
        <v>122</v>
      </c>
      <c r="X142" s="112">
        <v>910</v>
      </c>
      <c r="Y142" s="113">
        <v>11382</v>
      </c>
      <c r="Z142" s="113">
        <v>12292</v>
      </c>
      <c r="AA142" s="112">
        <v>1229</v>
      </c>
      <c r="AB142" s="112">
        <v>450</v>
      </c>
      <c r="AC142" s="147">
        <v>24673.293603000002</v>
      </c>
    </row>
    <row r="143" spans="23:29">
      <c r="W143" s="111">
        <v>123</v>
      </c>
      <c r="X143" s="112">
        <v>910</v>
      </c>
      <c r="Y143" s="113">
        <v>11475</v>
      </c>
      <c r="Z143" s="113">
        <v>12385</v>
      </c>
      <c r="AA143" s="112">
        <v>1239</v>
      </c>
      <c r="AB143" s="112">
        <v>450</v>
      </c>
      <c r="AC143" s="147">
        <v>24823.101092999997</v>
      </c>
    </row>
    <row r="144" spans="23:29">
      <c r="W144" s="111">
        <v>124</v>
      </c>
      <c r="X144" s="112">
        <v>910</v>
      </c>
      <c r="Y144" s="113">
        <v>11569</v>
      </c>
      <c r="Z144" s="113">
        <v>12479</v>
      </c>
      <c r="AA144" s="112">
        <v>1248</v>
      </c>
      <c r="AB144" s="112">
        <v>460</v>
      </c>
      <c r="AC144" s="147">
        <v>24987.889331999995</v>
      </c>
    </row>
    <row r="145" spans="23:29">
      <c r="W145" s="111">
        <v>125</v>
      </c>
      <c r="X145" s="112">
        <v>910</v>
      </c>
      <c r="Y145" s="113">
        <v>11662</v>
      </c>
      <c r="Z145" s="113">
        <v>12572</v>
      </c>
      <c r="AA145" s="112">
        <v>1257</v>
      </c>
      <c r="AB145" s="112">
        <v>460</v>
      </c>
      <c r="AC145" s="147">
        <v>25137.696821999998</v>
      </c>
    </row>
    <row r="146" spans="23:29">
      <c r="W146" s="111">
        <v>126</v>
      </c>
      <c r="X146" s="112">
        <v>910</v>
      </c>
      <c r="Y146" s="113">
        <v>11755</v>
      </c>
      <c r="Z146" s="113">
        <v>12665</v>
      </c>
      <c r="AA146" s="112">
        <v>1267</v>
      </c>
      <c r="AB146" s="112">
        <v>460</v>
      </c>
      <c r="AC146" s="147">
        <v>25302.485061000003</v>
      </c>
    </row>
    <row r="147" spans="23:29">
      <c r="W147" s="111">
        <v>127</v>
      </c>
      <c r="X147" s="112">
        <v>910</v>
      </c>
      <c r="Y147" s="113">
        <v>11849</v>
      </c>
      <c r="Z147" s="113">
        <v>12759</v>
      </c>
      <c r="AA147" s="112">
        <v>1276</v>
      </c>
      <c r="AB147" s="112">
        <v>470</v>
      </c>
      <c r="AC147" s="147">
        <v>25467.273300000001</v>
      </c>
    </row>
    <row r="148" spans="23:29">
      <c r="W148" s="111">
        <v>128</v>
      </c>
      <c r="X148" s="112">
        <v>910</v>
      </c>
      <c r="Y148" s="113">
        <v>11942</v>
      </c>
      <c r="Z148" s="113">
        <v>12852</v>
      </c>
      <c r="AA148" s="112">
        <v>1285</v>
      </c>
      <c r="AB148" s="112">
        <v>470</v>
      </c>
      <c r="AC148" s="147">
        <v>25617.080790000004</v>
      </c>
    </row>
    <row r="149" spans="23:29">
      <c r="W149" s="111">
        <v>129</v>
      </c>
      <c r="X149" s="112">
        <v>910</v>
      </c>
      <c r="Y149" s="113">
        <v>12035</v>
      </c>
      <c r="Z149" s="113">
        <v>12945</v>
      </c>
      <c r="AA149" s="112">
        <v>1295</v>
      </c>
      <c r="AB149" s="112">
        <v>470</v>
      </c>
      <c r="AC149" s="147">
        <v>25781.869029000001</v>
      </c>
    </row>
    <row r="150" spans="23:29">
      <c r="W150" s="111">
        <v>130</v>
      </c>
      <c r="X150" s="112">
        <v>910</v>
      </c>
      <c r="Y150" s="113">
        <v>12129</v>
      </c>
      <c r="Z150" s="113">
        <v>13039</v>
      </c>
      <c r="AA150" s="112">
        <v>1304</v>
      </c>
      <c r="AB150" s="112">
        <v>480</v>
      </c>
      <c r="AC150" s="147">
        <v>25946.657267999999</v>
      </c>
    </row>
    <row r="151" spans="23:29">
      <c r="W151" s="111">
        <v>131</v>
      </c>
      <c r="X151" s="112">
        <v>910</v>
      </c>
      <c r="Y151" s="113">
        <v>12222</v>
      </c>
      <c r="Z151" s="113">
        <v>13132</v>
      </c>
      <c r="AA151" s="112">
        <v>1313</v>
      </c>
      <c r="AB151" s="112">
        <v>480</v>
      </c>
      <c r="AC151" s="147">
        <v>26096.464757999995</v>
      </c>
    </row>
    <row r="152" spans="23:29">
      <c r="W152" s="111">
        <v>132</v>
      </c>
      <c r="X152" s="112">
        <v>910</v>
      </c>
      <c r="Y152" s="113">
        <v>12315</v>
      </c>
      <c r="Z152" s="113">
        <v>13225</v>
      </c>
      <c r="AA152" s="112">
        <v>1323</v>
      </c>
      <c r="AB152" s="112">
        <v>480</v>
      </c>
      <c r="AC152" s="147">
        <v>26246.272248000001</v>
      </c>
    </row>
    <row r="153" spans="23:29">
      <c r="W153" s="111">
        <v>133</v>
      </c>
      <c r="X153" s="112">
        <v>910</v>
      </c>
      <c r="Y153" s="113">
        <v>12408</v>
      </c>
      <c r="Z153" s="113">
        <v>13318</v>
      </c>
      <c r="AA153" s="112">
        <v>1332</v>
      </c>
      <c r="AB153" s="112">
        <v>490</v>
      </c>
      <c r="AC153" s="147">
        <v>26426.041235999997</v>
      </c>
    </row>
    <row r="154" spans="23:29">
      <c r="W154" s="111">
        <v>134</v>
      </c>
      <c r="X154" s="112">
        <v>910</v>
      </c>
      <c r="Y154" s="113">
        <v>12502</v>
      </c>
      <c r="Z154" s="113">
        <v>13412</v>
      </c>
      <c r="AA154" s="112">
        <v>1341</v>
      </c>
      <c r="AB154" s="112">
        <v>490</v>
      </c>
      <c r="AC154" s="147">
        <v>26575.848725999997</v>
      </c>
    </row>
    <row r="155" spans="23:29">
      <c r="W155" s="111">
        <v>135</v>
      </c>
      <c r="X155" s="112">
        <v>910</v>
      </c>
      <c r="Y155" s="113">
        <v>12595</v>
      </c>
      <c r="Z155" s="113">
        <v>13505</v>
      </c>
      <c r="AA155" s="112">
        <v>1351</v>
      </c>
      <c r="AB155" s="112">
        <v>490</v>
      </c>
      <c r="AC155" s="147">
        <v>26725.656215999996</v>
      </c>
    </row>
    <row r="156" spans="23:29">
      <c r="W156" s="111">
        <v>136</v>
      </c>
      <c r="X156" s="112">
        <v>910</v>
      </c>
      <c r="Y156" s="113">
        <v>12688</v>
      </c>
      <c r="Z156" s="113">
        <v>13598</v>
      </c>
      <c r="AA156" s="112">
        <v>1360</v>
      </c>
      <c r="AB156" s="112">
        <v>500</v>
      </c>
      <c r="AC156" s="147">
        <v>26890.444455000001</v>
      </c>
    </row>
    <row r="157" spans="23:29">
      <c r="W157" s="111">
        <v>137</v>
      </c>
      <c r="X157" s="112">
        <v>910</v>
      </c>
      <c r="Y157" s="113">
        <v>12782</v>
      </c>
      <c r="Z157" s="113">
        <v>13692</v>
      </c>
      <c r="AA157" s="112">
        <v>1369</v>
      </c>
      <c r="AB157" s="112">
        <v>500</v>
      </c>
      <c r="AC157" s="147">
        <v>27055.232694000002</v>
      </c>
    </row>
    <row r="158" spans="23:29">
      <c r="W158" s="111">
        <v>138</v>
      </c>
      <c r="X158" s="112">
        <v>910</v>
      </c>
      <c r="Y158" s="113">
        <v>12875</v>
      </c>
      <c r="Z158" s="113">
        <v>13785</v>
      </c>
      <c r="AA158" s="112">
        <v>1379</v>
      </c>
      <c r="AB158" s="112">
        <v>510</v>
      </c>
      <c r="AC158" s="147">
        <v>27220.020933</v>
      </c>
    </row>
    <row r="159" spans="23:29">
      <c r="W159" s="111">
        <v>139</v>
      </c>
      <c r="X159" s="112">
        <v>910</v>
      </c>
      <c r="Y159" s="113">
        <v>12968</v>
      </c>
      <c r="Z159" s="113">
        <v>13878</v>
      </c>
      <c r="AA159" s="112">
        <v>1388</v>
      </c>
      <c r="AB159" s="112">
        <v>510</v>
      </c>
      <c r="AC159" s="147">
        <v>27369.828422999999</v>
      </c>
    </row>
    <row r="160" spans="23:29">
      <c r="W160" s="111">
        <v>140</v>
      </c>
      <c r="X160" s="112">
        <v>910</v>
      </c>
      <c r="Y160" s="113">
        <v>13062</v>
      </c>
      <c r="Z160" s="113">
        <v>13972</v>
      </c>
      <c r="AA160" s="112">
        <v>1397</v>
      </c>
      <c r="AB160" s="112">
        <v>510</v>
      </c>
      <c r="AC160" s="147">
        <v>27519.635912999998</v>
      </c>
    </row>
    <row r="161" spans="23:29">
      <c r="W161" s="111">
        <v>141</v>
      </c>
      <c r="X161" s="112">
        <v>910</v>
      </c>
      <c r="Y161" s="113">
        <v>13155</v>
      </c>
      <c r="Z161" s="113">
        <v>14065</v>
      </c>
      <c r="AA161" s="112">
        <v>1407</v>
      </c>
      <c r="AB161" s="112">
        <v>520</v>
      </c>
      <c r="AC161" s="147">
        <v>27699.404900999998</v>
      </c>
    </row>
    <row r="162" spans="23:29">
      <c r="W162" s="111">
        <v>142</v>
      </c>
      <c r="X162" s="112">
        <v>910</v>
      </c>
      <c r="Y162" s="113">
        <v>13248</v>
      </c>
      <c r="Z162" s="113">
        <v>14158</v>
      </c>
      <c r="AA162" s="112">
        <v>1416</v>
      </c>
      <c r="AB162" s="112">
        <v>520</v>
      </c>
      <c r="AC162" s="147">
        <v>27849.212390999994</v>
      </c>
    </row>
    <row r="163" spans="23:29">
      <c r="W163" s="111">
        <v>143</v>
      </c>
      <c r="X163" s="112">
        <v>910</v>
      </c>
      <c r="Y163" s="113">
        <v>13341</v>
      </c>
      <c r="Z163" s="113">
        <v>14251</v>
      </c>
      <c r="AA163" s="112">
        <v>1425</v>
      </c>
      <c r="AB163" s="112">
        <v>520</v>
      </c>
      <c r="AC163" s="147">
        <v>27999.019880999997</v>
      </c>
    </row>
    <row r="164" spans="23:29">
      <c r="W164" s="111">
        <v>144</v>
      </c>
      <c r="X164" s="112">
        <v>910</v>
      </c>
      <c r="Y164" s="113">
        <v>13435</v>
      </c>
      <c r="Z164" s="113">
        <v>14345</v>
      </c>
      <c r="AA164" s="112">
        <v>1435</v>
      </c>
      <c r="AB164" s="112">
        <v>530</v>
      </c>
      <c r="AC164" s="147">
        <v>28178.788869</v>
      </c>
    </row>
    <row r="165" spans="23:29">
      <c r="W165" s="111">
        <v>145</v>
      </c>
      <c r="X165" s="112">
        <v>910</v>
      </c>
      <c r="Y165" s="113">
        <v>13528</v>
      </c>
      <c r="Z165" s="113">
        <v>14438</v>
      </c>
      <c r="AA165" s="112">
        <v>1444</v>
      </c>
      <c r="AB165" s="112">
        <v>530</v>
      </c>
      <c r="AC165" s="147">
        <v>28328.596358999999</v>
      </c>
    </row>
    <row r="166" spans="23:29">
      <c r="W166" s="111">
        <v>146</v>
      </c>
      <c r="X166" s="112">
        <v>910</v>
      </c>
      <c r="Y166" s="113">
        <v>13621</v>
      </c>
      <c r="Z166" s="113">
        <v>14531</v>
      </c>
      <c r="AA166" s="112">
        <v>1453</v>
      </c>
      <c r="AB166" s="112">
        <v>530</v>
      </c>
      <c r="AC166" s="147">
        <v>28478.403848999998</v>
      </c>
    </row>
    <row r="167" spans="23:29">
      <c r="W167" s="111">
        <v>147</v>
      </c>
      <c r="X167" s="112">
        <v>910</v>
      </c>
      <c r="Y167" s="113">
        <v>13715</v>
      </c>
      <c r="Z167" s="113">
        <v>14625</v>
      </c>
      <c r="AA167" s="112">
        <v>1463</v>
      </c>
      <c r="AB167" s="112">
        <v>540</v>
      </c>
      <c r="AC167" s="147">
        <v>28643.192087999996</v>
      </c>
    </row>
    <row r="168" spans="23:29">
      <c r="W168" s="111">
        <v>148</v>
      </c>
      <c r="X168" s="112">
        <v>910</v>
      </c>
      <c r="Y168" s="113">
        <v>13808</v>
      </c>
      <c r="Z168" s="113">
        <v>14718</v>
      </c>
      <c r="AA168" s="112">
        <v>1472</v>
      </c>
      <c r="AB168" s="112">
        <v>540</v>
      </c>
      <c r="AC168" s="147">
        <v>28807.980326999994</v>
      </c>
    </row>
    <row r="169" spans="23:29">
      <c r="W169" s="111">
        <v>149</v>
      </c>
      <c r="X169" s="112">
        <v>910</v>
      </c>
      <c r="Y169" s="113">
        <v>13901</v>
      </c>
      <c r="Z169" s="113">
        <v>14811</v>
      </c>
      <c r="AA169" s="112">
        <v>1481</v>
      </c>
      <c r="AB169" s="112">
        <v>540</v>
      </c>
      <c r="AC169" s="147">
        <v>28957.787816999997</v>
      </c>
    </row>
    <row r="170" spans="23:29">
      <c r="W170" s="111">
        <v>150</v>
      </c>
      <c r="X170" s="112">
        <v>910</v>
      </c>
      <c r="Y170" s="113">
        <v>13995</v>
      </c>
      <c r="Z170" s="113">
        <v>14905</v>
      </c>
      <c r="AA170" s="112">
        <v>1491</v>
      </c>
      <c r="AB170" s="112">
        <v>550</v>
      </c>
      <c r="AC170" s="147">
        <v>29122.576055999998</v>
      </c>
    </row>
    <row r="171" spans="23:29">
      <c r="W171" s="111">
        <v>151</v>
      </c>
      <c r="X171" s="112">
        <v>910</v>
      </c>
      <c r="Y171" s="113">
        <v>14088</v>
      </c>
      <c r="Z171" s="113">
        <v>14998</v>
      </c>
      <c r="AA171" s="112">
        <v>1500</v>
      </c>
      <c r="AB171" s="112">
        <v>550</v>
      </c>
      <c r="AC171" s="147">
        <v>29272.383545999994</v>
      </c>
    </row>
    <row r="172" spans="23:29">
      <c r="W172" s="111">
        <v>152</v>
      </c>
      <c r="X172" s="112">
        <v>910</v>
      </c>
      <c r="Y172" s="113">
        <v>14181</v>
      </c>
      <c r="Z172" s="113">
        <v>15091</v>
      </c>
      <c r="AA172" s="112">
        <v>1509</v>
      </c>
      <c r="AB172" s="112">
        <v>550</v>
      </c>
      <c r="AC172" s="147">
        <v>29437.171784999999</v>
      </c>
    </row>
    <row r="173" spans="23:29">
      <c r="W173" s="111">
        <v>153</v>
      </c>
      <c r="X173" s="112">
        <v>910</v>
      </c>
      <c r="Y173" s="113">
        <v>14274</v>
      </c>
      <c r="Z173" s="113">
        <v>15184</v>
      </c>
      <c r="AA173" s="112">
        <v>1518</v>
      </c>
      <c r="AB173" s="112">
        <v>560</v>
      </c>
      <c r="AC173" s="147">
        <v>29601.960024</v>
      </c>
    </row>
    <row r="174" spans="23:29">
      <c r="W174" s="111">
        <v>154</v>
      </c>
      <c r="X174" s="112">
        <v>910</v>
      </c>
      <c r="Y174" s="113">
        <v>14368</v>
      </c>
      <c r="Z174" s="113">
        <v>15278</v>
      </c>
      <c r="AA174" s="112">
        <v>1528</v>
      </c>
      <c r="AB174" s="112">
        <v>560</v>
      </c>
      <c r="AC174" s="147">
        <v>29751.767513999999</v>
      </c>
    </row>
    <row r="175" spans="23:29">
      <c r="W175" s="111">
        <v>155</v>
      </c>
      <c r="X175" s="112">
        <v>910</v>
      </c>
      <c r="Y175" s="113">
        <v>14461</v>
      </c>
      <c r="Z175" s="113">
        <v>15371</v>
      </c>
      <c r="AA175" s="112">
        <v>1537</v>
      </c>
      <c r="AB175" s="112">
        <v>560</v>
      </c>
      <c r="AC175" s="147">
        <v>29901.575003999998</v>
      </c>
    </row>
    <row r="176" spans="23:29">
      <c r="W176" s="111">
        <v>156</v>
      </c>
      <c r="X176" s="112">
        <v>910</v>
      </c>
      <c r="Y176" s="113">
        <v>14554</v>
      </c>
      <c r="Z176" s="113">
        <v>15464</v>
      </c>
      <c r="AA176" s="112">
        <v>1546</v>
      </c>
      <c r="AB176" s="112">
        <v>570</v>
      </c>
      <c r="AC176" s="147">
        <v>30081.343991999998</v>
      </c>
    </row>
    <row r="177" spans="23:29">
      <c r="W177" s="111">
        <v>157</v>
      </c>
      <c r="X177" s="112">
        <v>910</v>
      </c>
      <c r="Y177" s="113">
        <v>14648</v>
      </c>
      <c r="Z177" s="113">
        <v>15558</v>
      </c>
      <c r="AA177" s="112">
        <v>1556</v>
      </c>
      <c r="AB177" s="112">
        <v>570</v>
      </c>
      <c r="AC177" s="147">
        <v>30231.151481999997</v>
      </c>
    </row>
    <row r="178" spans="23:29">
      <c r="W178" s="111">
        <v>158</v>
      </c>
      <c r="X178" s="112">
        <v>910</v>
      </c>
      <c r="Y178" s="113">
        <v>14741</v>
      </c>
      <c r="Z178" s="113">
        <v>15651</v>
      </c>
      <c r="AA178" s="112">
        <v>1565</v>
      </c>
      <c r="AB178" s="112">
        <v>570</v>
      </c>
      <c r="AC178" s="147">
        <v>30380.958971999997</v>
      </c>
    </row>
    <row r="179" spans="23:29">
      <c r="W179" s="111">
        <v>159</v>
      </c>
      <c r="X179" s="112">
        <v>910</v>
      </c>
      <c r="Y179" s="113">
        <v>14834</v>
      </c>
      <c r="Z179" s="113">
        <v>15744</v>
      </c>
      <c r="AA179" s="112">
        <v>1574</v>
      </c>
      <c r="AB179" s="112">
        <v>580</v>
      </c>
      <c r="AC179" s="147">
        <v>30545.747210999998</v>
      </c>
    </row>
    <row r="180" spans="23:29">
      <c r="W180" s="111">
        <v>160</v>
      </c>
      <c r="X180" s="112">
        <v>910</v>
      </c>
      <c r="Y180" s="113">
        <v>14928</v>
      </c>
      <c r="Z180" s="113">
        <v>15838</v>
      </c>
      <c r="AA180" s="112">
        <v>1584</v>
      </c>
      <c r="AB180" s="112">
        <v>580</v>
      </c>
      <c r="AC180" s="147">
        <v>30710.535450000003</v>
      </c>
    </row>
    <row r="181" spans="23:29">
      <c r="W181" s="111">
        <v>161</v>
      </c>
      <c r="X181" s="112">
        <v>910</v>
      </c>
      <c r="Y181" s="113">
        <v>15021</v>
      </c>
      <c r="Z181" s="113">
        <v>15931</v>
      </c>
      <c r="AA181" s="112">
        <v>1593</v>
      </c>
      <c r="AB181" s="112">
        <v>580</v>
      </c>
      <c r="AC181" s="147">
        <v>30860.342939999999</v>
      </c>
    </row>
    <row r="182" spans="23:29">
      <c r="W182" s="111">
        <v>162</v>
      </c>
      <c r="X182" s="112">
        <v>910</v>
      </c>
      <c r="Y182" s="113">
        <v>15114</v>
      </c>
      <c r="Z182" s="113">
        <v>16024</v>
      </c>
      <c r="AA182" s="112">
        <v>1602</v>
      </c>
      <c r="AB182" s="112">
        <v>590</v>
      </c>
      <c r="AC182" s="147">
        <v>31025.131178999996</v>
      </c>
    </row>
    <row r="183" spans="23:29">
      <c r="W183" s="111">
        <v>163</v>
      </c>
      <c r="X183" s="112">
        <v>910</v>
      </c>
      <c r="Y183" s="113">
        <v>15207</v>
      </c>
      <c r="Z183" s="113">
        <v>16117</v>
      </c>
      <c r="AA183" s="112">
        <v>1612</v>
      </c>
      <c r="AB183" s="112">
        <v>590</v>
      </c>
      <c r="AC183" s="147">
        <v>31174.938669000003</v>
      </c>
    </row>
    <row r="184" spans="23:29">
      <c r="W184" s="111">
        <v>164</v>
      </c>
      <c r="X184" s="112">
        <v>910</v>
      </c>
      <c r="Y184" s="113">
        <v>15301</v>
      </c>
      <c r="Z184" s="113">
        <v>16211</v>
      </c>
      <c r="AA184" s="112">
        <v>1621</v>
      </c>
      <c r="AB184" s="112">
        <v>590</v>
      </c>
      <c r="AC184" s="147">
        <v>31339.726908000001</v>
      </c>
    </row>
    <row r="185" spans="23:29">
      <c r="W185" s="111">
        <v>165</v>
      </c>
      <c r="X185" s="112">
        <v>910</v>
      </c>
      <c r="Y185" s="113">
        <v>15394</v>
      </c>
      <c r="Z185" s="113">
        <v>16304</v>
      </c>
      <c r="AA185" s="112">
        <v>1630</v>
      </c>
      <c r="AB185" s="112">
        <v>600</v>
      </c>
      <c r="AC185" s="147">
        <v>31504.515146999998</v>
      </c>
    </row>
    <row r="186" spans="23:29">
      <c r="W186" s="111">
        <v>166</v>
      </c>
      <c r="X186" s="112">
        <v>910</v>
      </c>
      <c r="Y186" s="113">
        <v>15487</v>
      </c>
      <c r="Z186" s="113">
        <v>16397</v>
      </c>
      <c r="AA186" s="112">
        <v>1640</v>
      </c>
      <c r="AB186" s="112">
        <v>600</v>
      </c>
      <c r="AC186" s="147">
        <v>31654.322636999994</v>
      </c>
    </row>
    <row r="187" spans="23:29">
      <c r="W187" s="111">
        <v>167</v>
      </c>
      <c r="X187" s="112">
        <v>910</v>
      </c>
      <c r="Y187" s="113">
        <v>15581</v>
      </c>
      <c r="Z187" s="113">
        <v>16491</v>
      </c>
      <c r="AA187" s="112">
        <v>1649</v>
      </c>
      <c r="AB187" s="112">
        <v>610</v>
      </c>
      <c r="AC187" s="147">
        <v>31834.091624999997</v>
      </c>
    </row>
    <row r="188" spans="23:29">
      <c r="W188" s="111">
        <v>168</v>
      </c>
      <c r="X188" s="112">
        <v>910</v>
      </c>
      <c r="Y188" s="113">
        <v>15674</v>
      </c>
      <c r="Z188" s="113">
        <v>16584</v>
      </c>
      <c r="AA188" s="112">
        <v>1658</v>
      </c>
      <c r="AB188" s="112">
        <v>610</v>
      </c>
      <c r="AC188" s="147">
        <v>31983.899115</v>
      </c>
    </row>
    <row r="189" spans="23:29">
      <c r="W189" s="111">
        <v>169</v>
      </c>
      <c r="X189" s="112">
        <v>910</v>
      </c>
      <c r="Y189" s="113">
        <v>15767</v>
      </c>
      <c r="Z189" s="113">
        <v>16677</v>
      </c>
      <c r="AA189" s="112">
        <v>1668</v>
      </c>
      <c r="AB189" s="112">
        <v>610</v>
      </c>
      <c r="AC189" s="147">
        <v>32133.706604999996</v>
      </c>
    </row>
    <row r="190" spans="23:29">
      <c r="W190" s="111">
        <v>170</v>
      </c>
      <c r="X190" s="112">
        <v>910</v>
      </c>
      <c r="Y190" s="113">
        <v>15861</v>
      </c>
      <c r="Z190" s="113">
        <v>16771</v>
      </c>
      <c r="AA190" s="112">
        <v>1677</v>
      </c>
      <c r="AB190" s="112">
        <v>620</v>
      </c>
      <c r="AC190" s="147">
        <v>32298.494843999997</v>
      </c>
    </row>
    <row r="191" spans="23:29">
      <c r="W191" s="111">
        <v>171</v>
      </c>
      <c r="X191" s="112">
        <v>910</v>
      </c>
      <c r="Y191" s="113">
        <v>15954</v>
      </c>
      <c r="Z191" s="113">
        <v>16864</v>
      </c>
      <c r="AA191" s="112">
        <v>1686</v>
      </c>
      <c r="AB191" s="112">
        <v>620</v>
      </c>
      <c r="AC191" s="147">
        <v>32463.283083000002</v>
      </c>
    </row>
    <row r="192" spans="23:29">
      <c r="W192" s="111">
        <v>172</v>
      </c>
      <c r="X192" s="112">
        <v>910</v>
      </c>
      <c r="Y192" s="113">
        <v>16047</v>
      </c>
      <c r="Z192" s="113">
        <v>16957</v>
      </c>
      <c r="AA192" s="112">
        <v>1696</v>
      </c>
      <c r="AB192" s="112">
        <v>620</v>
      </c>
      <c r="AC192" s="147">
        <v>32613.090572999998</v>
      </c>
    </row>
    <row r="193" spans="23:29">
      <c r="W193" s="111">
        <v>173</v>
      </c>
      <c r="X193" s="112">
        <v>910</v>
      </c>
      <c r="Y193" s="113">
        <v>16140</v>
      </c>
      <c r="Z193" s="113">
        <v>17050</v>
      </c>
      <c r="AA193" s="112">
        <v>1705</v>
      </c>
      <c r="AB193" s="112">
        <v>630</v>
      </c>
      <c r="AC193" s="147">
        <v>32777.878811999995</v>
      </c>
    </row>
    <row r="194" spans="23:29">
      <c r="W194" s="111">
        <v>174</v>
      </c>
      <c r="X194" s="112">
        <v>910</v>
      </c>
      <c r="Y194" s="113">
        <v>16234</v>
      </c>
      <c r="Z194" s="113">
        <v>17144</v>
      </c>
      <c r="AA194" s="112">
        <v>1714</v>
      </c>
      <c r="AB194" s="112">
        <v>630</v>
      </c>
      <c r="AC194" s="147">
        <v>32927.686302000002</v>
      </c>
    </row>
    <row r="195" spans="23:29">
      <c r="W195" s="111">
        <v>175</v>
      </c>
      <c r="X195" s="112">
        <v>910</v>
      </c>
      <c r="Y195" s="113">
        <v>16327</v>
      </c>
      <c r="Z195" s="113">
        <v>17237</v>
      </c>
      <c r="AA195" s="112">
        <v>1724</v>
      </c>
      <c r="AB195" s="112">
        <v>630</v>
      </c>
      <c r="AC195" s="147">
        <v>33092.474540999996</v>
      </c>
    </row>
    <row r="196" spans="23:29">
      <c r="W196" s="111">
        <v>176</v>
      </c>
      <c r="X196" s="112">
        <v>910</v>
      </c>
      <c r="Y196" s="113">
        <v>16420</v>
      </c>
      <c r="Z196" s="113">
        <v>17330</v>
      </c>
      <c r="AA196" s="112">
        <v>1733</v>
      </c>
      <c r="AB196" s="112">
        <v>640</v>
      </c>
      <c r="AC196" s="147">
        <v>33257.262779999997</v>
      </c>
    </row>
    <row r="197" spans="23:29">
      <c r="W197" s="111">
        <v>177</v>
      </c>
      <c r="X197" s="112">
        <v>910</v>
      </c>
      <c r="Y197" s="113">
        <v>16514</v>
      </c>
      <c r="Z197" s="113">
        <v>17424</v>
      </c>
      <c r="AA197" s="112">
        <v>1742</v>
      </c>
      <c r="AB197" s="112">
        <v>640</v>
      </c>
      <c r="AC197" s="147">
        <v>33407.070270000004</v>
      </c>
    </row>
    <row r="198" spans="23:29">
      <c r="W198" s="111">
        <v>178</v>
      </c>
      <c r="X198" s="112">
        <v>910</v>
      </c>
      <c r="Y198" s="113">
        <v>16607</v>
      </c>
      <c r="Z198" s="113">
        <v>17517</v>
      </c>
      <c r="AA198" s="112">
        <v>1752</v>
      </c>
      <c r="AB198" s="112">
        <v>640</v>
      </c>
      <c r="AC198" s="147">
        <v>33556.877760000003</v>
      </c>
    </row>
    <row r="199" spans="23:29">
      <c r="W199" s="111">
        <v>179</v>
      </c>
      <c r="X199" s="112">
        <v>910</v>
      </c>
      <c r="Y199" s="113">
        <v>16700</v>
      </c>
      <c r="Z199" s="113">
        <v>17610</v>
      </c>
      <c r="AA199" s="112">
        <v>1761</v>
      </c>
      <c r="AB199" s="112">
        <v>650</v>
      </c>
      <c r="AC199" s="147">
        <v>33736.646747999999</v>
      </c>
    </row>
    <row r="200" spans="23:29">
      <c r="W200" s="111">
        <v>180</v>
      </c>
      <c r="X200" s="112">
        <v>910</v>
      </c>
      <c r="Y200" s="113">
        <v>16794</v>
      </c>
      <c r="Z200" s="113">
        <v>17704</v>
      </c>
      <c r="AA200" s="112">
        <v>1770</v>
      </c>
      <c r="AB200" s="112">
        <v>650</v>
      </c>
      <c r="AC200" s="147">
        <v>33886.454237999998</v>
      </c>
    </row>
    <row r="201" spans="23:29">
      <c r="W201" s="111">
        <v>181</v>
      </c>
      <c r="X201" s="112">
        <v>910</v>
      </c>
      <c r="Y201" s="113">
        <v>16887</v>
      </c>
      <c r="Z201" s="113">
        <v>17797</v>
      </c>
      <c r="AA201" s="112">
        <v>1780</v>
      </c>
      <c r="AB201" s="112">
        <v>650</v>
      </c>
      <c r="AC201" s="147">
        <v>34036.261727999998</v>
      </c>
    </row>
    <row r="202" spans="23:29">
      <c r="W202" s="111">
        <v>182</v>
      </c>
      <c r="X202" s="112">
        <v>910</v>
      </c>
      <c r="Y202" s="113">
        <v>16980</v>
      </c>
      <c r="Z202" s="113">
        <v>17890</v>
      </c>
      <c r="AA202" s="112">
        <v>1789</v>
      </c>
      <c r="AB202" s="112">
        <v>660</v>
      </c>
      <c r="AC202" s="147">
        <v>34201.049966999999</v>
      </c>
    </row>
    <row r="203" spans="23:29">
      <c r="W203" s="111">
        <v>183</v>
      </c>
      <c r="X203" s="112">
        <v>910</v>
      </c>
      <c r="Y203" s="113">
        <v>17073</v>
      </c>
      <c r="Z203" s="113">
        <v>17983</v>
      </c>
      <c r="AA203" s="112">
        <v>1798</v>
      </c>
      <c r="AB203" s="112">
        <v>660</v>
      </c>
      <c r="AC203" s="147">
        <v>34365.838205999993</v>
      </c>
    </row>
    <row r="204" spans="23:29">
      <c r="W204" s="111">
        <v>184</v>
      </c>
      <c r="X204" s="112">
        <v>910</v>
      </c>
      <c r="Y204" s="113">
        <v>17167</v>
      </c>
      <c r="Z204" s="113">
        <v>18077</v>
      </c>
      <c r="AA204" s="112">
        <v>1808</v>
      </c>
      <c r="AB204" s="112">
        <v>660</v>
      </c>
      <c r="AC204" s="147">
        <v>34515.645696</v>
      </c>
    </row>
    <row r="205" spans="23:29">
      <c r="W205" s="111">
        <v>185</v>
      </c>
      <c r="X205" s="112">
        <v>910</v>
      </c>
      <c r="Y205" s="113">
        <v>17260</v>
      </c>
      <c r="Z205" s="113">
        <v>18170</v>
      </c>
      <c r="AA205" s="112">
        <v>1817</v>
      </c>
      <c r="AB205" s="112">
        <v>670</v>
      </c>
      <c r="AC205" s="147">
        <v>34680.433935000001</v>
      </c>
    </row>
    <row r="206" spans="23:29">
      <c r="W206" s="111">
        <v>186</v>
      </c>
      <c r="X206" s="112">
        <v>910</v>
      </c>
      <c r="Y206" s="113">
        <v>17353</v>
      </c>
      <c r="Z206" s="113">
        <v>18263</v>
      </c>
      <c r="AA206" s="112">
        <v>1826</v>
      </c>
      <c r="AB206" s="112">
        <v>670</v>
      </c>
      <c r="AC206" s="147">
        <v>34830.241425</v>
      </c>
    </row>
    <row r="207" spans="23:29">
      <c r="W207" s="111">
        <v>187</v>
      </c>
      <c r="X207" s="112">
        <v>910</v>
      </c>
      <c r="Y207" s="113">
        <v>17447</v>
      </c>
      <c r="Z207" s="113">
        <v>18357</v>
      </c>
      <c r="AA207" s="112">
        <v>1836</v>
      </c>
      <c r="AB207" s="112">
        <v>670</v>
      </c>
      <c r="AC207" s="147">
        <v>34995.029664000002</v>
      </c>
    </row>
    <row r="208" spans="23:29">
      <c r="W208" s="111">
        <v>188</v>
      </c>
      <c r="X208" s="112">
        <v>910</v>
      </c>
      <c r="Y208" s="113">
        <v>17540</v>
      </c>
      <c r="Z208" s="113">
        <v>18450</v>
      </c>
      <c r="AA208" s="112">
        <v>1845</v>
      </c>
      <c r="AB208" s="112">
        <v>680</v>
      </c>
      <c r="AC208" s="147">
        <v>35159.817903000003</v>
      </c>
    </row>
    <row r="209" spans="23:29">
      <c r="W209" s="111">
        <v>189</v>
      </c>
      <c r="X209" s="112">
        <v>910</v>
      </c>
      <c r="Y209" s="113">
        <v>17633</v>
      </c>
      <c r="Z209" s="113">
        <v>18543</v>
      </c>
      <c r="AA209" s="112">
        <v>1854</v>
      </c>
      <c r="AB209" s="112">
        <v>680</v>
      </c>
      <c r="AC209" s="147">
        <v>35309.625393000002</v>
      </c>
    </row>
    <row r="210" spans="23:29">
      <c r="W210" s="111">
        <v>190</v>
      </c>
      <c r="X210" s="112">
        <v>910</v>
      </c>
      <c r="Y210" s="113">
        <v>17727</v>
      </c>
      <c r="Z210" s="113">
        <v>18637</v>
      </c>
      <c r="AA210" s="112">
        <v>1864</v>
      </c>
      <c r="AB210" s="112">
        <v>680</v>
      </c>
      <c r="AC210" s="147">
        <v>35474.413631999996</v>
      </c>
    </row>
    <row r="211" spans="23:29">
      <c r="W211" s="111">
        <v>191</v>
      </c>
      <c r="X211" s="112">
        <v>910</v>
      </c>
      <c r="Y211" s="113">
        <v>17820</v>
      </c>
      <c r="Z211" s="113">
        <v>18730</v>
      </c>
      <c r="AA211" s="112">
        <v>1873</v>
      </c>
      <c r="AB211" s="112">
        <v>690</v>
      </c>
      <c r="AC211" s="147">
        <v>35639.201870999997</v>
      </c>
    </row>
    <row r="212" spans="23:29">
      <c r="W212" s="111">
        <v>192</v>
      </c>
      <c r="X212" s="112">
        <v>910</v>
      </c>
      <c r="Y212" s="113">
        <v>17913</v>
      </c>
      <c r="Z212" s="113">
        <v>18823</v>
      </c>
      <c r="AA212" s="112">
        <v>1882</v>
      </c>
      <c r="AB212" s="112">
        <v>690</v>
      </c>
      <c r="AC212" s="147">
        <v>35789.009360999997</v>
      </c>
    </row>
    <row r="213" spans="23:29">
      <c r="W213" s="111">
        <v>193</v>
      </c>
      <c r="X213" s="112">
        <v>910</v>
      </c>
      <c r="Y213" s="113">
        <v>18006</v>
      </c>
      <c r="Z213" s="113">
        <v>18916</v>
      </c>
      <c r="AA213" s="112">
        <v>1892</v>
      </c>
      <c r="AB213" s="112">
        <v>690</v>
      </c>
      <c r="AC213" s="147">
        <v>35938.816850999996</v>
      </c>
    </row>
    <row r="214" spans="23:29">
      <c r="W214" s="111">
        <v>194</v>
      </c>
      <c r="X214" s="112">
        <v>910</v>
      </c>
      <c r="Y214" s="113">
        <v>18100</v>
      </c>
      <c r="Z214" s="113">
        <v>19010</v>
      </c>
      <c r="AA214" s="112">
        <v>1901</v>
      </c>
      <c r="AB214" s="112">
        <v>700</v>
      </c>
      <c r="AC214" s="147">
        <v>36118.585838999992</v>
      </c>
    </row>
    <row r="215" spans="23:29">
      <c r="W215" s="111">
        <v>195</v>
      </c>
      <c r="X215" s="112">
        <v>910</v>
      </c>
      <c r="Y215" s="113">
        <v>18193</v>
      </c>
      <c r="Z215" s="113">
        <v>19103</v>
      </c>
      <c r="AA215" s="112">
        <v>1910</v>
      </c>
      <c r="AB215" s="112">
        <v>700</v>
      </c>
      <c r="AC215" s="147">
        <v>36268.393328999999</v>
      </c>
    </row>
    <row r="216" spans="23:29">
      <c r="W216" s="111">
        <v>196</v>
      </c>
      <c r="X216" s="112">
        <v>910</v>
      </c>
      <c r="Y216" s="113">
        <v>18286</v>
      </c>
      <c r="Z216" s="113">
        <v>19196</v>
      </c>
      <c r="AA216" s="112">
        <v>1920</v>
      </c>
      <c r="AB216" s="112">
        <v>710</v>
      </c>
      <c r="AC216" s="147">
        <v>36433.181568</v>
      </c>
    </row>
    <row r="217" spans="23:29">
      <c r="W217" s="111">
        <v>197</v>
      </c>
      <c r="X217" s="112">
        <v>910</v>
      </c>
      <c r="Y217" s="113">
        <v>18380</v>
      </c>
      <c r="Z217" s="113">
        <v>19290</v>
      </c>
      <c r="AA217" s="112">
        <v>1929</v>
      </c>
      <c r="AB217" s="112">
        <v>710</v>
      </c>
      <c r="AC217" s="147">
        <v>36582.989057999999</v>
      </c>
    </row>
    <row r="218" spans="23:29">
      <c r="W218" s="111">
        <v>198</v>
      </c>
      <c r="X218" s="112">
        <v>910</v>
      </c>
      <c r="Y218" s="113">
        <v>18473</v>
      </c>
      <c r="Z218" s="113">
        <v>19383</v>
      </c>
      <c r="AA218" s="112">
        <v>1938</v>
      </c>
      <c r="AB218" s="112">
        <v>710</v>
      </c>
      <c r="AC218" s="147">
        <v>36747.777296999993</v>
      </c>
    </row>
    <row r="219" spans="23:29">
      <c r="W219" s="111">
        <v>199</v>
      </c>
      <c r="X219" s="112">
        <v>910</v>
      </c>
      <c r="Y219" s="113">
        <v>18566</v>
      </c>
      <c r="Z219" s="113">
        <v>19476</v>
      </c>
      <c r="AA219" s="112">
        <v>1948</v>
      </c>
      <c r="AB219" s="112">
        <v>720</v>
      </c>
      <c r="AC219" s="147">
        <v>36912.565536000002</v>
      </c>
    </row>
    <row r="220" spans="23:29">
      <c r="W220" s="111">
        <v>200</v>
      </c>
      <c r="X220" s="112">
        <v>910</v>
      </c>
      <c r="Y220" s="113">
        <v>18660</v>
      </c>
      <c r="Z220" s="113">
        <v>19570</v>
      </c>
      <c r="AA220" s="112">
        <v>1957</v>
      </c>
      <c r="AB220" s="112">
        <v>720</v>
      </c>
      <c r="AC220" s="147">
        <v>37062.373026000001</v>
      </c>
    </row>
    <row r="221" spans="23:29">
      <c r="W221" s="111">
        <v>201</v>
      </c>
      <c r="X221" s="112">
        <v>1600</v>
      </c>
      <c r="Y221" s="113">
        <v>18847</v>
      </c>
      <c r="Z221" s="113">
        <v>20447</v>
      </c>
      <c r="AA221" s="112">
        <v>2045</v>
      </c>
      <c r="AB221" s="112">
        <v>750</v>
      </c>
      <c r="AC221" s="147">
        <v>38560.447925999993</v>
      </c>
    </row>
    <row r="222" spans="23:29">
      <c r="W222" s="111">
        <v>202</v>
      </c>
      <c r="X222" s="112">
        <v>1600</v>
      </c>
      <c r="Y222" s="113">
        <v>19035</v>
      </c>
      <c r="Z222" s="113">
        <v>20635</v>
      </c>
      <c r="AA222" s="112">
        <v>2064</v>
      </c>
      <c r="AB222" s="112">
        <v>760</v>
      </c>
      <c r="AC222" s="147">
        <v>38875.043655000001</v>
      </c>
    </row>
    <row r="223" spans="23:29">
      <c r="W223" s="111">
        <v>203</v>
      </c>
      <c r="X223" s="112">
        <v>1600</v>
      </c>
      <c r="Y223" s="113">
        <v>19223</v>
      </c>
      <c r="Z223" s="113">
        <v>20823</v>
      </c>
      <c r="AA223" s="112">
        <v>2082</v>
      </c>
      <c r="AB223" s="112">
        <v>770</v>
      </c>
      <c r="AC223" s="147">
        <v>39204.620132999997</v>
      </c>
    </row>
    <row r="224" spans="23:29">
      <c r="W224" s="111">
        <v>204</v>
      </c>
      <c r="X224" s="112">
        <v>1600</v>
      </c>
      <c r="Y224" s="113">
        <v>19411</v>
      </c>
      <c r="Z224" s="113">
        <v>21011</v>
      </c>
      <c r="AA224" s="112">
        <v>2101</v>
      </c>
      <c r="AB224" s="112">
        <v>770</v>
      </c>
      <c r="AC224" s="147">
        <v>39519.215861999997</v>
      </c>
    </row>
    <row r="225" spans="23:29">
      <c r="W225" s="111">
        <v>205</v>
      </c>
      <c r="X225" s="112">
        <v>1600</v>
      </c>
      <c r="Y225" s="113">
        <v>19599</v>
      </c>
      <c r="Z225" s="113">
        <v>21199</v>
      </c>
      <c r="AA225" s="112">
        <v>2120</v>
      </c>
      <c r="AB225" s="112">
        <v>780</v>
      </c>
      <c r="AC225" s="147">
        <v>39833.811590999991</v>
      </c>
    </row>
    <row r="226" spans="23:29">
      <c r="W226" s="111">
        <v>206</v>
      </c>
      <c r="X226" s="112">
        <v>1600</v>
      </c>
      <c r="Y226" s="113">
        <v>19787</v>
      </c>
      <c r="Z226" s="113">
        <v>21387</v>
      </c>
      <c r="AA226" s="112">
        <v>2139</v>
      </c>
      <c r="AB226" s="112">
        <v>790</v>
      </c>
      <c r="AC226" s="147">
        <v>40163.388069000008</v>
      </c>
    </row>
    <row r="227" spans="23:29">
      <c r="W227" s="111">
        <v>207</v>
      </c>
      <c r="X227" s="112">
        <v>1600</v>
      </c>
      <c r="Y227" s="113">
        <v>19975</v>
      </c>
      <c r="Z227" s="113">
        <v>21575</v>
      </c>
      <c r="AA227" s="112">
        <v>2158</v>
      </c>
      <c r="AB227" s="112">
        <v>790</v>
      </c>
      <c r="AC227" s="147">
        <v>40477.983797999994</v>
      </c>
    </row>
    <row r="228" spans="23:29">
      <c r="W228" s="111">
        <v>208</v>
      </c>
      <c r="X228" s="112">
        <v>1600</v>
      </c>
      <c r="Y228" s="113">
        <v>20163</v>
      </c>
      <c r="Z228" s="113">
        <v>21763</v>
      </c>
      <c r="AA228" s="112">
        <v>2176</v>
      </c>
      <c r="AB228" s="112">
        <v>800</v>
      </c>
      <c r="AC228" s="147">
        <v>40792.579526999994</v>
      </c>
    </row>
    <row r="229" spans="23:29">
      <c r="W229" s="111">
        <v>209</v>
      </c>
      <c r="X229" s="112">
        <v>1600</v>
      </c>
      <c r="Y229" s="113">
        <v>20351</v>
      </c>
      <c r="Z229" s="113">
        <v>21951</v>
      </c>
      <c r="AA229" s="112">
        <v>2195</v>
      </c>
      <c r="AB229" s="112">
        <v>810</v>
      </c>
      <c r="AC229" s="147">
        <v>41122.156004999997</v>
      </c>
    </row>
    <row r="230" spans="23:29">
      <c r="W230" s="111">
        <v>210</v>
      </c>
      <c r="X230" s="112">
        <v>1600</v>
      </c>
      <c r="Y230" s="113">
        <v>20539</v>
      </c>
      <c r="Z230" s="113">
        <v>22139</v>
      </c>
      <c r="AA230" s="112">
        <v>2214</v>
      </c>
      <c r="AB230" s="112">
        <v>810</v>
      </c>
      <c r="AC230" s="147">
        <v>41436.751734000005</v>
      </c>
    </row>
    <row r="231" spans="23:29">
      <c r="W231" s="111">
        <v>211</v>
      </c>
      <c r="X231" s="112">
        <v>1600</v>
      </c>
      <c r="Y231" s="113">
        <v>20726</v>
      </c>
      <c r="Z231" s="113">
        <v>22326</v>
      </c>
      <c r="AA231" s="112">
        <v>2233</v>
      </c>
      <c r="AB231" s="112">
        <v>820</v>
      </c>
      <c r="AC231" s="147">
        <v>41751.347463000006</v>
      </c>
    </row>
    <row r="232" spans="23:29">
      <c r="W232" s="111">
        <v>212</v>
      </c>
      <c r="X232" s="112">
        <v>1600</v>
      </c>
      <c r="Y232" s="113">
        <v>20914</v>
      </c>
      <c r="Z232" s="113">
        <v>22514</v>
      </c>
      <c r="AA232" s="112">
        <v>2251</v>
      </c>
      <c r="AB232" s="112">
        <v>830</v>
      </c>
      <c r="AC232" s="147">
        <v>42080.923941000001</v>
      </c>
    </row>
    <row r="233" spans="23:29">
      <c r="W233" s="111">
        <v>213</v>
      </c>
      <c r="X233" s="112">
        <v>1600</v>
      </c>
      <c r="Y233" s="113">
        <v>21102</v>
      </c>
      <c r="Z233" s="113">
        <v>22702</v>
      </c>
      <c r="AA233" s="112">
        <v>2270</v>
      </c>
      <c r="AB233" s="112">
        <v>830</v>
      </c>
      <c r="AC233" s="147">
        <v>42395.519669999994</v>
      </c>
    </row>
    <row r="234" spans="23:29">
      <c r="W234" s="111">
        <v>214</v>
      </c>
      <c r="X234" s="112">
        <v>1600</v>
      </c>
      <c r="Y234" s="113">
        <v>21290</v>
      </c>
      <c r="Z234" s="113">
        <v>22890</v>
      </c>
      <c r="AA234" s="112">
        <v>2289</v>
      </c>
      <c r="AB234" s="112">
        <v>840</v>
      </c>
      <c r="AC234" s="147">
        <v>42710.115398999995</v>
      </c>
    </row>
    <row r="235" spans="23:29">
      <c r="W235" s="111">
        <v>215</v>
      </c>
      <c r="X235" s="112">
        <v>1600</v>
      </c>
      <c r="Y235" s="113">
        <v>21478</v>
      </c>
      <c r="Z235" s="113">
        <v>23078</v>
      </c>
      <c r="AA235" s="112">
        <v>2308</v>
      </c>
      <c r="AB235" s="112">
        <v>850</v>
      </c>
      <c r="AC235" s="147">
        <v>43039.691877000005</v>
      </c>
    </row>
    <row r="236" spans="23:29">
      <c r="W236" s="111">
        <v>216</v>
      </c>
      <c r="X236" s="112">
        <v>1600</v>
      </c>
      <c r="Y236" s="113">
        <v>21666</v>
      </c>
      <c r="Z236" s="113">
        <v>23266</v>
      </c>
      <c r="AA236" s="112">
        <v>2327</v>
      </c>
      <c r="AB236" s="112">
        <v>860</v>
      </c>
      <c r="AC236" s="147">
        <v>43369.268355</v>
      </c>
    </row>
    <row r="237" spans="23:29">
      <c r="W237" s="111">
        <v>217</v>
      </c>
      <c r="X237" s="112">
        <v>1600</v>
      </c>
      <c r="Y237" s="113">
        <v>21854</v>
      </c>
      <c r="Z237" s="113">
        <v>23454</v>
      </c>
      <c r="AA237" s="112">
        <v>2345</v>
      </c>
      <c r="AB237" s="112">
        <v>860</v>
      </c>
      <c r="AC237" s="147">
        <v>43668.883334999999</v>
      </c>
    </row>
    <row r="238" spans="23:29">
      <c r="W238" s="111">
        <v>218</v>
      </c>
      <c r="X238" s="112">
        <v>1600</v>
      </c>
      <c r="Y238" s="113">
        <v>22042</v>
      </c>
      <c r="Z238" s="113">
        <v>23642</v>
      </c>
      <c r="AA238" s="112">
        <v>2364</v>
      </c>
      <c r="AB238" s="112">
        <v>870</v>
      </c>
      <c r="AC238" s="147">
        <v>43998.459813000001</v>
      </c>
    </row>
    <row r="239" spans="23:29">
      <c r="W239" s="111">
        <v>219</v>
      </c>
      <c r="X239" s="112">
        <v>1600</v>
      </c>
      <c r="Y239" s="113">
        <v>22230</v>
      </c>
      <c r="Z239" s="113">
        <v>23830</v>
      </c>
      <c r="AA239" s="112">
        <v>2383</v>
      </c>
      <c r="AB239" s="112">
        <v>880</v>
      </c>
      <c r="AC239" s="147">
        <v>44328.036291000004</v>
      </c>
    </row>
    <row r="240" spans="23:29">
      <c r="W240" s="111">
        <v>220</v>
      </c>
      <c r="X240" s="112">
        <v>1600</v>
      </c>
      <c r="Y240" s="113">
        <v>22418</v>
      </c>
      <c r="Z240" s="113">
        <v>24018</v>
      </c>
      <c r="AA240" s="112">
        <v>2402</v>
      </c>
      <c r="AB240" s="112">
        <v>880</v>
      </c>
      <c r="AC240" s="147">
        <v>44642.632019999997</v>
      </c>
    </row>
    <row r="241" spans="23:29">
      <c r="W241" s="111">
        <v>221</v>
      </c>
      <c r="X241" s="112">
        <v>1600</v>
      </c>
      <c r="Y241" s="113">
        <v>22605</v>
      </c>
      <c r="Z241" s="113">
        <v>24205</v>
      </c>
      <c r="AA241" s="112">
        <v>2421</v>
      </c>
      <c r="AB241" s="112">
        <v>890</v>
      </c>
      <c r="AC241" s="147">
        <v>44957.227748999991</v>
      </c>
    </row>
    <row r="242" spans="23:29">
      <c r="W242" s="111">
        <v>222</v>
      </c>
      <c r="X242" s="112">
        <v>1600</v>
      </c>
      <c r="Y242" s="113">
        <v>22793</v>
      </c>
      <c r="Z242" s="113">
        <v>24393</v>
      </c>
      <c r="AA242" s="112">
        <v>2439</v>
      </c>
      <c r="AB242" s="112">
        <v>900</v>
      </c>
      <c r="AC242" s="147">
        <v>45286.804227000001</v>
      </c>
    </row>
    <row r="243" spans="23:29">
      <c r="W243" s="111">
        <v>223</v>
      </c>
      <c r="X243" s="112">
        <v>1600</v>
      </c>
      <c r="Y243" s="113">
        <v>22981</v>
      </c>
      <c r="Z243" s="113">
        <v>24581</v>
      </c>
      <c r="AA243" s="112">
        <v>2458</v>
      </c>
      <c r="AB243" s="112">
        <v>900</v>
      </c>
      <c r="AC243" s="147">
        <v>45586.419207000006</v>
      </c>
    </row>
    <row r="244" spans="23:29">
      <c r="W244" s="111">
        <v>224</v>
      </c>
      <c r="X244" s="112">
        <v>1600</v>
      </c>
      <c r="Y244" s="113">
        <v>23169</v>
      </c>
      <c r="Z244" s="113">
        <v>24769</v>
      </c>
      <c r="AA244" s="112">
        <v>2477</v>
      </c>
      <c r="AB244" s="112">
        <v>910</v>
      </c>
      <c r="AC244" s="147">
        <v>45915.995685000002</v>
      </c>
    </row>
    <row r="245" spans="23:29">
      <c r="W245" s="111">
        <v>225</v>
      </c>
      <c r="X245" s="112">
        <v>1600</v>
      </c>
      <c r="Y245" s="113">
        <v>23357</v>
      </c>
      <c r="Z245" s="113">
        <v>24957</v>
      </c>
      <c r="AA245" s="112">
        <v>2496</v>
      </c>
      <c r="AB245" s="112">
        <v>920</v>
      </c>
      <c r="AC245" s="147">
        <v>46245.572162999997</v>
      </c>
    </row>
    <row r="246" spans="23:29">
      <c r="W246" s="111">
        <v>226</v>
      </c>
      <c r="X246" s="112">
        <v>1600</v>
      </c>
      <c r="Y246" s="113">
        <v>23545</v>
      </c>
      <c r="Z246" s="113">
        <v>25145</v>
      </c>
      <c r="AA246" s="112">
        <v>2515</v>
      </c>
      <c r="AB246" s="112">
        <v>930</v>
      </c>
      <c r="AC246" s="147">
        <v>46575.148640999992</v>
      </c>
    </row>
    <row r="247" spans="23:29">
      <c r="W247" s="111">
        <v>227</v>
      </c>
      <c r="X247" s="112">
        <v>1600</v>
      </c>
      <c r="Y247" s="113">
        <v>23733</v>
      </c>
      <c r="Z247" s="113">
        <v>25333</v>
      </c>
      <c r="AA247" s="112">
        <v>2533</v>
      </c>
      <c r="AB247" s="112">
        <v>930</v>
      </c>
      <c r="AC247" s="147">
        <v>46874.763620999998</v>
      </c>
    </row>
    <row r="248" spans="23:29">
      <c r="W248" s="111">
        <v>228</v>
      </c>
      <c r="X248" s="112">
        <v>1600</v>
      </c>
      <c r="Y248" s="113">
        <v>23921</v>
      </c>
      <c r="Z248" s="113">
        <v>25521</v>
      </c>
      <c r="AA248" s="112">
        <v>2552</v>
      </c>
      <c r="AB248" s="112">
        <v>940</v>
      </c>
      <c r="AC248" s="147">
        <v>47204.340098999994</v>
      </c>
    </row>
    <row r="249" spans="23:29">
      <c r="W249" s="111">
        <v>229</v>
      </c>
      <c r="X249" s="112">
        <v>1600</v>
      </c>
      <c r="Y249" s="113">
        <v>24109</v>
      </c>
      <c r="Z249" s="113">
        <v>25709</v>
      </c>
      <c r="AA249" s="112">
        <v>2571</v>
      </c>
      <c r="AB249" s="112">
        <v>950</v>
      </c>
      <c r="AC249" s="147">
        <v>47533.916576999996</v>
      </c>
    </row>
    <row r="250" spans="23:29">
      <c r="W250" s="111">
        <v>230</v>
      </c>
      <c r="X250" s="112">
        <v>1600</v>
      </c>
      <c r="Y250" s="113">
        <v>24297</v>
      </c>
      <c r="Z250" s="113">
        <v>25897</v>
      </c>
      <c r="AA250" s="112">
        <v>2590</v>
      </c>
      <c r="AB250" s="112">
        <v>950</v>
      </c>
      <c r="AC250" s="147">
        <v>47833.531557000009</v>
      </c>
    </row>
    <row r="251" spans="23:29">
      <c r="W251" s="111">
        <v>231</v>
      </c>
      <c r="X251" s="112">
        <v>1600</v>
      </c>
      <c r="Y251" s="113">
        <v>24484</v>
      </c>
      <c r="Z251" s="113">
        <v>26084</v>
      </c>
      <c r="AA251" s="112">
        <v>2608</v>
      </c>
      <c r="AB251" s="112">
        <v>960</v>
      </c>
      <c r="AC251" s="147">
        <v>48163.108035000005</v>
      </c>
    </row>
    <row r="252" spans="23:29">
      <c r="W252" s="111">
        <v>232</v>
      </c>
      <c r="X252" s="112">
        <v>1600</v>
      </c>
      <c r="Y252" s="113">
        <v>24672</v>
      </c>
      <c r="Z252" s="113">
        <v>26272</v>
      </c>
      <c r="AA252" s="112">
        <v>2627</v>
      </c>
      <c r="AB252" s="112">
        <v>970</v>
      </c>
      <c r="AC252" s="147">
        <v>48477.703763999991</v>
      </c>
    </row>
    <row r="253" spans="23:29">
      <c r="W253" s="111">
        <v>233</v>
      </c>
      <c r="X253" s="112">
        <v>1600</v>
      </c>
      <c r="Y253" s="113">
        <v>24860</v>
      </c>
      <c r="Z253" s="113">
        <v>26460</v>
      </c>
      <c r="AA253" s="112">
        <v>2646</v>
      </c>
      <c r="AB253" s="112">
        <v>970</v>
      </c>
      <c r="AC253" s="147">
        <v>48792.299492999991</v>
      </c>
    </row>
    <row r="254" spans="23:29">
      <c r="W254" s="111">
        <v>234</v>
      </c>
      <c r="X254" s="112">
        <v>1600</v>
      </c>
      <c r="Y254" s="113">
        <v>25048</v>
      </c>
      <c r="Z254" s="113">
        <v>26648</v>
      </c>
      <c r="AA254" s="112">
        <v>2665</v>
      </c>
      <c r="AB254" s="112">
        <v>980</v>
      </c>
      <c r="AC254" s="147">
        <v>49121.875971000001</v>
      </c>
    </row>
    <row r="255" spans="23:29">
      <c r="W255" s="111">
        <v>235</v>
      </c>
      <c r="X255" s="112">
        <v>1600</v>
      </c>
      <c r="Y255" s="113">
        <v>25236</v>
      </c>
      <c r="Z255" s="113">
        <v>26836</v>
      </c>
      <c r="AA255" s="112">
        <v>2684</v>
      </c>
      <c r="AB255" s="112">
        <v>990</v>
      </c>
      <c r="AC255" s="147">
        <v>49451.452448999997</v>
      </c>
    </row>
    <row r="256" spans="23:29">
      <c r="W256" s="111">
        <v>236</v>
      </c>
      <c r="X256" s="112">
        <v>1600</v>
      </c>
      <c r="Y256" s="113">
        <v>25424</v>
      </c>
      <c r="Z256" s="113">
        <v>27024</v>
      </c>
      <c r="AA256" s="112">
        <v>2702</v>
      </c>
      <c r="AB256" s="112">
        <v>990</v>
      </c>
      <c r="AC256" s="147">
        <v>49751.067428999995</v>
      </c>
    </row>
    <row r="257" spans="23:29">
      <c r="W257" s="111">
        <v>237</v>
      </c>
      <c r="X257" s="112">
        <v>1600</v>
      </c>
      <c r="Y257" s="113">
        <v>25612</v>
      </c>
      <c r="Z257" s="113">
        <v>27212</v>
      </c>
      <c r="AA257" s="112">
        <v>2721</v>
      </c>
      <c r="AB257" s="112">
        <v>1000</v>
      </c>
      <c r="AC257" s="147">
        <v>50080.643906999998</v>
      </c>
    </row>
    <row r="258" spans="23:29">
      <c r="W258" s="111">
        <v>238</v>
      </c>
      <c r="X258" s="112">
        <v>1600</v>
      </c>
      <c r="Y258" s="113">
        <v>25800</v>
      </c>
      <c r="Z258" s="113">
        <v>27400</v>
      </c>
      <c r="AA258" s="112">
        <v>2740</v>
      </c>
      <c r="AB258" s="112">
        <v>1010</v>
      </c>
      <c r="AC258" s="147">
        <v>50410.220385000008</v>
      </c>
    </row>
    <row r="259" spans="23:29">
      <c r="W259" s="111">
        <v>239</v>
      </c>
      <c r="X259" s="112">
        <v>1600</v>
      </c>
      <c r="Y259" s="113">
        <v>25988</v>
      </c>
      <c r="Z259" s="113">
        <v>27588</v>
      </c>
      <c r="AA259" s="112">
        <v>2759</v>
      </c>
      <c r="AB259" s="112">
        <v>1020</v>
      </c>
      <c r="AC259" s="147">
        <v>50724.816113999994</v>
      </c>
    </row>
    <row r="260" spans="23:29">
      <c r="W260" s="111">
        <v>240</v>
      </c>
      <c r="X260" s="112">
        <v>1600</v>
      </c>
      <c r="Y260" s="113">
        <v>26176</v>
      </c>
      <c r="Z260" s="113">
        <v>27776</v>
      </c>
      <c r="AA260" s="112">
        <v>2778</v>
      </c>
      <c r="AB260" s="112">
        <v>1020</v>
      </c>
      <c r="AC260" s="147">
        <v>51039.411842999994</v>
      </c>
    </row>
    <row r="261" spans="23:29">
      <c r="W261" s="111">
        <v>241</v>
      </c>
      <c r="X261" s="112">
        <v>1600</v>
      </c>
      <c r="Y261" s="113">
        <v>26363</v>
      </c>
      <c r="Z261" s="113">
        <v>27963</v>
      </c>
      <c r="AA261" s="112">
        <v>2796</v>
      </c>
      <c r="AB261" s="112">
        <v>1030</v>
      </c>
      <c r="AC261" s="147">
        <v>51354.00757200001</v>
      </c>
    </row>
    <row r="262" spans="23:29">
      <c r="W262" s="111">
        <v>242</v>
      </c>
      <c r="X262" s="112">
        <v>1600</v>
      </c>
      <c r="Y262" s="113">
        <v>26551</v>
      </c>
      <c r="Z262" s="113">
        <v>28151</v>
      </c>
      <c r="AA262" s="112">
        <v>2815</v>
      </c>
      <c r="AB262" s="112">
        <v>1040</v>
      </c>
      <c r="AC262" s="147">
        <v>51683.584050000005</v>
      </c>
    </row>
    <row r="263" spans="23:29">
      <c r="W263" s="111">
        <v>243</v>
      </c>
      <c r="X263" s="112">
        <v>1600</v>
      </c>
      <c r="Y263" s="113">
        <v>26739</v>
      </c>
      <c r="Z263" s="113">
        <v>28339</v>
      </c>
      <c r="AA263" s="112">
        <v>2834</v>
      </c>
      <c r="AB263" s="112">
        <v>1040</v>
      </c>
      <c r="AC263" s="147">
        <v>51998.179778999998</v>
      </c>
    </row>
    <row r="264" spans="23:29">
      <c r="W264" s="111">
        <v>244</v>
      </c>
      <c r="X264" s="112">
        <v>1600</v>
      </c>
      <c r="Y264" s="113">
        <v>26927</v>
      </c>
      <c r="Z264" s="113">
        <v>28527</v>
      </c>
      <c r="AA264" s="112">
        <v>2853</v>
      </c>
      <c r="AB264" s="112">
        <v>1050</v>
      </c>
      <c r="AC264" s="147">
        <v>52327.756257000001</v>
      </c>
    </row>
    <row r="265" spans="23:29">
      <c r="W265" s="111">
        <v>245</v>
      </c>
      <c r="X265" s="112">
        <v>1600</v>
      </c>
      <c r="Y265" s="113">
        <v>27115</v>
      </c>
      <c r="Z265" s="113">
        <v>28715</v>
      </c>
      <c r="AA265" s="112">
        <v>2872</v>
      </c>
      <c r="AB265" s="112">
        <v>1060</v>
      </c>
      <c r="AC265" s="147">
        <v>52642.351986000001</v>
      </c>
    </row>
    <row r="266" spans="23:29">
      <c r="W266" s="111">
        <v>246</v>
      </c>
      <c r="X266" s="112">
        <v>1600</v>
      </c>
      <c r="Y266" s="113">
        <v>27303</v>
      </c>
      <c r="Z266" s="113">
        <v>28903</v>
      </c>
      <c r="AA266" s="112">
        <v>2890</v>
      </c>
      <c r="AB266" s="112">
        <v>1060</v>
      </c>
      <c r="AC266" s="147">
        <v>52956.947715000002</v>
      </c>
    </row>
    <row r="267" spans="23:29">
      <c r="W267" s="111">
        <v>247</v>
      </c>
      <c r="X267" s="112">
        <v>1600</v>
      </c>
      <c r="Y267" s="113">
        <v>27491</v>
      </c>
      <c r="Z267" s="113">
        <v>29091</v>
      </c>
      <c r="AA267" s="112">
        <v>2909</v>
      </c>
      <c r="AB267" s="112">
        <v>1070</v>
      </c>
      <c r="AC267" s="147">
        <v>53286.524192999997</v>
      </c>
    </row>
    <row r="268" spans="23:29">
      <c r="W268" s="111">
        <v>248</v>
      </c>
      <c r="X268" s="112">
        <v>1600</v>
      </c>
      <c r="Y268" s="113">
        <v>27679</v>
      </c>
      <c r="Z268" s="113">
        <v>29279</v>
      </c>
      <c r="AA268" s="112">
        <v>2928</v>
      </c>
      <c r="AB268" s="112">
        <v>1080</v>
      </c>
      <c r="AC268" s="147">
        <v>53601.119921999991</v>
      </c>
    </row>
    <row r="269" spans="23:29">
      <c r="W269" s="111">
        <v>249</v>
      </c>
      <c r="X269" s="112">
        <v>1600</v>
      </c>
      <c r="Y269" s="113">
        <v>27867</v>
      </c>
      <c r="Z269" s="113">
        <v>29467</v>
      </c>
      <c r="AA269" s="112">
        <v>2947</v>
      </c>
      <c r="AB269" s="112">
        <v>1090</v>
      </c>
      <c r="AC269" s="147">
        <v>53930.696400000001</v>
      </c>
    </row>
    <row r="270" spans="23:29">
      <c r="W270" s="111">
        <v>250</v>
      </c>
      <c r="X270" s="112">
        <v>1600</v>
      </c>
      <c r="Y270" s="113">
        <v>28055</v>
      </c>
      <c r="Z270" s="113">
        <v>29655</v>
      </c>
      <c r="AA270" s="112">
        <v>2966</v>
      </c>
      <c r="AB270" s="112">
        <v>1090</v>
      </c>
      <c r="AC270" s="147">
        <v>54245.292129000001</v>
      </c>
    </row>
    <row r="271" spans="23:29">
      <c r="W271" s="111">
        <v>251</v>
      </c>
      <c r="X271" s="112">
        <v>1600</v>
      </c>
      <c r="Y271" s="113">
        <v>28242</v>
      </c>
      <c r="Z271" s="113">
        <v>29842</v>
      </c>
      <c r="AA271" s="112">
        <v>2984</v>
      </c>
      <c r="AB271" s="112">
        <v>1100</v>
      </c>
      <c r="AC271" s="147">
        <v>54559.887858000002</v>
      </c>
    </row>
    <row r="272" spans="23:29">
      <c r="W272" s="111">
        <v>252</v>
      </c>
      <c r="X272" s="112">
        <v>1600</v>
      </c>
      <c r="Y272" s="113">
        <v>28430</v>
      </c>
      <c r="Z272" s="113">
        <v>30030</v>
      </c>
      <c r="AA272" s="112">
        <v>3003</v>
      </c>
      <c r="AB272" s="112">
        <v>1110</v>
      </c>
      <c r="AC272" s="147">
        <v>54889.464335999997</v>
      </c>
    </row>
    <row r="273" spans="23:29">
      <c r="W273" s="111">
        <v>253</v>
      </c>
      <c r="X273" s="112">
        <v>1600</v>
      </c>
      <c r="Y273" s="113">
        <v>28618</v>
      </c>
      <c r="Z273" s="113">
        <v>30218</v>
      </c>
      <c r="AA273" s="112">
        <v>3022</v>
      </c>
      <c r="AB273" s="112">
        <v>1110</v>
      </c>
      <c r="AC273" s="147">
        <v>55204.060064999998</v>
      </c>
    </row>
    <row r="274" spans="23:29">
      <c r="W274" s="111">
        <v>254</v>
      </c>
      <c r="X274" s="112">
        <v>1600</v>
      </c>
      <c r="Y274" s="113">
        <v>28806</v>
      </c>
      <c r="Z274" s="113">
        <v>30406</v>
      </c>
      <c r="AA274" s="112">
        <v>3041</v>
      </c>
      <c r="AB274" s="112">
        <v>1120</v>
      </c>
      <c r="AC274" s="147">
        <v>55518.655793999998</v>
      </c>
    </row>
    <row r="275" spans="23:29">
      <c r="W275" s="111">
        <v>255</v>
      </c>
      <c r="X275" s="112">
        <v>1600</v>
      </c>
      <c r="Y275" s="113">
        <v>28994</v>
      </c>
      <c r="Z275" s="113">
        <v>30594</v>
      </c>
      <c r="AA275" s="112">
        <v>3059</v>
      </c>
      <c r="AB275" s="112">
        <v>1130</v>
      </c>
      <c r="AC275" s="147">
        <v>55848.232271999994</v>
      </c>
    </row>
    <row r="276" spans="23:29">
      <c r="W276" s="111">
        <v>256</v>
      </c>
      <c r="X276" s="112">
        <v>1600</v>
      </c>
      <c r="Y276" s="113">
        <v>29182</v>
      </c>
      <c r="Z276" s="113">
        <v>30782</v>
      </c>
      <c r="AA276" s="112">
        <v>3078</v>
      </c>
      <c r="AB276" s="112">
        <v>1130</v>
      </c>
      <c r="AC276" s="147">
        <v>56162.828000999994</v>
      </c>
    </row>
    <row r="277" spans="23:29">
      <c r="W277" s="111">
        <v>257</v>
      </c>
      <c r="X277" s="112">
        <v>1600</v>
      </c>
      <c r="Y277" s="113">
        <v>29370</v>
      </c>
      <c r="Z277" s="113">
        <v>30970</v>
      </c>
      <c r="AA277" s="112">
        <v>3097</v>
      </c>
      <c r="AB277" s="112">
        <v>1140</v>
      </c>
      <c r="AC277" s="147">
        <v>56477.423730000002</v>
      </c>
    </row>
    <row r="278" spans="23:29">
      <c r="W278" s="111">
        <v>258</v>
      </c>
      <c r="X278" s="112">
        <v>1600</v>
      </c>
      <c r="Y278" s="113">
        <v>29558</v>
      </c>
      <c r="Z278" s="113">
        <v>31158</v>
      </c>
      <c r="AA278" s="112">
        <v>3116</v>
      </c>
      <c r="AB278" s="112">
        <v>1150</v>
      </c>
      <c r="AC278" s="147">
        <v>56807.000208000005</v>
      </c>
    </row>
    <row r="279" spans="23:29">
      <c r="W279" s="111">
        <v>259</v>
      </c>
      <c r="X279" s="112">
        <v>1600</v>
      </c>
      <c r="Y279" s="113">
        <v>29746</v>
      </c>
      <c r="Z279" s="113">
        <v>31346</v>
      </c>
      <c r="AA279" s="112">
        <v>3135</v>
      </c>
      <c r="AB279" s="112">
        <v>1150</v>
      </c>
      <c r="AC279" s="147">
        <v>57121.595936999991</v>
      </c>
    </row>
    <row r="280" spans="23:29">
      <c r="W280" s="111">
        <v>260</v>
      </c>
      <c r="X280" s="112">
        <v>1600</v>
      </c>
      <c r="Y280" s="113">
        <v>29934</v>
      </c>
      <c r="Z280" s="113">
        <v>31534</v>
      </c>
      <c r="AA280" s="112">
        <v>3153</v>
      </c>
      <c r="AB280" s="112">
        <v>1160</v>
      </c>
      <c r="AC280" s="147">
        <v>57436.191665999999</v>
      </c>
    </row>
    <row r="281" spans="23:29">
      <c r="W281" s="111">
        <v>261</v>
      </c>
      <c r="X281" s="112">
        <v>1600</v>
      </c>
      <c r="Y281" s="113">
        <v>30121</v>
      </c>
      <c r="Z281" s="113">
        <v>31721</v>
      </c>
      <c r="AA281" s="112">
        <v>3172</v>
      </c>
      <c r="AB281" s="112">
        <v>1170</v>
      </c>
      <c r="AC281" s="147">
        <v>57765.768143999994</v>
      </c>
    </row>
    <row r="282" spans="23:29">
      <c r="W282" s="111">
        <v>262</v>
      </c>
      <c r="X282" s="112">
        <v>1600</v>
      </c>
      <c r="Y282" s="113">
        <v>30309</v>
      </c>
      <c r="Z282" s="113">
        <v>31909</v>
      </c>
      <c r="AA282" s="112">
        <v>3191</v>
      </c>
      <c r="AB282" s="112">
        <v>1180</v>
      </c>
      <c r="AC282" s="147">
        <v>58095.34462199999</v>
      </c>
    </row>
    <row r="283" spans="23:29">
      <c r="W283" s="111">
        <v>263</v>
      </c>
      <c r="X283" s="112">
        <v>1600</v>
      </c>
      <c r="Y283" s="113">
        <v>30497</v>
      </c>
      <c r="Z283" s="113">
        <v>32097</v>
      </c>
      <c r="AA283" s="112">
        <v>3210</v>
      </c>
      <c r="AB283" s="112">
        <v>1180</v>
      </c>
      <c r="AC283" s="147">
        <v>58394.959601999988</v>
      </c>
    </row>
    <row r="284" spans="23:29">
      <c r="W284" s="111">
        <v>264</v>
      </c>
      <c r="X284" s="112">
        <v>1600</v>
      </c>
      <c r="Y284" s="113">
        <v>30685</v>
      </c>
      <c r="Z284" s="113">
        <v>32285</v>
      </c>
      <c r="AA284" s="112">
        <v>3229</v>
      </c>
      <c r="AB284" s="112">
        <v>1190</v>
      </c>
      <c r="AC284" s="147">
        <v>58724.536080000005</v>
      </c>
    </row>
    <row r="285" spans="23:29">
      <c r="W285" s="111">
        <v>265</v>
      </c>
      <c r="X285" s="112">
        <v>1600</v>
      </c>
      <c r="Y285" s="113">
        <v>30873</v>
      </c>
      <c r="Z285" s="113">
        <v>32473</v>
      </c>
      <c r="AA285" s="112">
        <v>3247</v>
      </c>
      <c r="AB285" s="112">
        <v>1200</v>
      </c>
      <c r="AC285" s="147">
        <v>59054.112558000001</v>
      </c>
    </row>
    <row r="286" spans="23:29">
      <c r="W286" s="111">
        <v>266</v>
      </c>
      <c r="X286" s="112">
        <v>1600</v>
      </c>
      <c r="Y286" s="113">
        <v>31061</v>
      </c>
      <c r="Z286" s="113">
        <v>32661</v>
      </c>
      <c r="AA286" s="112">
        <v>3266</v>
      </c>
      <c r="AB286" s="112">
        <v>1200</v>
      </c>
      <c r="AC286" s="147">
        <v>59353.727537999999</v>
      </c>
    </row>
    <row r="287" spans="23:29">
      <c r="W287" s="111">
        <v>267</v>
      </c>
      <c r="X287" s="112">
        <v>1600</v>
      </c>
      <c r="Y287" s="113">
        <v>31249</v>
      </c>
      <c r="Z287" s="113">
        <v>32849</v>
      </c>
      <c r="AA287" s="112">
        <v>3285</v>
      </c>
      <c r="AB287" s="112">
        <v>1210</v>
      </c>
      <c r="AC287" s="147">
        <v>59683.304015999995</v>
      </c>
    </row>
    <row r="288" spans="23:29">
      <c r="W288" s="111">
        <v>268</v>
      </c>
      <c r="X288" s="112">
        <v>1600</v>
      </c>
      <c r="Y288" s="113">
        <v>31437</v>
      </c>
      <c r="Z288" s="113">
        <v>33037</v>
      </c>
      <c r="AA288" s="112">
        <v>3304</v>
      </c>
      <c r="AB288" s="112">
        <v>1220</v>
      </c>
      <c r="AC288" s="147">
        <v>60012.880493999997</v>
      </c>
    </row>
    <row r="289" spans="23:29">
      <c r="W289" s="111">
        <v>269</v>
      </c>
      <c r="X289" s="112">
        <v>1600</v>
      </c>
      <c r="Y289" s="113">
        <v>31625</v>
      </c>
      <c r="Z289" s="113">
        <v>33225</v>
      </c>
      <c r="AA289" s="112">
        <v>3323</v>
      </c>
      <c r="AB289" s="112">
        <v>1220</v>
      </c>
      <c r="AC289" s="147">
        <v>60312.495473999996</v>
      </c>
    </row>
    <row r="290" spans="23:29">
      <c r="W290" s="111">
        <v>270</v>
      </c>
      <c r="X290" s="112">
        <v>1600</v>
      </c>
      <c r="Y290" s="113">
        <v>31813</v>
      </c>
      <c r="Z290" s="113">
        <v>33413</v>
      </c>
      <c r="AA290" s="112">
        <v>3341</v>
      </c>
      <c r="AB290" s="112">
        <v>1230</v>
      </c>
      <c r="AC290" s="147">
        <v>60642.071951999991</v>
      </c>
    </row>
    <row r="291" spans="23:29">
      <c r="W291" s="111">
        <v>271</v>
      </c>
      <c r="X291" s="112">
        <v>1600</v>
      </c>
      <c r="Y291" s="113">
        <v>32000</v>
      </c>
      <c r="Z291" s="113">
        <v>33600</v>
      </c>
      <c r="AA291" s="112">
        <v>3360</v>
      </c>
      <c r="AB291" s="112">
        <v>1240</v>
      </c>
      <c r="AC291" s="147">
        <v>60971.648430000001</v>
      </c>
    </row>
    <row r="292" spans="23:29">
      <c r="W292" s="111">
        <v>272</v>
      </c>
      <c r="X292" s="112">
        <v>1600</v>
      </c>
      <c r="Y292" s="113">
        <v>32188</v>
      </c>
      <c r="Z292" s="113">
        <v>33788</v>
      </c>
      <c r="AA292" s="112">
        <v>3379</v>
      </c>
      <c r="AB292" s="112">
        <v>1250</v>
      </c>
      <c r="AC292" s="147">
        <v>61286.244158999994</v>
      </c>
    </row>
    <row r="293" spans="23:29">
      <c r="W293" s="111">
        <v>273</v>
      </c>
      <c r="X293" s="112">
        <v>1600</v>
      </c>
      <c r="Y293" s="113">
        <v>32376</v>
      </c>
      <c r="Z293" s="113">
        <v>33976</v>
      </c>
      <c r="AA293" s="112">
        <v>3398</v>
      </c>
      <c r="AB293" s="112">
        <v>1250</v>
      </c>
      <c r="AC293" s="147">
        <v>61600.839887999995</v>
      </c>
    </row>
    <row r="294" spans="23:29">
      <c r="W294" s="111">
        <v>274</v>
      </c>
      <c r="X294" s="112">
        <v>1600</v>
      </c>
      <c r="Y294" s="113">
        <v>32564</v>
      </c>
      <c r="Z294" s="113">
        <v>34164</v>
      </c>
      <c r="AA294" s="112">
        <v>3416</v>
      </c>
      <c r="AB294" s="112">
        <v>1260</v>
      </c>
      <c r="AC294" s="147">
        <v>61930.41636599999</v>
      </c>
    </row>
    <row r="295" spans="23:29">
      <c r="W295" s="111">
        <v>275</v>
      </c>
      <c r="X295" s="112">
        <v>1600</v>
      </c>
      <c r="Y295" s="113">
        <v>32752</v>
      </c>
      <c r="Z295" s="113">
        <v>34352</v>
      </c>
      <c r="AA295" s="112">
        <v>3435</v>
      </c>
      <c r="AB295" s="112">
        <v>1270</v>
      </c>
      <c r="AC295" s="147">
        <v>62245.012095000006</v>
      </c>
    </row>
    <row r="296" spans="23:29">
      <c r="W296" s="111">
        <v>276</v>
      </c>
      <c r="X296" s="112">
        <v>1600</v>
      </c>
      <c r="Y296" s="113">
        <v>32940</v>
      </c>
      <c r="Z296" s="113">
        <v>34540</v>
      </c>
      <c r="AA296" s="112">
        <v>3454</v>
      </c>
      <c r="AB296" s="112">
        <v>1270</v>
      </c>
      <c r="AC296" s="147">
        <v>62559.607823999999</v>
      </c>
    </row>
    <row r="297" spans="23:29">
      <c r="W297" s="111">
        <v>277</v>
      </c>
      <c r="X297" s="112">
        <v>1600</v>
      </c>
      <c r="Y297" s="113">
        <v>33128</v>
      </c>
      <c r="Z297" s="113">
        <v>34728</v>
      </c>
      <c r="AA297" s="112">
        <v>3473</v>
      </c>
      <c r="AB297" s="112">
        <v>1280</v>
      </c>
      <c r="AC297" s="147">
        <v>62889.184301999994</v>
      </c>
    </row>
    <row r="298" spans="23:29">
      <c r="W298" s="111">
        <v>278</v>
      </c>
      <c r="X298" s="112">
        <v>1600</v>
      </c>
      <c r="Y298" s="113">
        <v>33316</v>
      </c>
      <c r="Z298" s="113">
        <v>34916</v>
      </c>
      <c r="AA298" s="112">
        <v>3492</v>
      </c>
      <c r="AB298" s="112">
        <v>1290</v>
      </c>
      <c r="AC298" s="147">
        <v>63203.780030999988</v>
      </c>
    </row>
    <row r="299" spans="23:29">
      <c r="W299" s="111">
        <v>279</v>
      </c>
      <c r="X299" s="112">
        <v>1600</v>
      </c>
      <c r="Y299" s="113">
        <v>33504</v>
      </c>
      <c r="Z299" s="113">
        <v>35104</v>
      </c>
      <c r="AA299" s="112">
        <v>3510</v>
      </c>
      <c r="AB299" s="112">
        <v>1290</v>
      </c>
      <c r="AC299" s="147">
        <v>63518.375760000003</v>
      </c>
    </row>
    <row r="300" spans="23:29">
      <c r="W300" s="111">
        <v>280</v>
      </c>
      <c r="X300" s="112">
        <v>1600</v>
      </c>
      <c r="Y300" s="113">
        <v>33692</v>
      </c>
      <c r="Z300" s="113">
        <v>35292</v>
      </c>
      <c r="AA300" s="112">
        <v>3529</v>
      </c>
      <c r="AB300" s="112">
        <v>1300</v>
      </c>
      <c r="AC300" s="147">
        <v>63847.952237999998</v>
      </c>
    </row>
    <row r="301" spans="23:29">
      <c r="W301" s="111">
        <v>281</v>
      </c>
      <c r="X301" s="112">
        <v>1600</v>
      </c>
      <c r="Y301" s="113">
        <v>33879</v>
      </c>
      <c r="Z301" s="113">
        <v>35479</v>
      </c>
      <c r="AA301" s="112">
        <v>3548</v>
      </c>
      <c r="AB301" s="112">
        <v>1310</v>
      </c>
      <c r="AC301" s="147">
        <v>64162.547966999991</v>
      </c>
    </row>
    <row r="302" spans="23:29">
      <c r="W302" s="111">
        <v>282</v>
      </c>
      <c r="X302" s="112">
        <v>1600</v>
      </c>
      <c r="Y302" s="113">
        <v>34067</v>
      </c>
      <c r="Z302" s="113">
        <v>35667</v>
      </c>
      <c r="AA302" s="112">
        <v>3567</v>
      </c>
      <c r="AB302" s="112">
        <v>1310</v>
      </c>
      <c r="AC302" s="147">
        <v>64477.143695999992</v>
      </c>
    </row>
    <row r="303" spans="23:29">
      <c r="W303" s="111">
        <v>283</v>
      </c>
      <c r="X303" s="112">
        <v>1600</v>
      </c>
      <c r="Y303" s="113">
        <v>34255</v>
      </c>
      <c r="Z303" s="113">
        <v>35855</v>
      </c>
      <c r="AA303" s="112">
        <v>3586</v>
      </c>
      <c r="AB303" s="112">
        <v>1320</v>
      </c>
      <c r="AC303" s="147">
        <v>64806.720174000002</v>
      </c>
    </row>
    <row r="304" spans="23:29">
      <c r="W304" s="111">
        <v>284</v>
      </c>
      <c r="X304" s="112">
        <v>1600</v>
      </c>
      <c r="Y304" s="113">
        <v>34443</v>
      </c>
      <c r="Z304" s="113">
        <v>36043</v>
      </c>
      <c r="AA304" s="112">
        <v>3604</v>
      </c>
      <c r="AB304" s="112">
        <v>1330</v>
      </c>
      <c r="AC304" s="147">
        <v>65121.315902999995</v>
      </c>
    </row>
    <row r="305" spans="23:29">
      <c r="W305" s="111">
        <v>285</v>
      </c>
      <c r="X305" s="112">
        <v>1600</v>
      </c>
      <c r="Y305" s="113">
        <v>34631</v>
      </c>
      <c r="Z305" s="113">
        <v>36231</v>
      </c>
      <c r="AA305" s="112">
        <v>3623</v>
      </c>
      <c r="AB305" s="112">
        <v>1340</v>
      </c>
      <c r="AC305" s="147">
        <v>65450.892380999991</v>
      </c>
    </row>
    <row r="306" spans="23:29">
      <c r="W306" s="111">
        <v>286</v>
      </c>
      <c r="X306" s="112">
        <v>1600</v>
      </c>
      <c r="Y306" s="113">
        <v>34819</v>
      </c>
      <c r="Z306" s="113">
        <v>36419</v>
      </c>
      <c r="AA306" s="112">
        <v>3642</v>
      </c>
      <c r="AB306" s="112">
        <v>1340</v>
      </c>
      <c r="AC306" s="147">
        <v>65765.488110000006</v>
      </c>
    </row>
    <row r="307" spans="23:29">
      <c r="W307" s="111">
        <v>287</v>
      </c>
      <c r="X307" s="112">
        <v>1600</v>
      </c>
      <c r="Y307" s="113">
        <v>35007</v>
      </c>
      <c r="Z307" s="113">
        <v>36607</v>
      </c>
      <c r="AA307" s="112">
        <v>3661</v>
      </c>
      <c r="AB307" s="112">
        <v>1350</v>
      </c>
      <c r="AC307" s="147">
        <v>66080.083838999999</v>
      </c>
    </row>
    <row r="308" spans="23:29">
      <c r="W308" s="111">
        <v>288</v>
      </c>
      <c r="X308" s="112">
        <v>1600</v>
      </c>
      <c r="Y308" s="113">
        <v>35195</v>
      </c>
      <c r="Z308" s="113">
        <v>36795</v>
      </c>
      <c r="AA308" s="112">
        <v>3680</v>
      </c>
      <c r="AB308" s="112">
        <v>1360</v>
      </c>
      <c r="AC308" s="147">
        <v>66409.660316999987</v>
      </c>
    </row>
    <row r="309" spans="23:29">
      <c r="W309" s="111">
        <v>289</v>
      </c>
      <c r="X309" s="112">
        <v>1600</v>
      </c>
      <c r="Y309" s="113">
        <v>35383</v>
      </c>
      <c r="Z309" s="113">
        <v>36983</v>
      </c>
      <c r="AA309" s="112">
        <v>3698</v>
      </c>
      <c r="AB309" s="112">
        <v>1360</v>
      </c>
      <c r="AC309" s="147">
        <v>66724.256045999995</v>
      </c>
    </row>
    <row r="310" spans="23:29">
      <c r="W310" s="111">
        <v>290</v>
      </c>
      <c r="X310" s="112">
        <v>1600</v>
      </c>
      <c r="Y310" s="113">
        <v>35571</v>
      </c>
      <c r="Z310" s="113">
        <v>37171</v>
      </c>
      <c r="AA310" s="112">
        <v>3717</v>
      </c>
      <c r="AB310" s="112">
        <v>1370</v>
      </c>
      <c r="AC310" s="147">
        <v>67038.851775000003</v>
      </c>
    </row>
    <row r="311" spans="23:29">
      <c r="W311" s="111">
        <v>291</v>
      </c>
      <c r="X311" s="112">
        <v>1600</v>
      </c>
      <c r="Y311" s="113">
        <v>35758</v>
      </c>
      <c r="Z311" s="113">
        <v>37358</v>
      </c>
      <c r="AA311" s="112">
        <v>3736</v>
      </c>
      <c r="AB311" s="112">
        <v>1380</v>
      </c>
      <c r="AC311" s="147">
        <v>67368.428253000005</v>
      </c>
    </row>
    <row r="312" spans="23:29">
      <c r="W312" s="111">
        <v>292</v>
      </c>
      <c r="X312" s="112">
        <v>1600</v>
      </c>
      <c r="Y312" s="113">
        <v>35946</v>
      </c>
      <c r="Z312" s="113">
        <v>37546</v>
      </c>
      <c r="AA312" s="112">
        <v>3755</v>
      </c>
      <c r="AB312" s="112">
        <v>1380</v>
      </c>
      <c r="AC312" s="147">
        <v>67683.023981999999</v>
      </c>
    </row>
    <row r="313" spans="23:29">
      <c r="W313" s="111">
        <v>293</v>
      </c>
      <c r="X313" s="112">
        <v>1600</v>
      </c>
      <c r="Y313" s="113">
        <v>36134</v>
      </c>
      <c r="Z313" s="113">
        <v>37734</v>
      </c>
      <c r="AA313" s="112">
        <v>3773</v>
      </c>
      <c r="AB313" s="112">
        <v>1390</v>
      </c>
      <c r="AC313" s="147">
        <v>67997.619710999992</v>
      </c>
    </row>
    <row r="314" spans="23:29">
      <c r="W314" s="111">
        <v>294</v>
      </c>
      <c r="X314" s="112">
        <v>1600</v>
      </c>
      <c r="Y314" s="113">
        <v>36322</v>
      </c>
      <c r="Z314" s="113">
        <v>37922</v>
      </c>
      <c r="AA314" s="112">
        <v>3792</v>
      </c>
      <c r="AB314" s="112">
        <v>1400</v>
      </c>
      <c r="AC314" s="147">
        <v>68327.196188999995</v>
      </c>
    </row>
    <row r="315" spans="23:29">
      <c r="W315" s="111">
        <v>295</v>
      </c>
      <c r="X315" s="112">
        <v>1600</v>
      </c>
      <c r="Y315" s="113">
        <v>36510</v>
      </c>
      <c r="Z315" s="113">
        <v>38110</v>
      </c>
      <c r="AA315" s="112">
        <v>3811</v>
      </c>
      <c r="AB315" s="112">
        <v>1410</v>
      </c>
      <c r="AC315" s="147">
        <v>68656.772666999997</v>
      </c>
    </row>
    <row r="316" spans="23:29">
      <c r="W316" s="111">
        <v>296</v>
      </c>
      <c r="X316" s="112">
        <v>1600</v>
      </c>
      <c r="Y316" s="113">
        <v>36698</v>
      </c>
      <c r="Z316" s="113">
        <v>38298</v>
      </c>
      <c r="AA316" s="112">
        <v>3830</v>
      </c>
      <c r="AB316" s="112">
        <v>1410</v>
      </c>
      <c r="AC316" s="147">
        <v>68956.387646999996</v>
      </c>
    </row>
    <row r="317" spans="23:29">
      <c r="W317" s="111">
        <v>297</v>
      </c>
      <c r="X317" s="112">
        <v>1600</v>
      </c>
      <c r="Y317" s="113">
        <v>36886</v>
      </c>
      <c r="Z317" s="113">
        <v>38486</v>
      </c>
      <c r="AA317" s="112">
        <v>3849</v>
      </c>
      <c r="AB317" s="112">
        <v>1420</v>
      </c>
      <c r="AC317" s="147">
        <v>69285.964124999999</v>
      </c>
    </row>
    <row r="318" spans="23:29">
      <c r="W318" s="111">
        <v>298</v>
      </c>
      <c r="X318" s="112">
        <v>1600</v>
      </c>
      <c r="Y318" s="113">
        <v>37074</v>
      </c>
      <c r="Z318" s="113">
        <v>38674</v>
      </c>
      <c r="AA318" s="112">
        <v>3867</v>
      </c>
      <c r="AB318" s="112">
        <v>1430</v>
      </c>
      <c r="AC318" s="147">
        <v>69615.540603000001</v>
      </c>
    </row>
    <row r="319" spans="23:29">
      <c r="W319" s="111">
        <v>299</v>
      </c>
      <c r="X319" s="112">
        <v>1600</v>
      </c>
      <c r="Y319" s="113">
        <v>37262</v>
      </c>
      <c r="Z319" s="113">
        <v>38862</v>
      </c>
      <c r="AA319" s="112">
        <v>3886</v>
      </c>
      <c r="AB319" s="112">
        <v>1430</v>
      </c>
      <c r="AC319" s="147">
        <v>69915.155582999985</v>
      </c>
    </row>
    <row r="320" spans="23:29">
      <c r="W320" s="111">
        <v>300</v>
      </c>
      <c r="X320" s="112">
        <v>1600</v>
      </c>
      <c r="Y320" s="113">
        <v>37450</v>
      </c>
      <c r="Z320" s="113">
        <v>39050</v>
      </c>
      <c r="AA320" s="112">
        <v>3905</v>
      </c>
      <c r="AB320" s="112">
        <v>1440</v>
      </c>
      <c r="AC320" s="147">
        <v>70244.732061000002</v>
      </c>
    </row>
    <row r="321" spans="23:29">
      <c r="W321" s="111">
        <v>301</v>
      </c>
      <c r="X321" s="112">
        <v>1600</v>
      </c>
      <c r="Y321" s="113">
        <v>37637</v>
      </c>
      <c r="Z321" s="113">
        <v>39237</v>
      </c>
      <c r="AA321" s="112">
        <v>3924</v>
      </c>
      <c r="AB321" s="112">
        <v>1450</v>
      </c>
      <c r="AC321" s="147">
        <v>70574.308539000005</v>
      </c>
    </row>
    <row r="322" spans="23:29">
      <c r="W322" s="111">
        <v>302</v>
      </c>
      <c r="X322" s="112">
        <v>1600</v>
      </c>
      <c r="Y322" s="113">
        <v>37825</v>
      </c>
      <c r="Z322" s="113">
        <v>39425</v>
      </c>
      <c r="AA322" s="112">
        <v>3943</v>
      </c>
      <c r="AB322" s="112">
        <v>1450</v>
      </c>
      <c r="AC322" s="147">
        <v>70873.923518999989</v>
      </c>
    </row>
    <row r="323" spans="23:29">
      <c r="W323" s="111">
        <v>303</v>
      </c>
      <c r="X323" s="112">
        <v>1600</v>
      </c>
      <c r="Y323" s="113">
        <v>38013</v>
      </c>
      <c r="Z323" s="113">
        <v>39613</v>
      </c>
      <c r="AA323" s="112">
        <v>3961</v>
      </c>
      <c r="AB323" s="112">
        <v>1460</v>
      </c>
      <c r="AC323" s="147">
        <v>71203.499996999992</v>
      </c>
    </row>
    <row r="324" spans="23:29">
      <c r="W324" s="111">
        <v>304</v>
      </c>
      <c r="X324" s="112">
        <v>1600</v>
      </c>
      <c r="Y324" s="113">
        <v>38201</v>
      </c>
      <c r="Z324" s="113">
        <v>39801</v>
      </c>
      <c r="AA324" s="112">
        <v>3980</v>
      </c>
      <c r="AB324" s="112">
        <v>1470</v>
      </c>
      <c r="AC324" s="147">
        <v>71533.076474999994</v>
      </c>
    </row>
    <row r="325" spans="23:29">
      <c r="W325" s="111">
        <v>305</v>
      </c>
      <c r="X325" s="112">
        <v>1600</v>
      </c>
      <c r="Y325" s="113">
        <v>38389</v>
      </c>
      <c r="Z325" s="113">
        <v>39989</v>
      </c>
      <c r="AA325" s="112">
        <v>3999</v>
      </c>
      <c r="AB325" s="112">
        <v>1470</v>
      </c>
      <c r="AC325" s="147">
        <v>71832.691455000007</v>
      </c>
    </row>
    <row r="326" spans="23:29">
      <c r="W326" s="111">
        <v>306</v>
      </c>
      <c r="X326" s="112">
        <v>1600</v>
      </c>
      <c r="Y326" s="113">
        <v>38577</v>
      </c>
      <c r="Z326" s="113">
        <v>40177</v>
      </c>
      <c r="AA326" s="112">
        <v>4018</v>
      </c>
      <c r="AB326" s="112">
        <v>1480</v>
      </c>
      <c r="AC326" s="147">
        <v>72162.267932999996</v>
      </c>
    </row>
    <row r="327" spans="23:29">
      <c r="W327" s="111">
        <v>307</v>
      </c>
      <c r="X327" s="112">
        <v>1600</v>
      </c>
      <c r="Y327" s="113">
        <v>38765</v>
      </c>
      <c r="Z327" s="113">
        <v>40365</v>
      </c>
      <c r="AA327" s="112">
        <v>4037</v>
      </c>
      <c r="AB327" s="112">
        <v>1490</v>
      </c>
      <c r="AC327" s="147">
        <v>72491.844410999998</v>
      </c>
    </row>
    <row r="328" spans="23:29">
      <c r="W328" s="111">
        <v>308</v>
      </c>
      <c r="X328" s="112">
        <v>1600</v>
      </c>
      <c r="Y328" s="113">
        <v>38953</v>
      </c>
      <c r="Z328" s="113">
        <v>40553</v>
      </c>
      <c r="AA328" s="112">
        <v>4055</v>
      </c>
      <c r="AB328" s="112">
        <v>1500</v>
      </c>
      <c r="AC328" s="147">
        <v>72806.440139999992</v>
      </c>
    </row>
    <row r="329" spans="23:29">
      <c r="W329" s="111">
        <v>309</v>
      </c>
      <c r="X329" s="112">
        <v>1600</v>
      </c>
      <c r="Y329" s="113">
        <v>39141</v>
      </c>
      <c r="Z329" s="113">
        <v>40741</v>
      </c>
      <c r="AA329" s="112">
        <v>4074</v>
      </c>
      <c r="AB329" s="112">
        <v>1500</v>
      </c>
      <c r="AC329" s="147">
        <v>73121.035868999999</v>
      </c>
    </row>
    <row r="330" spans="23:29">
      <c r="W330" s="111">
        <v>310</v>
      </c>
      <c r="X330" s="112">
        <v>1600</v>
      </c>
      <c r="Y330" s="113">
        <v>39329</v>
      </c>
      <c r="Z330" s="113">
        <v>40929</v>
      </c>
      <c r="AA330" s="112">
        <v>4093</v>
      </c>
      <c r="AB330" s="112">
        <v>1510</v>
      </c>
      <c r="AC330" s="147">
        <v>73450.612347000002</v>
      </c>
    </row>
    <row r="331" spans="23:29">
      <c r="W331" s="111">
        <v>311</v>
      </c>
      <c r="X331" s="112">
        <v>1600</v>
      </c>
      <c r="Y331" s="113">
        <v>39516</v>
      </c>
      <c r="Z331" s="113">
        <v>41116</v>
      </c>
      <c r="AA331" s="112">
        <v>4112</v>
      </c>
      <c r="AB331" s="112">
        <v>1520</v>
      </c>
      <c r="AC331" s="147">
        <v>73765.208075999995</v>
      </c>
    </row>
    <row r="332" spans="23:29">
      <c r="W332" s="111">
        <v>312</v>
      </c>
      <c r="X332" s="112">
        <v>1600</v>
      </c>
      <c r="Y332" s="113">
        <v>39704</v>
      </c>
      <c r="Z332" s="113">
        <v>41304</v>
      </c>
      <c r="AA332" s="112">
        <v>4130</v>
      </c>
      <c r="AB332" s="112">
        <v>1520</v>
      </c>
      <c r="AC332" s="147">
        <v>74079.803805000018</v>
      </c>
    </row>
    <row r="333" spans="23:29">
      <c r="W333" s="111">
        <v>313</v>
      </c>
      <c r="X333" s="112">
        <v>1600</v>
      </c>
      <c r="Y333" s="113">
        <v>39892</v>
      </c>
      <c r="Z333" s="113">
        <v>41492</v>
      </c>
      <c r="AA333" s="112">
        <v>4149</v>
      </c>
      <c r="AB333" s="112">
        <v>1530</v>
      </c>
      <c r="AC333" s="147">
        <v>74409.380283000006</v>
      </c>
    </row>
    <row r="334" spans="23:29">
      <c r="W334" s="111">
        <v>314</v>
      </c>
      <c r="X334" s="112">
        <v>1600</v>
      </c>
      <c r="Y334" s="113">
        <v>40080</v>
      </c>
      <c r="Z334" s="113">
        <v>41680</v>
      </c>
      <c r="AA334" s="112">
        <v>4168</v>
      </c>
      <c r="AB334" s="112">
        <v>1540</v>
      </c>
      <c r="AC334" s="147">
        <v>74723.976011999999</v>
      </c>
    </row>
    <row r="335" spans="23:29">
      <c r="W335" s="111">
        <v>315</v>
      </c>
      <c r="X335" s="112">
        <v>1600</v>
      </c>
      <c r="Y335" s="113">
        <v>40268</v>
      </c>
      <c r="Z335" s="113">
        <v>41868</v>
      </c>
      <c r="AA335" s="112">
        <v>4187</v>
      </c>
      <c r="AB335" s="112">
        <v>1540</v>
      </c>
      <c r="AC335" s="147">
        <v>75038.571740999992</v>
      </c>
    </row>
    <row r="336" spans="23:29">
      <c r="W336" s="111">
        <v>316</v>
      </c>
      <c r="X336" s="112">
        <v>1600</v>
      </c>
      <c r="Y336" s="113">
        <v>40456</v>
      </c>
      <c r="Z336" s="113">
        <v>42056</v>
      </c>
      <c r="AA336" s="112">
        <v>4206</v>
      </c>
      <c r="AB336" s="112">
        <v>1550</v>
      </c>
      <c r="AC336" s="147">
        <v>75368.148218999981</v>
      </c>
    </row>
    <row r="337" spans="23:29">
      <c r="W337" s="111">
        <v>317</v>
      </c>
      <c r="X337" s="112">
        <v>1600</v>
      </c>
      <c r="Y337" s="113">
        <v>40644</v>
      </c>
      <c r="Z337" s="113">
        <v>42244</v>
      </c>
      <c r="AA337" s="112">
        <v>4224</v>
      </c>
      <c r="AB337" s="112">
        <v>1560</v>
      </c>
      <c r="AC337" s="147">
        <v>75682.743948000003</v>
      </c>
    </row>
    <row r="338" spans="23:29">
      <c r="W338" s="111">
        <v>318</v>
      </c>
      <c r="X338" s="112">
        <v>1600</v>
      </c>
      <c r="Y338" s="113">
        <v>40832</v>
      </c>
      <c r="Z338" s="113">
        <v>42432</v>
      </c>
      <c r="AA338" s="112">
        <v>4243</v>
      </c>
      <c r="AB338" s="112">
        <v>1560</v>
      </c>
      <c r="AC338" s="147">
        <v>75997.339676999996</v>
      </c>
    </row>
    <row r="339" spans="23:29">
      <c r="W339" s="111">
        <v>319</v>
      </c>
      <c r="X339" s="112">
        <v>1600</v>
      </c>
      <c r="Y339" s="113">
        <v>41020</v>
      </c>
      <c r="Z339" s="113">
        <v>42620</v>
      </c>
      <c r="AA339" s="112">
        <v>4262</v>
      </c>
      <c r="AB339" s="112">
        <v>1570</v>
      </c>
      <c r="AC339" s="147">
        <v>76326.916154999999</v>
      </c>
    </row>
    <row r="340" spans="23:29">
      <c r="W340" s="111">
        <v>320</v>
      </c>
      <c r="X340" s="112">
        <v>1600</v>
      </c>
      <c r="Y340" s="113">
        <v>41208</v>
      </c>
      <c r="Z340" s="113">
        <v>42808</v>
      </c>
      <c r="AA340" s="112">
        <v>4281</v>
      </c>
      <c r="AB340" s="112">
        <v>1580</v>
      </c>
      <c r="AC340" s="147">
        <v>76641.511883999992</v>
      </c>
    </row>
    <row r="341" spans="23:29">
      <c r="W341" s="111">
        <v>321</v>
      </c>
      <c r="X341" s="112">
        <v>1600</v>
      </c>
      <c r="Y341" s="113">
        <v>41395</v>
      </c>
      <c r="Z341" s="113">
        <v>42995</v>
      </c>
      <c r="AA341" s="112">
        <v>4300</v>
      </c>
      <c r="AB341" s="112">
        <v>1590</v>
      </c>
      <c r="AC341" s="147">
        <v>76971.088361999995</v>
      </c>
    </row>
    <row r="342" spans="23:29">
      <c r="W342" s="111">
        <v>322</v>
      </c>
      <c r="X342" s="112">
        <v>1600</v>
      </c>
      <c r="Y342" s="113">
        <v>41583</v>
      </c>
      <c r="Z342" s="113">
        <v>43183</v>
      </c>
      <c r="AA342" s="112">
        <v>4318</v>
      </c>
      <c r="AB342" s="112">
        <v>1590</v>
      </c>
      <c r="AC342" s="147">
        <v>77285.684091000003</v>
      </c>
    </row>
    <row r="343" spans="23:29">
      <c r="W343" s="111">
        <v>323</v>
      </c>
      <c r="X343" s="112">
        <v>1600</v>
      </c>
      <c r="Y343" s="113">
        <v>41771</v>
      </c>
      <c r="Z343" s="113">
        <v>43371</v>
      </c>
      <c r="AA343" s="112">
        <v>4337</v>
      </c>
      <c r="AB343" s="112">
        <v>1600</v>
      </c>
      <c r="AC343" s="147">
        <v>77600.279819999996</v>
      </c>
    </row>
    <row r="344" spans="23:29">
      <c r="W344" s="111">
        <v>324</v>
      </c>
      <c r="X344" s="112">
        <v>1600</v>
      </c>
      <c r="Y344" s="113">
        <v>41959</v>
      </c>
      <c r="Z344" s="113">
        <v>43559</v>
      </c>
      <c r="AA344" s="112">
        <v>4356</v>
      </c>
      <c r="AB344" s="112">
        <v>1610</v>
      </c>
      <c r="AC344" s="147">
        <v>77929.856297999999</v>
      </c>
    </row>
    <row r="345" spans="23:29">
      <c r="W345" s="111">
        <v>325</v>
      </c>
      <c r="X345" s="112">
        <v>1600</v>
      </c>
      <c r="Y345" s="113">
        <v>42147</v>
      </c>
      <c r="Z345" s="113">
        <v>43747</v>
      </c>
      <c r="AA345" s="112">
        <v>4375</v>
      </c>
      <c r="AB345" s="112">
        <v>1610</v>
      </c>
      <c r="AC345" s="147">
        <v>78244.452027000007</v>
      </c>
    </row>
    <row r="346" spans="23:29">
      <c r="W346" s="111">
        <v>326</v>
      </c>
      <c r="X346" s="112">
        <v>1600</v>
      </c>
      <c r="Y346" s="113">
        <v>42335</v>
      </c>
      <c r="Z346" s="113">
        <v>43935</v>
      </c>
      <c r="AA346" s="112">
        <v>4394</v>
      </c>
      <c r="AB346" s="112">
        <v>1620</v>
      </c>
      <c r="AC346" s="147">
        <v>78559.047756</v>
      </c>
    </row>
    <row r="347" spans="23:29">
      <c r="W347" s="111">
        <v>327</v>
      </c>
      <c r="X347" s="112">
        <v>1600</v>
      </c>
      <c r="Y347" s="113">
        <v>42523</v>
      </c>
      <c r="Z347" s="113">
        <v>44123</v>
      </c>
      <c r="AA347" s="112">
        <v>4412</v>
      </c>
      <c r="AB347" s="112">
        <v>1630</v>
      </c>
      <c r="AC347" s="147">
        <v>78888.624234000003</v>
      </c>
    </row>
    <row r="348" spans="23:29">
      <c r="W348" s="111">
        <v>328</v>
      </c>
      <c r="X348" s="112">
        <v>1600</v>
      </c>
      <c r="Y348" s="113">
        <v>42711</v>
      </c>
      <c r="Z348" s="113">
        <v>44311</v>
      </c>
      <c r="AA348" s="112">
        <v>4431</v>
      </c>
      <c r="AB348" s="112">
        <v>1630</v>
      </c>
      <c r="AC348" s="147">
        <v>79203.219962999981</v>
      </c>
    </row>
    <row r="349" spans="23:29">
      <c r="W349" s="111">
        <v>329</v>
      </c>
      <c r="X349" s="112">
        <v>1600</v>
      </c>
      <c r="Y349" s="113">
        <v>42899</v>
      </c>
      <c r="Z349" s="113">
        <v>44499</v>
      </c>
      <c r="AA349" s="112">
        <v>4450</v>
      </c>
      <c r="AB349" s="112">
        <v>1640</v>
      </c>
      <c r="AC349" s="147">
        <v>79517.815692000004</v>
      </c>
    </row>
    <row r="350" spans="23:29">
      <c r="W350" s="111">
        <v>330</v>
      </c>
      <c r="X350" s="112">
        <v>1600</v>
      </c>
      <c r="Y350" s="113">
        <v>43087</v>
      </c>
      <c r="Z350" s="113">
        <v>44687</v>
      </c>
      <c r="AA350" s="112">
        <v>4469</v>
      </c>
      <c r="AB350" s="112">
        <v>1650</v>
      </c>
      <c r="AC350" s="147">
        <v>79847.392170000006</v>
      </c>
    </row>
    <row r="351" spans="23:29">
      <c r="W351" s="111">
        <v>331</v>
      </c>
      <c r="X351" s="112">
        <v>1600</v>
      </c>
      <c r="Y351" s="113">
        <v>43274</v>
      </c>
      <c r="Z351" s="113">
        <v>44874</v>
      </c>
      <c r="AA351" s="112">
        <v>4487</v>
      </c>
      <c r="AB351" s="112">
        <v>1660</v>
      </c>
      <c r="AC351" s="147">
        <v>80176.968647999995</v>
      </c>
    </row>
    <row r="352" spans="23:29">
      <c r="W352" s="111">
        <v>332</v>
      </c>
      <c r="X352" s="112">
        <v>1600</v>
      </c>
      <c r="Y352" s="113">
        <v>43462</v>
      </c>
      <c r="Z352" s="113">
        <v>45062</v>
      </c>
      <c r="AA352" s="112">
        <v>4506</v>
      </c>
      <c r="AB352" s="112">
        <v>1660</v>
      </c>
      <c r="AC352" s="147">
        <v>80476.583627999993</v>
      </c>
    </row>
    <row r="353" spans="23:29">
      <c r="W353" s="111">
        <v>333</v>
      </c>
      <c r="X353" s="112">
        <v>1600</v>
      </c>
      <c r="Y353" s="113">
        <v>43650</v>
      </c>
      <c r="Z353" s="113">
        <v>45250</v>
      </c>
      <c r="AA353" s="112">
        <v>4525</v>
      </c>
      <c r="AB353" s="112">
        <v>1670</v>
      </c>
      <c r="AC353" s="147">
        <v>80806.160105999996</v>
      </c>
    </row>
    <row r="354" spans="23:29">
      <c r="W354" s="111">
        <v>334</v>
      </c>
      <c r="X354" s="112">
        <v>1600</v>
      </c>
      <c r="Y354" s="113">
        <v>43838</v>
      </c>
      <c r="Z354" s="113">
        <v>45438</v>
      </c>
      <c r="AA354" s="112">
        <v>4544</v>
      </c>
      <c r="AB354" s="112">
        <v>1680</v>
      </c>
      <c r="AC354" s="147">
        <v>81135.736583999984</v>
      </c>
    </row>
    <row r="355" spans="23:29">
      <c r="W355" s="111">
        <v>335</v>
      </c>
      <c r="X355" s="112">
        <v>1600</v>
      </c>
      <c r="Y355" s="113">
        <v>44026</v>
      </c>
      <c r="Z355" s="113">
        <v>45626</v>
      </c>
      <c r="AA355" s="112">
        <v>4563</v>
      </c>
      <c r="AB355" s="112">
        <v>1680</v>
      </c>
      <c r="AC355" s="147">
        <v>81435.351563999997</v>
      </c>
    </row>
    <row r="356" spans="23:29">
      <c r="W356" s="111">
        <v>336</v>
      </c>
      <c r="X356" s="112">
        <v>1600</v>
      </c>
      <c r="Y356" s="113">
        <v>44214</v>
      </c>
      <c r="Z356" s="113">
        <v>45814</v>
      </c>
      <c r="AA356" s="112">
        <v>4581</v>
      </c>
      <c r="AB356" s="112">
        <v>1690</v>
      </c>
      <c r="AC356" s="147">
        <v>81764.928041999985</v>
      </c>
    </row>
    <row r="357" spans="23:29">
      <c r="W357" s="111">
        <v>337</v>
      </c>
      <c r="X357" s="112">
        <v>1600</v>
      </c>
      <c r="Y357" s="113">
        <v>44402</v>
      </c>
      <c r="Z357" s="113">
        <v>46002</v>
      </c>
      <c r="AA357" s="112">
        <v>4600</v>
      </c>
      <c r="AB357" s="112">
        <v>1700</v>
      </c>
      <c r="AC357" s="147">
        <v>82094.504520000002</v>
      </c>
    </row>
    <row r="358" spans="23:29">
      <c r="W358" s="111">
        <v>338</v>
      </c>
      <c r="X358" s="112">
        <v>1600</v>
      </c>
      <c r="Y358" s="113">
        <v>44590</v>
      </c>
      <c r="Z358" s="113">
        <v>46190</v>
      </c>
      <c r="AA358" s="112">
        <v>4619</v>
      </c>
      <c r="AB358" s="112">
        <v>1700</v>
      </c>
      <c r="AC358" s="147">
        <v>82394.119500000001</v>
      </c>
    </row>
    <row r="359" spans="23:29">
      <c r="W359" s="111">
        <v>339</v>
      </c>
      <c r="X359" s="112">
        <v>1600</v>
      </c>
      <c r="Y359" s="113">
        <v>44778</v>
      </c>
      <c r="Z359" s="113">
        <v>46378</v>
      </c>
      <c r="AA359" s="112">
        <v>4638</v>
      </c>
      <c r="AB359" s="112">
        <v>1710</v>
      </c>
      <c r="AC359" s="147">
        <v>82723.695977999989</v>
      </c>
    </row>
    <row r="360" spans="23:29">
      <c r="W360" s="111">
        <v>340</v>
      </c>
      <c r="X360" s="112">
        <v>1600</v>
      </c>
      <c r="Y360" s="113">
        <v>44966</v>
      </c>
      <c r="Z360" s="113">
        <v>46566</v>
      </c>
      <c r="AA360" s="112">
        <v>4657</v>
      </c>
      <c r="AB360" s="112">
        <v>1720</v>
      </c>
      <c r="AC360" s="147">
        <v>83053.272455999992</v>
      </c>
    </row>
    <row r="361" spans="23:29">
      <c r="W361" s="111">
        <v>341</v>
      </c>
      <c r="X361" s="112">
        <v>1600</v>
      </c>
      <c r="Y361" s="113">
        <v>45153</v>
      </c>
      <c r="Z361" s="113">
        <v>46753</v>
      </c>
      <c r="AA361" s="112">
        <v>4675</v>
      </c>
      <c r="AB361" s="112">
        <v>1720</v>
      </c>
      <c r="AC361" s="147">
        <v>83352.887436000005</v>
      </c>
    </row>
    <row r="362" spans="23:29">
      <c r="W362" s="111">
        <v>342</v>
      </c>
      <c r="X362" s="112">
        <v>1600</v>
      </c>
      <c r="Y362" s="113">
        <v>45341</v>
      </c>
      <c r="Z362" s="113">
        <v>46941</v>
      </c>
      <c r="AA362" s="112">
        <v>4694</v>
      </c>
      <c r="AB362" s="112">
        <v>1730</v>
      </c>
      <c r="AC362" s="147">
        <v>83682.463914000007</v>
      </c>
    </row>
    <row r="363" spans="23:29">
      <c r="W363" s="111">
        <v>343</v>
      </c>
      <c r="X363" s="112">
        <v>1600</v>
      </c>
      <c r="Y363" s="113">
        <v>45529</v>
      </c>
      <c r="Z363" s="113">
        <v>47129</v>
      </c>
      <c r="AA363" s="112">
        <v>4713</v>
      </c>
      <c r="AB363" s="112">
        <v>1740</v>
      </c>
      <c r="AC363" s="147">
        <v>84012.040391999995</v>
      </c>
    </row>
    <row r="364" spans="23:29">
      <c r="W364" s="111">
        <v>344</v>
      </c>
      <c r="X364" s="112">
        <v>1600</v>
      </c>
      <c r="Y364" s="113">
        <v>45717</v>
      </c>
      <c r="Z364" s="113">
        <v>47317</v>
      </c>
      <c r="AA364" s="112">
        <v>4732</v>
      </c>
      <c r="AB364" s="112">
        <v>1750</v>
      </c>
      <c r="AC364" s="147">
        <v>84326.636120999989</v>
      </c>
    </row>
    <row r="365" spans="23:29">
      <c r="W365" s="111">
        <v>345</v>
      </c>
      <c r="X365" s="112">
        <v>1600</v>
      </c>
      <c r="Y365" s="113">
        <v>45905</v>
      </c>
      <c r="Z365" s="113">
        <v>47505</v>
      </c>
      <c r="AA365" s="112">
        <v>4751</v>
      </c>
      <c r="AB365" s="112">
        <v>1750</v>
      </c>
      <c r="AC365" s="147">
        <v>84641.231849999996</v>
      </c>
    </row>
    <row r="366" spans="23:29">
      <c r="W366" s="111">
        <v>346</v>
      </c>
      <c r="X366" s="112">
        <v>1600</v>
      </c>
      <c r="Y366" s="113">
        <v>46093</v>
      </c>
      <c r="Z366" s="113">
        <v>47693</v>
      </c>
      <c r="AA366" s="112">
        <v>4769</v>
      </c>
      <c r="AB366" s="112">
        <v>1760</v>
      </c>
      <c r="AC366" s="147">
        <v>84970.808327999985</v>
      </c>
    </row>
    <row r="367" spans="23:29">
      <c r="W367" s="111">
        <v>347</v>
      </c>
      <c r="X367" s="112">
        <v>1600</v>
      </c>
      <c r="Y367" s="113">
        <v>46281</v>
      </c>
      <c r="Z367" s="113">
        <v>47881</v>
      </c>
      <c r="AA367" s="112">
        <v>4788</v>
      </c>
      <c r="AB367" s="112">
        <v>1770</v>
      </c>
      <c r="AC367" s="147">
        <v>85285.404056999992</v>
      </c>
    </row>
    <row r="368" spans="23:29">
      <c r="W368" s="111">
        <v>348</v>
      </c>
      <c r="X368" s="112">
        <v>1600</v>
      </c>
      <c r="Y368" s="113">
        <v>46469</v>
      </c>
      <c r="Z368" s="113">
        <v>48069</v>
      </c>
      <c r="AA368" s="112">
        <v>4807</v>
      </c>
      <c r="AB368" s="112">
        <v>1770</v>
      </c>
      <c r="AC368" s="147">
        <v>85599.999786</v>
      </c>
    </row>
    <row r="369" spans="23:29">
      <c r="W369" s="111">
        <v>349</v>
      </c>
      <c r="X369" s="112">
        <v>1600</v>
      </c>
      <c r="Y369" s="113">
        <v>46657</v>
      </c>
      <c r="Z369" s="113">
        <v>48257</v>
      </c>
      <c r="AA369" s="112">
        <v>4826</v>
      </c>
      <c r="AB369" s="112">
        <v>1780</v>
      </c>
      <c r="AC369" s="147">
        <v>85929.576264000003</v>
      </c>
    </row>
    <row r="370" spans="23:29">
      <c r="W370" s="111">
        <v>350</v>
      </c>
      <c r="X370" s="112">
        <v>1600</v>
      </c>
      <c r="Y370" s="113">
        <v>46845</v>
      </c>
      <c r="Z370" s="113">
        <v>48445</v>
      </c>
      <c r="AA370" s="112">
        <v>4845</v>
      </c>
      <c r="AB370" s="112">
        <v>1790</v>
      </c>
      <c r="AC370" s="147">
        <v>86259.152741999991</v>
      </c>
    </row>
    <row r="371" spans="23:29">
      <c r="W371" s="111">
        <v>351</v>
      </c>
      <c r="X371" s="112">
        <v>1600</v>
      </c>
      <c r="Y371" s="113">
        <v>47032</v>
      </c>
      <c r="Z371" s="113">
        <v>48632</v>
      </c>
      <c r="AA371" s="112">
        <v>4863</v>
      </c>
      <c r="AB371" s="112">
        <v>1790</v>
      </c>
      <c r="AC371" s="147">
        <v>86558.76772199999</v>
      </c>
    </row>
    <row r="372" spans="23:29">
      <c r="W372" s="111">
        <v>352</v>
      </c>
      <c r="X372" s="112">
        <v>1600</v>
      </c>
      <c r="Y372" s="113">
        <v>47220</v>
      </c>
      <c r="Z372" s="113">
        <v>48820</v>
      </c>
      <c r="AA372" s="112">
        <v>4882</v>
      </c>
      <c r="AB372" s="112">
        <v>1800</v>
      </c>
      <c r="AC372" s="147">
        <v>86888.344199999992</v>
      </c>
    </row>
    <row r="373" spans="23:29">
      <c r="W373" s="111">
        <v>353</v>
      </c>
      <c r="X373" s="112">
        <v>1600</v>
      </c>
      <c r="Y373" s="113">
        <v>47408</v>
      </c>
      <c r="Z373" s="113">
        <v>49008</v>
      </c>
      <c r="AA373" s="112">
        <v>4901</v>
      </c>
      <c r="AB373" s="112">
        <v>1810</v>
      </c>
      <c r="AC373" s="147">
        <v>87202.939929</v>
      </c>
    </row>
    <row r="374" spans="23:29">
      <c r="W374" s="111">
        <v>354</v>
      </c>
      <c r="X374" s="112">
        <v>1600</v>
      </c>
      <c r="Y374" s="113">
        <v>47596</v>
      </c>
      <c r="Z374" s="113">
        <v>49196</v>
      </c>
      <c r="AA374" s="112">
        <v>4920</v>
      </c>
      <c r="AB374" s="112">
        <v>1820</v>
      </c>
      <c r="AC374" s="147">
        <v>87532.516406999988</v>
      </c>
    </row>
    <row r="375" spans="23:29">
      <c r="W375" s="111">
        <v>355</v>
      </c>
      <c r="X375" s="112">
        <v>1600</v>
      </c>
      <c r="Y375" s="113">
        <v>47784</v>
      </c>
      <c r="Z375" s="113">
        <v>49384</v>
      </c>
      <c r="AA375" s="112">
        <v>4938</v>
      </c>
      <c r="AB375" s="112">
        <v>1820</v>
      </c>
      <c r="AC375" s="147">
        <v>87847.112135999996</v>
      </c>
    </row>
    <row r="376" spans="23:29">
      <c r="W376" s="111">
        <v>356</v>
      </c>
      <c r="X376" s="112">
        <v>1600</v>
      </c>
      <c r="Y376" s="113">
        <v>47972</v>
      </c>
      <c r="Z376" s="113">
        <v>49572</v>
      </c>
      <c r="AA376" s="112">
        <v>4957</v>
      </c>
      <c r="AB376" s="112">
        <v>1830</v>
      </c>
      <c r="AC376" s="147">
        <v>88161.707865000004</v>
      </c>
    </row>
    <row r="377" spans="23:29">
      <c r="W377" s="111">
        <v>357</v>
      </c>
      <c r="X377" s="112">
        <v>1600</v>
      </c>
      <c r="Y377" s="113">
        <v>48160</v>
      </c>
      <c r="Z377" s="113">
        <v>49760</v>
      </c>
      <c r="AA377" s="112">
        <v>4976</v>
      </c>
      <c r="AB377" s="112">
        <v>1840</v>
      </c>
      <c r="AC377" s="147">
        <v>88491.284342999978</v>
      </c>
    </row>
    <row r="378" spans="23:29">
      <c r="W378" s="111">
        <v>358</v>
      </c>
      <c r="X378" s="112">
        <v>1600</v>
      </c>
      <c r="Y378" s="113">
        <v>48348</v>
      </c>
      <c r="Z378" s="113">
        <v>49948</v>
      </c>
      <c r="AA378" s="112">
        <v>4995</v>
      </c>
      <c r="AB378" s="112">
        <v>1840</v>
      </c>
      <c r="AC378" s="147">
        <v>88805.880072</v>
      </c>
    </row>
    <row r="379" spans="23:29">
      <c r="W379" s="111">
        <v>359</v>
      </c>
      <c r="X379" s="112">
        <v>1600</v>
      </c>
      <c r="Y379" s="113">
        <v>48536</v>
      </c>
      <c r="Z379" s="113">
        <v>50136</v>
      </c>
      <c r="AA379" s="112">
        <v>5014</v>
      </c>
      <c r="AB379" s="112">
        <v>1850</v>
      </c>
      <c r="AC379" s="147">
        <v>89135.456550000017</v>
      </c>
    </row>
    <row r="380" spans="23:29">
      <c r="W380" s="111">
        <v>360</v>
      </c>
      <c r="X380" s="112">
        <v>1600</v>
      </c>
      <c r="Y380" s="113">
        <v>48724</v>
      </c>
      <c r="Z380" s="113">
        <v>50324</v>
      </c>
      <c r="AA380" s="112">
        <v>5032</v>
      </c>
      <c r="AB380" s="112">
        <v>1860</v>
      </c>
      <c r="AC380" s="147">
        <v>89450.052278999996</v>
      </c>
    </row>
    <row r="381" spans="23:29">
      <c r="W381" s="111">
        <v>361</v>
      </c>
      <c r="X381" s="112">
        <v>1600</v>
      </c>
      <c r="Y381" s="113">
        <v>48911</v>
      </c>
      <c r="Z381" s="113">
        <v>50511</v>
      </c>
      <c r="AA381" s="112">
        <v>5051</v>
      </c>
      <c r="AB381" s="112">
        <v>1860</v>
      </c>
      <c r="AC381" s="147">
        <v>89764.648007999989</v>
      </c>
    </row>
    <row r="382" spans="23:29">
      <c r="W382" s="111">
        <v>362</v>
      </c>
      <c r="X382" s="112">
        <v>1600</v>
      </c>
      <c r="Y382" s="113">
        <v>49099</v>
      </c>
      <c r="Z382" s="113">
        <v>50699</v>
      </c>
      <c r="AA382" s="112">
        <v>5070</v>
      </c>
      <c r="AB382" s="112">
        <v>1870</v>
      </c>
      <c r="AC382" s="147">
        <v>90079.243736999997</v>
      </c>
    </row>
    <row r="383" spans="23:29">
      <c r="W383" s="111">
        <v>363</v>
      </c>
      <c r="X383" s="112">
        <v>1600</v>
      </c>
      <c r="Y383" s="113">
        <v>49287</v>
      </c>
      <c r="Z383" s="113">
        <v>50887</v>
      </c>
      <c r="AA383" s="112">
        <v>5089</v>
      </c>
      <c r="AB383" s="112">
        <v>1880</v>
      </c>
      <c r="AC383" s="147">
        <v>90408.820215</v>
      </c>
    </row>
    <row r="384" spans="23:29">
      <c r="W384" s="111">
        <v>364</v>
      </c>
      <c r="X384" s="112">
        <v>1600</v>
      </c>
      <c r="Y384" s="113">
        <v>49475</v>
      </c>
      <c r="Z384" s="113">
        <v>51075</v>
      </c>
      <c r="AA384" s="112">
        <v>5108</v>
      </c>
      <c r="AB384" s="112">
        <v>1880</v>
      </c>
      <c r="AC384" s="147">
        <v>90723.415944000008</v>
      </c>
    </row>
    <row r="385" spans="23:29">
      <c r="W385" s="111">
        <v>365</v>
      </c>
      <c r="X385" s="112">
        <v>1600</v>
      </c>
      <c r="Y385" s="113">
        <v>49663</v>
      </c>
      <c r="Z385" s="113">
        <v>51263</v>
      </c>
      <c r="AA385" s="112">
        <v>5126</v>
      </c>
      <c r="AB385" s="112">
        <v>1890</v>
      </c>
      <c r="AC385" s="147">
        <v>91038.011672999972</v>
      </c>
    </row>
    <row r="386" spans="23:29">
      <c r="W386" s="111">
        <v>366</v>
      </c>
      <c r="X386" s="112">
        <v>1600</v>
      </c>
      <c r="Y386" s="113">
        <v>49851</v>
      </c>
      <c r="Z386" s="113">
        <v>51451</v>
      </c>
      <c r="AA386" s="112">
        <v>5145</v>
      </c>
      <c r="AB386" s="112">
        <v>1900</v>
      </c>
      <c r="AC386" s="147">
        <v>91367.588150999989</v>
      </c>
    </row>
    <row r="387" spans="23:29">
      <c r="W387" s="111">
        <v>367</v>
      </c>
      <c r="X387" s="112">
        <v>1600</v>
      </c>
      <c r="Y387" s="113">
        <v>50039</v>
      </c>
      <c r="Z387" s="113">
        <v>51639</v>
      </c>
      <c r="AA387" s="112">
        <v>5164</v>
      </c>
      <c r="AB387" s="112">
        <v>1910</v>
      </c>
      <c r="AC387" s="147">
        <v>91697.164629000021</v>
      </c>
    </row>
    <row r="388" spans="23:29">
      <c r="W388" s="111">
        <v>368</v>
      </c>
      <c r="X388" s="112">
        <v>1600</v>
      </c>
      <c r="Y388" s="113">
        <v>50227</v>
      </c>
      <c r="Z388" s="113">
        <v>51827</v>
      </c>
      <c r="AA388" s="112">
        <v>5183</v>
      </c>
      <c r="AB388" s="112">
        <v>1910</v>
      </c>
      <c r="AC388" s="147">
        <v>92011.760357999985</v>
      </c>
    </row>
    <row r="389" spans="23:29">
      <c r="W389" s="111">
        <v>369</v>
      </c>
      <c r="X389" s="112">
        <v>1600</v>
      </c>
      <c r="Y389" s="113">
        <v>50415</v>
      </c>
      <c r="Z389" s="113">
        <v>52015</v>
      </c>
      <c r="AA389" s="112">
        <v>5202</v>
      </c>
      <c r="AB389" s="112">
        <v>1920</v>
      </c>
      <c r="AC389" s="147">
        <v>92326.356086999993</v>
      </c>
    </row>
    <row r="390" spans="23:29">
      <c r="W390" s="111">
        <v>370</v>
      </c>
      <c r="X390" s="112">
        <v>1600</v>
      </c>
      <c r="Y390" s="113">
        <v>50603</v>
      </c>
      <c r="Z390" s="113">
        <v>52203</v>
      </c>
      <c r="AA390" s="112">
        <v>5220</v>
      </c>
      <c r="AB390" s="112">
        <v>1930</v>
      </c>
      <c r="AC390" s="147">
        <v>92655.932564999996</v>
      </c>
    </row>
    <row r="391" spans="23:29">
      <c r="W391" s="111">
        <v>371</v>
      </c>
      <c r="X391" s="112">
        <v>1600</v>
      </c>
      <c r="Y391" s="113">
        <v>50790</v>
      </c>
      <c r="Z391" s="113">
        <v>52390</v>
      </c>
      <c r="AA391" s="112">
        <v>5239</v>
      </c>
      <c r="AB391" s="112">
        <v>1930</v>
      </c>
      <c r="AC391" s="147">
        <v>92955.547544999994</v>
      </c>
    </row>
    <row r="392" spans="23:29">
      <c r="W392" s="111">
        <v>372</v>
      </c>
      <c r="X392" s="112">
        <v>1600</v>
      </c>
      <c r="Y392" s="113">
        <v>50978</v>
      </c>
      <c r="Z392" s="113">
        <v>52578</v>
      </c>
      <c r="AA392" s="112">
        <v>5258</v>
      </c>
      <c r="AB392" s="112">
        <v>1940</v>
      </c>
      <c r="AC392" s="147">
        <v>93285.124022999997</v>
      </c>
    </row>
    <row r="393" spans="23:29">
      <c r="W393" s="111">
        <v>373</v>
      </c>
      <c r="X393" s="112">
        <v>1600</v>
      </c>
      <c r="Y393" s="113">
        <v>51166</v>
      </c>
      <c r="Z393" s="113">
        <v>52766</v>
      </c>
      <c r="AA393" s="112">
        <v>5277</v>
      </c>
      <c r="AB393" s="112">
        <v>1950</v>
      </c>
      <c r="AC393" s="147">
        <v>93614.700500999985</v>
      </c>
    </row>
    <row r="394" spans="23:29">
      <c r="W394" s="111">
        <v>374</v>
      </c>
      <c r="X394" s="112">
        <v>1600</v>
      </c>
      <c r="Y394" s="113">
        <v>51354</v>
      </c>
      <c r="Z394" s="113">
        <v>52954</v>
      </c>
      <c r="AA394" s="112">
        <v>5295</v>
      </c>
      <c r="AB394" s="112">
        <v>1950</v>
      </c>
      <c r="AC394" s="147">
        <v>93914.315480999998</v>
      </c>
    </row>
    <row r="395" spans="23:29">
      <c r="W395" s="111">
        <v>375</v>
      </c>
      <c r="X395" s="112">
        <v>1600</v>
      </c>
      <c r="Y395" s="113">
        <v>51542</v>
      </c>
      <c r="Z395" s="113">
        <v>53142</v>
      </c>
      <c r="AA395" s="112">
        <v>5314</v>
      </c>
      <c r="AB395" s="112">
        <v>1960</v>
      </c>
      <c r="AC395" s="147">
        <v>94243.891959000015</v>
      </c>
    </row>
    <row r="396" spans="23:29">
      <c r="W396" s="111">
        <v>376</v>
      </c>
      <c r="X396" s="112">
        <v>1600</v>
      </c>
      <c r="Y396" s="113">
        <v>51730</v>
      </c>
      <c r="Z396" s="113">
        <v>53330</v>
      </c>
      <c r="AA396" s="112">
        <v>5333</v>
      </c>
      <c r="AB396" s="112">
        <v>1970</v>
      </c>
      <c r="AC396" s="147">
        <v>94573.468436999989</v>
      </c>
    </row>
    <row r="397" spans="23:29">
      <c r="W397" s="111">
        <v>377</v>
      </c>
      <c r="X397" s="112">
        <v>1600</v>
      </c>
      <c r="Y397" s="113">
        <v>51918</v>
      </c>
      <c r="Z397" s="113">
        <v>53518</v>
      </c>
      <c r="AA397" s="112">
        <v>5352</v>
      </c>
      <c r="AB397" s="112">
        <v>1980</v>
      </c>
      <c r="AC397" s="147">
        <v>94903.044915000006</v>
      </c>
    </row>
    <row r="398" spans="23:29">
      <c r="W398" s="111">
        <v>378</v>
      </c>
      <c r="X398" s="112">
        <v>1600</v>
      </c>
      <c r="Y398" s="113">
        <v>52106</v>
      </c>
      <c r="Z398" s="113">
        <v>53706</v>
      </c>
      <c r="AA398" s="112">
        <v>5371</v>
      </c>
      <c r="AB398" s="112">
        <v>1980</v>
      </c>
      <c r="AC398" s="147">
        <v>95202.659895000004</v>
      </c>
    </row>
    <row r="399" spans="23:29">
      <c r="W399" s="111">
        <v>379</v>
      </c>
      <c r="X399" s="112">
        <v>1600</v>
      </c>
      <c r="Y399" s="113">
        <v>52294</v>
      </c>
      <c r="Z399" s="113">
        <v>53894</v>
      </c>
      <c r="AA399" s="112">
        <v>5389</v>
      </c>
      <c r="AB399" s="112">
        <v>1990</v>
      </c>
      <c r="AC399" s="147">
        <v>95532.236372999978</v>
      </c>
    </row>
    <row r="400" spans="23:29">
      <c r="W400" s="111">
        <v>380</v>
      </c>
      <c r="X400" s="112">
        <v>1600</v>
      </c>
      <c r="Y400" s="113">
        <v>52482</v>
      </c>
      <c r="Z400" s="113">
        <v>54082</v>
      </c>
      <c r="AA400" s="112">
        <v>5408</v>
      </c>
      <c r="AB400" s="112">
        <v>2000</v>
      </c>
      <c r="AC400" s="147">
        <v>95861.81285100001</v>
      </c>
    </row>
    <row r="401" spans="23:29">
      <c r="W401" s="111">
        <v>381</v>
      </c>
      <c r="X401" s="112">
        <v>1600</v>
      </c>
      <c r="Y401" s="113">
        <v>52669</v>
      </c>
      <c r="Z401" s="113">
        <v>54269</v>
      </c>
      <c r="AA401" s="112">
        <v>5427</v>
      </c>
      <c r="AB401" s="112">
        <v>2000</v>
      </c>
      <c r="AC401" s="147">
        <v>96161.427830999979</v>
      </c>
    </row>
    <row r="402" spans="23:29">
      <c r="W402" s="111">
        <v>382</v>
      </c>
      <c r="X402" s="112">
        <v>1600</v>
      </c>
      <c r="Y402" s="113">
        <v>52857</v>
      </c>
      <c r="Z402" s="113">
        <v>54457</v>
      </c>
      <c r="AA402" s="112">
        <v>5446</v>
      </c>
      <c r="AB402" s="112">
        <v>2010</v>
      </c>
      <c r="AC402" s="147">
        <v>96491.004308999996</v>
      </c>
    </row>
    <row r="403" spans="23:29">
      <c r="W403" s="111">
        <v>383</v>
      </c>
      <c r="X403" s="112">
        <v>1600</v>
      </c>
      <c r="Y403" s="113">
        <v>53045</v>
      </c>
      <c r="Z403" s="113">
        <v>54645</v>
      </c>
      <c r="AA403" s="112">
        <v>5465</v>
      </c>
      <c r="AB403" s="112">
        <v>2020</v>
      </c>
      <c r="AC403" s="147">
        <v>96820.580786999999</v>
      </c>
    </row>
    <row r="404" spans="23:29">
      <c r="W404" s="111">
        <v>384</v>
      </c>
      <c r="X404" s="112">
        <v>1600</v>
      </c>
      <c r="Y404" s="113">
        <v>53233</v>
      </c>
      <c r="Z404" s="113">
        <v>54833</v>
      </c>
      <c r="AA404" s="112">
        <v>5483</v>
      </c>
      <c r="AB404" s="112">
        <v>2020</v>
      </c>
      <c r="AC404" s="147">
        <v>97120.195766999983</v>
      </c>
    </row>
    <row r="405" spans="23:29">
      <c r="W405" s="111">
        <v>385</v>
      </c>
      <c r="X405" s="112">
        <v>1600</v>
      </c>
      <c r="Y405" s="113">
        <v>53421</v>
      </c>
      <c r="Z405" s="113">
        <v>55021</v>
      </c>
      <c r="AA405" s="112">
        <v>5502</v>
      </c>
      <c r="AB405" s="112">
        <v>2030</v>
      </c>
      <c r="AC405" s="147">
        <v>97449.772245</v>
      </c>
    </row>
    <row r="406" spans="23:29">
      <c r="W406" s="111">
        <v>386</v>
      </c>
      <c r="X406" s="112">
        <v>1600</v>
      </c>
      <c r="Y406" s="113">
        <v>53609</v>
      </c>
      <c r="Z406" s="113">
        <v>55209</v>
      </c>
      <c r="AA406" s="112">
        <v>5521</v>
      </c>
      <c r="AB406" s="112">
        <v>2040</v>
      </c>
      <c r="AC406" s="147">
        <v>97779.348723000003</v>
      </c>
    </row>
    <row r="407" spans="23:29">
      <c r="W407" s="111">
        <v>387</v>
      </c>
      <c r="X407" s="112">
        <v>1600</v>
      </c>
      <c r="Y407" s="113">
        <v>53797</v>
      </c>
      <c r="Z407" s="113">
        <v>55397</v>
      </c>
      <c r="AA407" s="112">
        <v>5540</v>
      </c>
      <c r="AB407" s="112">
        <v>2040</v>
      </c>
      <c r="AC407" s="147">
        <v>98078.963702999987</v>
      </c>
    </row>
    <row r="408" spans="23:29">
      <c r="W408" s="111">
        <v>388</v>
      </c>
      <c r="X408" s="112">
        <v>1600</v>
      </c>
      <c r="Y408" s="113">
        <v>53985</v>
      </c>
      <c r="Z408" s="113">
        <v>55585</v>
      </c>
      <c r="AA408" s="112">
        <v>5559</v>
      </c>
      <c r="AB408" s="112">
        <v>2050</v>
      </c>
      <c r="AC408" s="147">
        <v>98408.540181000004</v>
      </c>
    </row>
    <row r="409" spans="23:29">
      <c r="W409" s="111">
        <v>389</v>
      </c>
      <c r="X409" s="112">
        <v>1600</v>
      </c>
      <c r="Y409" s="113">
        <v>54173</v>
      </c>
      <c r="Z409" s="113">
        <v>55773</v>
      </c>
      <c r="AA409" s="112">
        <v>5577</v>
      </c>
      <c r="AB409" s="112">
        <v>2060</v>
      </c>
      <c r="AC409" s="147">
        <v>98738.116659000021</v>
      </c>
    </row>
    <row r="410" spans="23:29">
      <c r="W410" s="111">
        <v>390</v>
      </c>
      <c r="X410" s="112">
        <v>1600</v>
      </c>
      <c r="Y410" s="113">
        <v>54361</v>
      </c>
      <c r="Z410" s="113">
        <v>55961</v>
      </c>
      <c r="AA410" s="112">
        <v>5596</v>
      </c>
      <c r="AB410" s="112">
        <v>2070</v>
      </c>
      <c r="AC410" s="147">
        <v>99052.712387999985</v>
      </c>
    </row>
    <row r="411" spans="23:29">
      <c r="W411" s="111">
        <v>391</v>
      </c>
      <c r="X411" s="112">
        <v>1600</v>
      </c>
      <c r="Y411" s="113">
        <v>54548</v>
      </c>
      <c r="Z411" s="113">
        <v>56148</v>
      </c>
      <c r="AA411" s="112">
        <v>5615</v>
      </c>
      <c r="AB411" s="112">
        <v>2070</v>
      </c>
      <c r="AC411" s="147">
        <v>99367.308116999993</v>
      </c>
    </row>
    <row r="412" spans="23:29">
      <c r="W412" s="111">
        <v>392</v>
      </c>
      <c r="X412" s="112">
        <v>1600</v>
      </c>
      <c r="Y412" s="113">
        <v>54736</v>
      </c>
      <c r="Z412" s="113">
        <v>56336</v>
      </c>
      <c r="AA412" s="112">
        <v>5634</v>
      </c>
      <c r="AB412" s="112">
        <v>2080</v>
      </c>
      <c r="AC412" s="147">
        <v>99696.884594999981</v>
      </c>
    </row>
    <row r="413" spans="23:29">
      <c r="W413" s="111">
        <v>393</v>
      </c>
      <c r="X413" s="112">
        <v>1600</v>
      </c>
      <c r="Y413" s="113">
        <v>54924</v>
      </c>
      <c r="Z413" s="113">
        <v>56524</v>
      </c>
      <c r="AA413" s="112">
        <v>5652</v>
      </c>
      <c r="AB413" s="112">
        <v>2090</v>
      </c>
      <c r="AC413" s="147">
        <v>100011.480324</v>
      </c>
    </row>
    <row r="414" spans="23:29">
      <c r="W414" s="111">
        <v>394</v>
      </c>
      <c r="X414" s="112">
        <v>1600</v>
      </c>
      <c r="Y414" s="113">
        <v>55112</v>
      </c>
      <c r="Z414" s="113">
        <v>56712</v>
      </c>
      <c r="AA414" s="112">
        <v>5671</v>
      </c>
      <c r="AB414" s="112">
        <v>2090</v>
      </c>
      <c r="AC414" s="147">
        <v>100326.076053</v>
      </c>
    </row>
    <row r="415" spans="23:29">
      <c r="W415" s="111">
        <v>395</v>
      </c>
      <c r="X415" s="112">
        <v>1600</v>
      </c>
      <c r="Y415" s="113">
        <v>55300</v>
      </c>
      <c r="Z415" s="113">
        <v>56900</v>
      </c>
      <c r="AA415" s="112">
        <v>5690</v>
      </c>
      <c r="AB415" s="112">
        <v>2100</v>
      </c>
      <c r="AC415" s="147">
        <v>100655.65253099999</v>
      </c>
    </row>
    <row r="416" spans="23:29">
      <c r="W416" s="111">
        <v>396</v>
      </c>
      <c r="X416" s="112">
        <v>1600</v>
      </c>
      <c r="Y416" s="113">
        <v>55488</v>
      </c>
      <c r="Z416" s="113">
        <v>57088</v>
      </c>
      <c r="AA416" s="112">
        <v>5709</v>
      </c>
      <c r="AB416" s="112">
        <v>2110</v>
      </c>
      <c r="AC416" s="147">
        <v>100970.24826000001</v>
      </c>
    </row>
    <row r="417" spans="23:29">
      <c r="W417" s="111">
        <v>397</v>
      </c>
      <c r="X417" s="112">
        <v>1600</v>
      </c>
      <c r="Y417" s="113">
        <v>55676</v>
      </c>
      <c r="Z417" s="113">
        <v>57276</v>
      </c>
      <c r="AA417" s="112">
        <v>5728</v>
      </c>
      <c r="AB417" s="112">
        <v>2110</v>
      </c>
      <c r="AC417" s="147">
        <v>101284.84398900002</v>
      </c>
    </row>
    <row r="418" spans="23:29">
      <c r="W418" s="111">
        <v>398</v>
      </c>
      <c r="X418" s="112">
        <v>1600</v>
      </c>
      <c r="Y418" s="113">
        <v>55864</v>
      </c>
      <c r="Z418" s="113">
        <v>57464</v>
      </c>
      <c r="AA418" s="112">
        <v>5746</v>
      </c>
      <c r="AB418" s="112">
        <v>2120</v>
      </c>
      <c r="AC418" s="147">
        <v>101614.42046699999</v>
      </c>
    </row>
    <row r="419" spans="23:29">
      <c r="W419" s="111">
        <v>399</v>
      </c>
      <c r="X419" s="112">
        <v>1600</v>
      </c>
      <c r="Y419" s="113">
        <v>56052</v>
      </c>
      <c r="Z419" s="113">
        <v>57652</v>
      </c>
      <c r="AA419" s="112">
        <v>5765</v>
      </c>
      <c r="AB419" s="112">
        <v>2130</v>
      </c>
      <c r="AC419" s="147">
        <v>101929.016196</v>
      </c>
    </row>
    <row r="420" spans="23:29">
      <c r="W420" s="111">
        <v>400</v>
      </c>
      <c r="X420" s="112">
        <v>1600</v>
      </c>
      <c r="Y420" s="113">
        <v>56240</v>
      </c>
      <c r="Z420" s="113">
        <v>57840</v>
      </c>
      <c r="AA420" s="112">
        <v>5784</v>
      </c>
      <c r="AB420" s="112">
        <v>2140</v>
      </c>
      <c r="AC420" s="147">
        <v>102258.59267399998</v>
      </c>
    </row>
    <row r="421" spans="23:29">
      <c r="W421" s="111">
        <v>401</v>
      </c>
      <c r="X421" s="112">
        <v>7300</v>
      </c>
      <c r="Y421" s="113">
        <v>56520</v>
      </c>
      <c r="Z421" s="113">
        <v>63820</v>
      </c>
      <c r="AA421" s="112">
        <v>6382</v>
      </c>
      <c r="AB421" s="112">
        <v>2360</v>
      </c>
      <c r="AC421" s="147">
        <v>112445.50199399998</v>
      </c>
    </row>
    <row r="422" spans="23:29">
      <c r="W422" s="111">
        <v>402</v>
      </c>
      <c r="X422" s="112">
        <v>7300</v>
      </c>
      <c r="Y422" s="113">
        <v>56801</v>
      </c>
      <c r="Z422" s="113">
        <v>64101</v>
      </c>
      <c r="AA422" s="112">
        <v>6410</v>
      </c>
      <c r="AB422" s="112">
        <v>2370</v>
      </c>
      <c r="AC422" s="147">
        <v>112924.88596199999</v>
      </c>
    </row>
    <row r="423" spans="23:29">
      <c r="W423" s="111">
        <v>403</v>
      </c>
      <c r="X423" s="112">
        <v>7300</v>
      </c>
      <c r="Y423" s="113">
        <v>57081</v>
      </c>
      <c r="Z423" s="113">
        <v>64381</v>
      </c>
      <c r="AA423" s="112">
        <v>6438</v>
      </c>
      <c r="AB423" s="112">
        <v>2380</v>
      </c>
      <c r="AC423" s="147">
        <v>113389.28918099999</v>
      </c>
    </row>
    <row r="424" spans="23:29">
      <c r="W424" s="111">
        <v>404</v>
      </c>
      <c r="X424" s="112">
        <v>7300</v>
      </c>
      <c r="Y424" s="113">
        <v>57362</v>
      </c>
      <c r="Z424" s="113">
        <v>64662</v>
      </c>
      <c r="AA424" s="112">
        <v>6466</v>
      </c>
      <c r="AB424" s="112">
        <v>2390</v>
      </c>
      <c r="AC424" s="147">
        <v>113868.67314899998</v>
      </c>
    </row>
    <row r="425" spans="23:29">
      <c r="W425" s="111">
        <v>405</v>
      </c>
      <c r="X425" s="112">
        <v>7300</v>
      </c>
      <c r="Y425" s="113">
        <v>57643</v>
      </c>
      <c r="Z425" s="113">
        <v>64943</v>
      </c>
      <c r="AA425" s="112">
        <v>6494</v>
      </c>
      <c r="AB425" s="112">
        <v>2400</v>
      </c>
      <c r="AC425" s="147">
        <v>114348.05711699999</v>
      </c>
    </row>
    <row r="426" spans="23:29">
      <c r="W426" s="111">
        <v>406</v>
      </c>
      <c r="X426" s="112">
        <v>7300</v>
      </c>
      <c r="Y426" s="113">
        <v>57923</v>
      </c>
      <c r="Z426" s="113">
        <v>65223</v>
      </c>
      <c r="AA426" s="112">
        <v>6522</v>
      </c>
      <c r="AB426" s="112">
        <v>2410</v>
      </c>
      <c r="AC426" s="147">
        <v>114827.441085</v>
      </c>
    </row>
    <row r="427" spans="23:29">
      <c r="W427" s="111">
        <v>407</v>
      </c>
      <c r="X427" s="112">
        <v>7300</v>
      </c>
      <c r="Y427" s="113">
        <v>58204</v>
      </c>
      <c r="Z427" s="113">
        <v>65504</v>
      </c>
      <c r="AA427" s="112">
        <v>6550</v>
      </c>
      <c r="AB427" s="112">
        <v>2420</v>
      </c>
      <c r="AC427" s="147">
        <v>115306.82505299999</v>
      </c>
    </row>
    <row r="428" spans="23:29">
      <c r="W428" s="111">
        <v>408</v>
      </c>
      <c r="X428" s="112">
        <v>7300</v>
      </c>
      <c r="Y428" s="113">
        <v>58484</v>
      </c>
      <c r="Z428" s="113">
        <v>65784</v>
      </c>
      <c r="AA428" s="112">
        <v>6578</v>
      </c>
      <c r="AB428" s="112">
        <v>2430</v>
      </c>
      <c r="AC428" s="147">
        <v>115786.209021</v>
      </c>
    </row>
    <row r="429" spans="23:29">
      <c r="W429" s="111">
        <v>409</v>
      </c>
      <c r="X429" s="112">
        <v>7300</v>
      </c>
      <c r="Y429" s="113">
        <v>58765</v>
      </c>
      <c r="Z429" s="113">
        <v>66065</v>
      </c>
      <c r="AA429" s="112">
        <v>6607</v>
      </c>
      <c r="AB429" s="112">
        <v>2440</v>
      </c>
      <c r="AC429" s="147">
        <v>116265.592989</v>
      </c>
    </row>
    <row r="430" spans="23:29">
      <c r="W430" s="111">
        <v>410</v>
      </c>
      <c r="X430" s="112">
        <v>7300</v>
      </c>
      <c r="Y430" s="113">
        <v>59046</v>
      </c>
      <c r="Z430" s="113">
        <v>66346</v>
      </c>
      <c r="AA430" s="112">
        <v>6635</v>
      </c>
      <c r="AB430" s="112">
        <v>2450</v>
      </c>
      <c r="AC430" s="147">
        <v>116744.97695699999</v>
      </c>
    </row>
    <row r="431" spans="23:29">
      <c r="W431" s="111">
        <v>411</v>
      </c>
      <c r="X431" s="112">
        <v>7300</v>
      </c>
      <c r="Y431" s="113">
        <v>59326</v>
      </c>
      <c r="Z431" s="113">
        <v>66626</v>
      </c>
      <c r="AA431" s="112">
        <v>6663</v>
      </c>
      <c r="AB431" s="112">
        <v>2460</v>
      </c>
      <c r="AC431" s="147">
        <v>117209.38017600001</v>
      </c>
    </row>
    <row r="432" spans="23:29">
      <c r="W432" s="111">
        <v>412</v>
      </c>
      <c r="X432" s="112">
        <v>7300</v>
      </c>
      <c r="Y432" s="113">
        <v>59607</v>
      </c>
      <c r="Z432" s="113">
        <v>66907</v>
      </c>
      <c r="AA432" s="112">
        <v>6691</v>
      </c>
      <c r="AB432" s="112">
        <v>2470</v>
      </c>
      <c r="AC432" s="147">
        <v>117688.764144</v>
      </c>
    </row>
    <row r="433" spans="23:29">
      <c r="W433" s="111">
        <v>413</v>
      </c>
      <c r="X433" s="112">
        <v>7300</v>
      </c>
      <c r="Y433" s="113">
        <v>59887</v>
      </c>
      <c r="Z433" s="113">
        <v>67187</v>
      </c>
      <c r="AA433" s="112">
        <v>6719</v>
      </c>
      <c r="AB433" s="112">
        <v>2480</v>
      </c>
      <c r="AC433" s="147">
        <v>118168.148112</v>
      </c>
    </row>
    <row r="434" spans="23:29">
      <c r="W434" s="111">
        <v>414</v>
      </c>
      <c r="X434" s="112">
        <v>7300</v>
      </c>
      <c r="Y434" s="113">
        <v>60168</v>
      </c>
      <c r="Z434" s="113">
        <v>67468</v>
      </c>
      <c r="AA434" s="112">
        <v>6747</v>
      </c>
      <c r="AB434" s="112">
        <v>2490</v>
      </c>
      <c r="AC434" s="147">
        <v>118647.53208</v>
      </c>
    </row>
    <row r="435" spans="23:29">
      <c r="W435" s="111">
        <v>415</v>
      </c>
      <c r="X435" s="112">
        <v>7300</v>
      </c>
      <c r="Y435" s="113">
        <v>60449</v>
      </c>
      <c r="Z435" s="113">
        <v>67749</v>
      </c>
      <c r="AA435" s="112">
        <v>6775</v>
      </c>
      <c r="AB435" s="112">
        <v>2500</v>
      </c>
      <c r="AC435" s="147">
        <v>119126.91604799998</v>
      </c>
    </row>
    <row r="436" spans="23:29">
      <c r="W436" s="111">
        <v>416</v>
      </c>
      <c r="X436" s="112">
        <v>7300</v>
      </c>
      <c r="Y436" s="113">
        <v>60729</v>
      </c>
      <c r="Z436" s="113">
        <v>68029</v>
      </c>
      <c r="AA436" s="112">
        <v>6803</v>
      </c>
      <c r="AB436" s="112">
        <v>2510</v>
      </c>
      <c r="AC436" s="147">
        <v>119606.30001599999</v>
      </c>
    </row>
    <row r="437" spans="23:29">
      <c r="W437" s="111">
        <v>417</v>
      </c>
      <c r="X437" s="112">
        <v>7300</v>
      </c>
      <c r="Y437" s="113">
        <v>61010</v>
      </c>
      <c r="Z437" s="113">
        <v>68310</v>
      </c>
      <c r="AA437" s="112">
        <v>6831</v>
      </c>
      <c r="AB437" s="112">
        <v>2520</v>
      </c>
      <c r="AC437" s="147">
        <v>120085.68398399999</v>
      </c>
    </row>
    <row r="438" spans="23:29">
      <c r="W438" s="111">
        <v>418</v>
      </c>
      <c r="X438" s="112">
        <v>7300</v>
      </c>
      <c r="Y438" s="113">
        <v>61290</v>
      </c>
      <c r="Z438" s="113">
        <v>68590</v>
      </c>
      <c r="AA438" s="112">
        <v>6859</v>
      </c>
      <c r="AB438" s="112">
        <v>2530</v>
      </c>
      <c r="AC438" s="147">
        <v>120550.08720299999</v>
      </c>
    </row>
    <row r="439" spans="23:29">
      <c r="W439" s="111">
        <v>419</v>
      </c>
      <c r="X439" s="112">
        <v>7300</v>
      </c>
      <c r="Y439" s="113">
        <v>61571</v>
      </c>
      <c r="Z439" s="113">
        <v>68871</v>
      </c>
      <c r="AA439" s="112">
        <v>6887</v>
      </c>
      <c r="AB439" s="112">
        <v>2540</v>
      </c>
      <c r="AC439" s="147">
        <v>121029.471171</v>
      </c>
    </row>
    <row r="440" spans="23:29">
      <c r="W440" s="111">
        <v>420</v>
      </c>
      <c r="X440" s="112">
        <v>7300</v>
      </c>
      <c r="Y440" s="113">
        <v>61852</v>
      </c>
      <c r="Z440" s="113">
        <v>69152</v>
      </c>
      <c r="AA440" s="112">
        <v>6915</v>
      </c>
      <c r="AB440" s="112">
        <v>2550</v>
      </c>
      <c r="AC440" s="147">
        <v>121508.85513899998</v>
      </c>
    </row>
    <row r="441" spans="23:29">
      <c r="W441" s="111">
        <v>421</v>
      </c>
      <c r="X441" s="112">
        <v>7300</v>
      </c>
      <c r="Y441" s="113">
        <v>62132</v>
      </c>
      <c r="Z441" s="113">
        <v>69432</v>
      </c>
      <c r="AA441" s="112">
        <v>6943</v>
      </c>
      <c r="AB441" s="112">
        <v>2560</v>
      </c>
      <c r="AC441" s="147">
        <v>121988.23910699999</v>
      </c>
    </row>
    <row r="442" spans="23:29">
      <c r="W442" s="111">
        <v>422</v>
      </c>
      <c r="X442" s="112">
        <v>7300</v>
      </c>
      <c r="Y442" s="113">
        <v>62413</v>
      </c>
      <c r="Z442" s="113">
        <v>69713</v>
      </c>
      <c r="AA442" s="112">
        <v>6971</v>
      </c>
      <c r="AB442" s="112">
        <v>2570</v>
      </c>
      <c r="AC442" s="147">
        <v>122467.623075</v>
      </c>
    </row>
    <row r="443" spans="23:29">
      <c r="W443" s="111">
        <v>423</v>
      </c>
      <c r="X443" s="112">
        <v>7300</v>
      </c>
      <c r="Y443" s="113">
        <v>62693</v>
      </c>
      <c r="Z443" s="113">
        <v>69993</v>
      </c>
      <c r="AA443" s="112">
        <v>6999</v>
      </c>
      <c r="AB443" s="112">
        <v>2580</v>
      </c>
      <c r="AC443" s="147">
        <v>122947.00704299998</v>
      </c>
    </row>
    <row r="444" spans="23:29">
      <c r="W444" s="111">
        <v>424</v>
      </c>
      <c r="X444" s="112">
        <v>7300</v>
      </c>
      <c r="Y444" s="113">
        <v>62974</v>
      </c>
      <c r="Z444" s="113">
        <v>70274</v>
      </c>
      <c r="AA444" s="112">
        <v>7027</v>
      </c>
      <c r="AB444" s="112">
        <v>2600</v>
      </c>
      <c r="AC444" s="147">
        <v>123441.37175999999</v>
      </c>
    </row>
    <row r="445" spans="23:29">
      <c r="W445" s="111">
        <v>425</v>
      </c>
      <c r="X445" s="112">
        <v>7300</v>
      </c>
      <c r="Y445" s="113">
        <v>63255</v>
      </c>
      <c r="Z445" s="113">
        <v>70555</v>
      </c>
      <c r="AA445" s="112">
        <v>7056</v>
      </c>
      <c r="AB445" s="112">
        <v>2610</v>
      </c>
      <c r="AC445" s="147">
        <v>123920.75572799999</v>
      </c>
    </row>
    <row r="446" spans="23:29">
      <c r="W446" s="111">
        <v>426</v>
      </c>
      <c r="X446" s="112">
        <v>7300</v>
      </c>
      <c r="Y446" s="113">
        <v>63535</v>
      </c>
      <c r="Z446" s="113">
        <v>70835</v>
      </c>
      <c r="AA446" s="112">
        <v>7084</v>
      </c>
      <c r="AB446" s="112">
        <v>2620</v>
      </c>
      <c r="AC446" s="147">
        <v>124385.15894699999</v>
      </c>
    </row>
    <row r="447" spans="23:29">
      <c r="W447" s="111">
        <v>427</v>
      </c>
      <c r="X447" s="112">
        <v>7300</v>
      </c>
      <c r="Y447" s="113">
        <v>63816</v>
      </c>
      <c r="Z447" s="113">
        <v>71116</v>
      </c>
      <c r="AA447" s="112">
        <v>7112</v>
      </c>
      <c r="AB447" s="112">
        <v>2630</v>
      </c>
      <c r="AC447" s="147">
        <v>124864.542915</v>
      </c>
    </row>
    <row r="448" spans="23:29">
      <c r="W448" s="111">
        <v>428</v>
      </c>
      <c r="X448" s="112">
        <v>7300</v>
      </c>
      <c r="Y448" s="113">
        <v>64096</v>
      </c>
      <c r="Z448" s="113">
        <v>71396</v>
      </c>
      <c r="AA448" s="112">
        <v>7140</v>
      </c>
      <c r="AB448" s="112">
        <v>2640</v>
      </c>
      <c r="AC448" s="147">
        <v>125343.92688299999</v>
      </c>
    </row>
    <row r="449" spans="23:29">
      <c r="W449" s="111">
        <v>429</v>
      </c>
      <c r="X449" s="112">
        <v>7300</v>
      </c>
      <c r="Y449" s="113">
        <v>64377</v>
      </c>
      <c r="Z449" s="113">
        <v>71677</v>
      </c>
      <c r="AA449" s="112">
        <v>7168</v>
      </c>
      <c r="AB449" s="112">
        <v>2650</v>
      </c>
      <c r="AC449" s="147">
        <v>125823.310851</v>
      </c>
    </row>
    <row r="450" spans="23:29">
      <c r="W450" s="111">
        <v>430</v>
      </c>
      <c r="X450" s="112">
        <v>7300</v>
      </c>
      <c r="Y450" s="113">
        <v>64658</v>
      </c>
      <c r="Z450" s="113">
        <v>71958</v>
      </c>
      <c r="AA450" s="112">
        <v>7196</v>
      </c>
      <c r="AB450" s="112">
        <v>2660</v>
      </c>
      <c r="AC450" s="147">
        <v>126302.694819</v>
      </c>
    </row>
    <row r="451" spans="23:29">
      <c r="W451" s="111">
        <v>431</v>
      </c>
      <c r="X451" s="112">
        <v>7300</v>
      </c>
      <c r="Y451" s="113">
        <v>64938</v>
      </c>
      <c r="Z451" s="113">
        <v>72238</v>
      </c>
      <c r="AA451" s="112">
        <v>7224</v>
      </c>
      <c r="AB451" s="112">
        <v>2670</v>
      </c>
      <c r="AC451" s="147">
        <v>126782.07878700001</v>
      </c>
    </row>
    <row r="452" spans="23:29">
      <c r="W452" s="111">
        <v>432</v>
      </c>
      <c r="X452" s="112">
        <v>7300</v>
      </c>
      <c r="Y452" s="113">
        <v>65219</v>
      </c>
      <c r="Z452" s="113">
        <v>72519</v>
      </c>
      <c r="AA452" s="112">
        <v>7252</v>
      </c>
      <c r="AB452" s="112">
        <v>2680</v>
      </c>
      <c r="AC452" s="147">
        <v>127261.462755</v>
      </c>
    </row>
    <row r="453" spans="23:29">
      <c r="W453" s="111">
        <v>433</v>
      </c>
      <c r="X453" s="112">
        <v>7300</v>
      </c>
      <c r="Y453" s="113">
        <v>65499</v>
      </c>
      <c r="Z453" s="113">
        <v>72799</v>
      </c>
      <c r="AA453" s="112">
        <v>7280</v>
      </c>
      <c r="AB453" s="112">
        <v>2690</v>
      </c>
      <c r="AC453" s="147">
        <v>127725.865974</v>
      </c>
    </row>
    <row r="454" spans="23:29">
      <c r="W454" s="111">
        <v>434</v>
      </c>
      <c r="X454" s="112">
        <v>7300</v>
      </c>
      <c r="Y454" s="113">
        <v>65780</v>
      </c>
      <c r="Z454" s="113">
        <v>73080</v>
      </c>
      <c r="AA454" s="112">
        <v>7308</v>
      </c>
      <c r="AB454" s="112">
        <v>2700</v>
      </c>
      <c r="AC454" s="147">
        <v>128205.24994199999</v>
      </c>
    </row>
    <row r="455" spans="23:29">
      <c r="W455" s="111">
        <v>435</v>
      </c>
      <c r="X455" s="112">
        <v>7300</v>
      </c>
      <c r="Y455" s="113">
        <v>66061</v>
      </c>
      <c r="Z455" s="113">
        <v>73361</v>
      </c>
      <c r="AA455" s="112">
        <v>7336</v>
      </c>
      <c r="AB455" s="112">
        <v>2710</v>
      </c>
      <c r="AC455" s="147">
        <v>128684.63391</v>
      </c>
    </row>
    <row r="456" spans="23:29">
      <c r="W456" s="111">
        <v>436</v>
      </c>
      <c r="X456" s="112">
        <v>7300</v>
      </c>
      <c r="Y456" s="113">
        <v>66341</v>
      </c>
      <c r="Z456" s="113">
        <v>73641</v>
      </c>
      <c r="AA456" s="112">
        <v>7364</v>
      </c>
      <c r="AB456" s="112">
        <v>2720</v>
      </c>
      <c r="AC456" s="147">
        <v>129164.017878</v>
      </c>
    </row>
    <row r="457" spans="23:29">
      <c r="W457" s="111">
        <v>437</v>
      </c>
      <c r="X457" s="112">
        <v>7300</v>
      </c>
      <c r="Y457" s="113">
        <v>66622</v>
      </c>
      <c r="Z457" s="113">
        <v>73922</v>
      </c>
      <c r="AA457" s="112">
        <v>7392</v>
      </c>
      <c r="AB457" s="112">
        <v>2730</v>
      </c>
      <c r="AC457" s="147">
        <v>129643.40184600001</v>
      </c>
    </row>
    <row r="458" spans="23:29">
      <c r="W458" s="111">
        <v>438</v>
      </c>
      <c r="X458" s="112">
        <v>7300</v>
      </c>
      <c r="Y458" s="113">
        <v>66902</v>
      </c>
      <c r="Z458" s="113">
        <v>74202</v>
      </c>
      <c r="AA458" s="112">
        <v>7420</v>
      </c>
      <c r="AB458" s="112">
        <v>2740</v>
      </c>
      <c r="AC458" s="147">
        <v>130122.78581399997</v>
      </c>
    </row>
    <row r="459" spans="23:29">
      <c r="W459" s="111">
        <v>439</v>
      </c>
      <c r="X459" s="112">
        <v>7300</v>
      </c>
      <c r="Y459" s="113">
        <v>67183</v>
      </c>
      <c r="Z459" s="113">
        <v>74483</v>
      </c>
      <c r="AA459" s="112">
        <v>7448</v>
      </c>
      <c r="AB459" s="112">
        <v>2750</v>
      </c>
      <c r="AC459" s="147">
        <v>130602.16978199998</v>
      </c>
    </row>
    <row r="460" spans="23:29">
      <c r="W460" s="111">
        <v>440</v>
      </c>
      <c r="X460" s="112">
        <v>7300</v>
      </c>
      <c r="Y460" s="113">
        <v>67464</v>
      </c>
      <c r="Z460" s="113">
        <v>74764</v>
      </c>
      <c r="AA460" s="112">
        <v>7476</v>
      </c>
      <c r="AB460" s="112">
        <v>2760</v>
      </c>
      <c r="AC460" s="147">
        <v>131081.55374999999</v>
      </c>
    </row>
    <row r="461" spans="23:29">
      <c r="W461" s="111">
        <v>441</v>
      </c>
      <c r="X461" s="112">
        <v>7300</v>
      </c>
      <c r="Y461" s="113">
        <v>67744</v>
      </c>
      <c r="Z461" s="113">
        <v>75044</v>
      </c>
      <c r="AA461" s="112">
        <v>7504</v>
      </c>
      <c r="AB461" s="112">
        <v>2770</v>
      </c>
      <c r="AC461" s="147">
        <v>131545.95696899996</v>
      </c>
    </row>
    <row r="462" spans="23:29">
      <c r="W462" s="111">
        <v>442</v>
      </c>
      <c r="X462" s="112">
        <v>7300</v>
      </c>
      <c r="Y462" s="113">
        <v>68025</v>
      </c>
      <c r="Z462" s="113">
        <v>75325</v>
      </c>
      <c r="AA462" s="112">
        <v>7533</v>
      </c>
      <c r="AB462" s="112">
        <v>2780</v>
      </c>
      <c r="AC462" s="147">
        <v>132025.34093699997</v>
      </c>
    </row>
    <row r="463" spans="23:29">
      <c r="W463" s="111">
        <v>443</v>
      </c>
      <c r="X463" s="112">
        <v>7300</v>
      </c>
      <c r="Y463" s="113">
        <v>68305</v>
      </c>
      <c r="Z463" s="113">
        <v>75605</v>
      </c>
      <c r="AA463" s="112">
        <v>7561</v>
      </c>
      <c r="AB463" s="112">
        <v>2790</v>
      </c>
      <c r="AC463" s="147">
        <v>132504.72490499998</v>
      </c>
    </row>
    <row r="464" spans="23:29">
      <c r="W464" s="111">
        <v>444</v>
      </c>
      <c r="X464" s="112">
        <v>7300</v>
      </c>
      <c r="Y464" s="113">
        <v>68586</v>
      </c>
      <c r="Z464" s="113">
        <v>75886</v>
      </c>
      <c r="AA464" s="112">
        <v>7589</v>
      </c>
      <c r="AB464" s="112">
        <v>2800</v>
      </c>
      <c r="AC464" s="147">
        <v>132984.10887299999</v>
      </c>
    </row>
    <row r="465" spans="23:29">
      <c r="W465" s="111">
        <v>445</v>
      </c>
      <c r="X465" s="112">
        <v>7300</v>
      </c>
      <c r="Y465" s="113">
        <v>68867</v>
      </c>
      <c r="Z465" s="113">
        <v>76167</v>
      </c>
      <c r="AA465" s="112">
        <v>7617</v>
      </c>
      <c r="AB465" s="112">
        <v>2810</v>
      </c>
      <c r="AC465" s="147">
        <v>133463.492841</v>
      </c>
    </row>
    <row r="466" spans="23:29">
      <c r="W466" s="111">
        <v>446</v>
      </c>
      <c r="X466" s="112">
        <v>7300</v>
      </c>
      <c r="Y466" s="113">
        <v>69147</v>
      </c>
      <c r="Z466" s="113">
        <v>76447</v>
      </c>
      <c r="AA466" s="112">
        <v>7645</v>
      </c>
      <c r="AB466" s="112">
        <v>2820</v>
      </c>
      <c r="AC466" s="147">
        <v>133942.87680899998</v>
      </c>
    </row>
    <row r="467" spans="23:29">
      <c r="W467" s="111">
        <v>447</v>
      </c>
      <c r="X467" s="112">
        <v>7300</v>
      </c>
      <c r="Y467" s="113">
        <v>69428</v>
      </c>
      <c r="Z467" s="113">
        <v>76728</v>
      </c>
      <c r="AA467" s="112">
        <v>7673</v>
      </c>
      <c r="AB467" s="112">
        <v>2830</v>
      </c>
      <c r="AC467" s="147">
        <v>134422.26077699999</v>
      </c>
    </row>
    <row r="468" spans="23:29">
      <c r="W468" s="111">
        <v>448</v>
      </c>
      <c r="X468" s="112">
        <v>7300</v>
      </c>
      <c r="Y468" s="113">
        <v>69708</v>
      </c>
      <c r="Z468" s="113">
        <v>77008</v>
      </c>
      <c r="AA468" s="112">
        <v>7701</v>
      </c>
      <c r="AB468" s="112">
        <v>2840</v>
      </c>
      <c r="AC468" s="147">
        <v>134886.66399599999</v>
      </c>
    </row>
    <row r="469" spans="23:29">
      <c r="W469" s="111">
        <v>449</v>
      </c>
      <c r="X469" s="112">
        <v>7300</v>
      </c>
      <c r="Y469" s="113">
        <v>69989</v>
      </c>
      <c r="Z469" s="113">
        <v>77289</v>
      </c>
      <c r="AA469" s="112">
        <v>7729</v>
      </c>
      <c r="AB469" s="112">
        <v>2850</v>
      </c>
      <c r="AC469" s="147">
        <v>135366.047964</v>
      </c>
    </row>
    <row r="470" spans="23:29">
      <c r="W470" s="111">
        <v>450</v>
      </c>
      <c r="X470" s="112">
        <v>7300</v>
      </c>
      <c r="Y470" s="113">
        <v>70270</v>
      </c>
      <c r="Z470" s="113">
        <v>77570</v>
      </c>
      <c r="AA470" s="112">
        <v>7757</v>
      </c>
      <c r="AB470" s="112">
        <v>2870</v>
      </c>
      <c r="AC470" s="147">
        <v>135860.41268099999</v>
      </c>
    </row>
    <row r="471" spans="23:29">
      <c r="W471" s="111">
        <v>451</v>
      </c>
      <c r="X471" s="112">
        <v>7300</v>
      </c>
      <c r="Y471" s="113">
        <v>70550</v>
      </c>
      <c r="Z471" s="113">
        <v>77850</v>
      </c>
      <c r="AA471" s="112">
        <v>7785</v>
      </c>
      <c r="AB471" s="112">
        <v>2880</v>
      </c>
      <c r="AC471" s="147">
        <v>136339.796649</v>
      </c>
    </row>
    <row r="472" spans="23:29">
      <c r="W472" s="111">
        <v>452</v>
      </c>
      <c r="X472" s="112">
        <v>7300</v>
      </c>
      <c r="Y472" s="113">
        <v>70831</v>
      </c>
      <c r="Z472" s="113">
        <v>78131</v>
      </c>
      <c r="AA472" s="112">
        <v>7813</v>
      </c>
      <c r="AB472" s="112">
        <v>2890</v>
      </c>
      <c r="AC472" s="147">
        <v>136819.18061700001</v>
      </c>
    </row>
    <row r="473" spans="23:29">
      <c r="W473" s="111">
        <v>453</v>
      </c>
      <c r="X473" s="112">
        <v>7300</v>
      </c>
      <c r="Y473" s="113">
        <v>71111</v>
      </c>
      <c r="Z473" s="113">
        <v>78411</v>
      </c>
      <c r="AA473" s="112">
        <v>7841</v>
      </c>
      <c r="AB473" s="112">
        <v>2900</v>
      </c>
      <c r="AC473" s="147">
        <v>137298.56458500001</v>
      </c>
    </row>
    <row r="474" spans="23:29">
      <c r="W474" s="111">
        <v>454</v>
      </c>
      <c r="X474" s="112">
        <v>7300</v>
      </c>
      <c r="Y474" s="113">
        <v>71392</v>
      </c>
      <c r="Z474" s="113">
        <v>78692</v>
      </c>
      <c r="AA474" s="112">
        <v>7869</v>
      </c>
      <c r="AB474" s="112">
        <v>2910</v>
      </c>
      <c r="AC474" s="147">
        <v>137777.94855299999</v>
      </c>
    </row>
    <row r="475" spans="23:29">
      <c r="W475" s="111">
        <v>455</v>
      </c>
      <c r="X475" s="112">
        <v>7300</v>
      </c>
      <c r="Y475" s="113">
        <v>71673</v>
      </c>
      <c r="Z475" s="113">
        <v>78973</v>
      </c>
      <c r="AA475" s="112">
        <v>7897</v>
      </c>
      <c r="AB475" s="112">
        <v>2920</v>
      </c>
      <c r="AC475" s="147">
        <v>138257.332521</v>
      </c>
    </row>
    <row r="476" spans="23:29">
      <c r="W476" s="111">
        <v>456</v>
      </c>
      <c r="X476" s="112">
        <v>7300</v>
      </c>
      <c r="Y476" s="113">
        <v>71953</v>
      </c>
      <c r="Z476" s="113">
        <v>79253</v>
      </c>
      <c r="AA476" s="112">
        <v>7925</v>
      </c>
      <c r="AB476" s="112">
        <v>2930</v>
      </c>
      <c r="AC476" s="147">
        <v>138721.73574</v>
      </c>
    </row>
    <row r="477" spans="23:29">
      <c r="W477" s="111">
        <v>457</v>
      </c>
      <c r="X477" s="112">
        <v>7300</v>
      </c>
      <c r="Y477" s="113">
        <v>72234</v>
      </c>
      <c r="Z477" s="113">
        <v>79534</v>
      </c>
      <c r="AA477" s="112">
        <v>7953</v>
      </c>
      <c r="AB477" s="112">
        <v>2940</v>
      </c>
      <c r="AC477" s="147">
        <v>139201.11970799998</v>
      </c>
    </row>
    <row r="478" spans="23:29">
      <c r="W478" s="111">
        <v>458</v>
      </c>
      <c r="X478" s="112">
        <v>7300</v>
      </c>
      <c r="Y478" s="113">
        <v>72514</v>
      </c>
      <c r="Z478" s="113">
        <v>79814</v>
      </c>
      <c r="AA478" s="112">
        <v>7981</v>
      </c>
      <c r="AB478" s="112">
        <v>2950</v>
      </c>
      <c r="AC478" s="147">
        <v>139680.50367599999</v>
      </c>
    </row>
    <row r="479" spans="23:29">
      <c r="W479" s="111">
        <v>459</v>
      </c>
      <c r="X479" s="112">
        <v>7300</v>
      </c>
      <c r="Y479" s="113">
        <v>72795</v>
      </c>
      <c r="Z479" s="113">
        <v>80095</v>
      </c>
      <c r="AA479" s="112">
        <v>8010</v>
      </c>
      <c r="AB479" s="112">
        <v>2960</v>
      </c>
      <c r="AC479" s="147">
        <v>140159.887644</v>
      </c>
    </row>
    <row r="480" spans="23:29">
      <c r="W480" s="111">
        <v>460</v>
      </c>
      <c r="X480" s="112">
        <v>7300</v>
      </c>
      <c r="Y480" s="113">
        <v>73076</v>
      </c>
      <c r="Z480" s="113">
        <v>80376</v>
      </c>
      <c r="AA480" s="112">
        <v>8038</v>
      </c>
      <c r="AB480" s="112">
        <v>2970</v>
      </c>
      <c r="AC480" s="147">
        <v>140639.27161200001</v>
      </c>
    </row>
    <row r="481" spans="23:29">
      <c r="W481" s="111">
        <v>461</v>
      </c>
      <c r="X481" s="112">
        <v>7300</v>
      </c>
      <c r="Y481" s="113">
        <v>73356</v>
      </c>
      <c r="Z481" s="113">
        <v>80656</v>
      </c>
      <c r="AA481" s="112">
        <v>8066</v>
      </c>
      <c r="AB481" s="112">
        <v>2980</v>
      </c>
      <c r="AC481" s="147">
        <v>141118.65558000002</v>
      </c>
    </row>
    <row r="482" spans="23:29">
      <c r="W482" s="111">
        <v>462</v>
      </c>
      <c r="X482" s="112">
        <v>7300</v>
      </c>
      <c r="Y482" s="113">
        <v>73637</v>
      </c>
      <c r="Z482" s="113">
        <v>80937</v>
      </c>
      <c r="AA482" s="112">
        <v>8094</v>
      </c>
      <c r="AB482" s="112">
        <v>2990</v>
      </c>
      <c r="AC482" s="147">
        <v>141598.039548</v>
      </c>
    </row>
    <row r="483" spans="23:29">
      <c r="W483" s="111">
        <v>463</v>
      </c>
      <c r="X483" s="112">
        <v>7300</v>
      </c>
      <c r="Y483" s="113">
        <v>73917</v>
      </c>
      <c r="Z483" s="113">
        <v>81217</v>
      </c>
      <c r="AA483" s="112">
        <v>8122</v>
      </c>
      <c r="AB483" s="112">
        <v>3000</v>
      </c>
      <c r="AC483" s="147">
        <v>142062.442767</v>
      </c>
    </row>
    <row r="484" spans="23:29">
      <c r="W484" s="111">
        <v>464</v>
      </c>
      <c r="X484" s="112">
        <v>7300</v>
      </c>
      <c r="Y484" s="113">
        <v>74198</v>
      </c>
      <c r="Z484" s="113">
        <v>81498</v>
      </c>
      <c r="AA484" s="112">
        <v>8150</v>
      </c>
      <c r="AB484" s="112">
        <v>3010</v>
      </c>
      <c r="AC484" s="147">
        <v>142541.82673500001</v>
      </c>
    </row>
    <row r="485" spans="23:29">
      <c r="W485" s="111">
        <v>465</v>
      </c>
      <c r="X485" s="112">
        <v>7300</v>
      </c>
      <c r="Y485" s="113">
        <v>74479</v>
      </c>
      <c r="Z485" s="113">
        <v>81779</v>
      </c>
      <c r="AA485" s="112">
        <v>8178</v>
      </c>
      <c r="AB485" s="112">
        <v>3020</v>
      </c>
      <c r="AC485" s="147">
        <v>143021.21070299999</v>
      </c>
    </row>
    <row r="486" spans="23:29">
      <c r="W486" s="111">
        <v>466</v>
      </c>
      <c r="X486" s="112">
        <v>7300</v>
      </c>
      <c r="Y486" s="113">
        <v>74759</v>
      </c>
      <c r="Z486" s="113">
        <v>82059</v>
      </c>
      <c r="AA486" s="112">
        <v>8206</v>
      </c>
      <c r="AB486" s="112">
        <v>3030</v>
      </c>
      <c r="AC486" s="147">
        <v>143500.594671</v>
      </c>
    </row>
    <row r="487" spans="23:29">
      <c r="W487" s="111">
        <v>467</v>
      </c>
      <c r="X487" s="112">
        <v>7300</v>
      </c>
      <c r="Y487" s="113">
        <v>75040</v>
      </c>
      <c r="Z487" s="113">
        <v>82340</v>
      </c>
      <c r="AA487" s="112">
        <v>8234</v>
      </c>
      <c r="AB487" s="112">
        <v>3040</v>
      </c>
      <c r="AC487" s="147">
        <v>143979.97863899998</v>
      </c>
    </row>
    <row r="488" spans="23:29">
      <c r="W488" s="111">
        <v>468</v>
      </c>
      <c r="X488" s="112">
        <v>7300</v>
      </c>
      <c r="Y488" s="113">
        <v>75320</v>
      </c>
      <c r="Z488" s="113">
        <v>82620</v>
      </c>
      <c r="AA488" s="112">
        <v>8262</v>
      </c>
      <c r="AB488" s="112">
        <v>3050</v>
      </c>
      <c r="AC488" s="147">
        <v>144459.36260699999</v>
      </c>
    </row>
    <row r="489" spans="23:29">
      <c r="W489" s="111">
        <v>469</v>
      </c>
      <c r="X489" s="112">
        <v>7300</v>
      </c>
      <c r="Y489" s="113">
        <v>75601</v>
      </c>
      <c r="Z489" s="113">
        <v>82901</v>
      </c>
      <c r="AA489" s="112">
        <v>8290</v>
      </c>
      <c r="AB489" s="112">
        <v>3060</v>
      </c>
      <c r="AC489" s="147">
        <v>144938.746575</v>
      </c>
    </row>
    <row r="490" spans="23:29">
      <c r="W490" s="111">
        <v>470</v>
      </c>
      <c r="X490" s="112">
        <v>7300</v>
      </c>
      <c r="Y490" s="113">
        <v>75882</v>
      </c>
      <c r="Z490" s="113">
        <v>83182</v>
      </c>
      <c r="AA490" s="112">
        <v>8318</v>
      </c>
      <c r="AB490" s="112">
        <v>3070</v>
      </c>
      <c r="AC490" s="147">
        <v>145418.13054299998</v>
      </c>
    </row>
    <row r="491" spans="23:29">
      <c r="W491" s="111">
        <v>471</v>
      </c>
      <c r="X491" s="112">
        <v>7300</v>
      </c>
      <c r="Y491" s="113">
        <v>76162</v>
      </c>
      <c r="Z491" s="113">
        <v>83462</v>
      </c>
      <c r="AA491" s="112">
        <v>8346</v>
      </c>
      <c r="AB491" s="112">
        <v>3080</v>
      </c>
      <c r="AC491" s="147">
        <v>145882.53376200001</v>
      </c>
    </row>
    <row r="492" spans="23:29">
      <c r="W492" s="111">
        <v>472</v>
      </c>
      <c r="X492" s="112">
        <v>7300</v>
      </c>
      <c r="Y492" s="113">
        <v>76443</v>
      </c>
      <c r="Z492" s="113">
        <v>83743</v>
      </c>
      <c r="AA492" s="112">
        <v>8374</v>
      </c>
      <c r="AB492" s="112">
        <v>3090</v>
      </c>
      <c r="AC492" s="147">
        <v>146361.91773000002</v>
      </c>
    </row>
    <row r="493" spans="23:29">
      <c r="W493" s="111">
        <v>473</v>
      </c>
      <c r="X493" s="112">
        <v>7300</v>
      </c>
      <c r="Y493" s="113">
        <v>76723</v>
      </c>
      <c r="Z493" s="113">
        <v>84023</v>
      </c>
      <c r="AA493" s="112">
        <v>8402</v>
      </c>
      <c r="AB493" s="112">
        <v>3100</v>
      </c>
      <c r="AC493" s="147">
        <v>146841.30169799997</v>
      </c>
    </row>
    <row r="494" spans="23:29">
      <c r="W494" s="111">
        <v>474</v>
      </c>
      <c r="X494" s="112">
        <v>7300</v>
      </c>
      <c r="Y494" s="113">
        <v>77004</v>
      </c>
      <c r="Z494" s="113">
        <v>84304</v>
      </c>
      <c r="AA494" s="112">
        <v>8430</v>
      </c>
      <c r="AB494" s="112">
        <v>3110</v>
      </c>
      <c r="AC494" s="147">
        <v>147320.68566599998</v>
      </c>
    </row>
    <row r="495" spans="23:29">
      <c r="W495" s="111">
        <v>475</v>
      </c>
      <c r="X495" s="112">
        <v>7300</v>
      </c>
      <c r="Y495" s="113">
        <v>77285</v>
      </c>
      <c r="Z495" s="113">
        <v>84585</v>
      </c>
      <c r="AA495" s="112">
        <v>8459</v>
      </c>
      <c r="AB495" s="112">
        <v>3120</v>
      </c>
      <c r="AC495" s="147">
        <v>147800.06963399998</v>
      </c>
    </row>
    <row r="496" spans="23:29">
      <c r="W496" s="111">
        <v>476</v>
      </c>
      <c r="X496" s="112">
        <v>7300</v>
      </c>
      <c r="Y496" s="113">
        <v>77565</v>
      </c>
      <c r="Z496" s="113">
        <v>84865</v>
      </c>
      <c r="AA496" s="112">
        <v>8487</v>
      </c>
      <c r="AB496" s="112">
        <v>3140</v>
      </c>
      <c r="AC496" s="147">
        <v>148294.434351</v>
      </c>
    </row>
    <row r="497" spans="23:29">
      <c r="W497" s="111">
        <v>477</v>
      </c>
      <c r="X497" s="112">
        <v>7300</v>
      </c>
      <c r="Y497" s="113">
        <v>77846</v>
      </c>
      <c r="Z497" s="113">
        <v>85146</v>
      </c>
      <c r="AA497" s="112">
        <v>8515</v>
      </c>
      <c r="AB497" s="112">
        <v>3150</v>
      </c>
      <c r="AC497" s="147">
        <v>148773.81831899998</v>
      </c>
    </row>
    <row r="498" spans="23:29">
      <c r="W498" s="111">
        <v>478</v>
      </c>
      <c r="X498" s="112">
        <v>7300</v>
      </c>
      <c r="Y498" s="113">
        <v>78126</v>
      </c>
      <c r="Z498" s="113">
        <v>85426</v>
      </c>
      <c r="AA498" s="112">
        <v>8543</v>
      </c>
      <c r="AB498" s="112">
        <v>3160</v>
      </c>
      <c r="AC498" s="147">
        <v>149238.22153799998</v>
      </c>
    </row>
    <row r="499" spans="23:29">
      <c r="W499" s="111">
        <v>479</v>
      </c>
      <c r="X499" s="112">
        <v>7300</v>
      </c>
      <c r="Y499" s="113">
        <v>78407</v>
      </c>
      <c r="Z499" s="113">
        <v>85707</v>
      </c>
      <c r="AA499" s="112">
        <v>8571</v>
      </c>
      <c r="AB499" s="112">
        <v>3170</v>
      </c>
      <c r="AC499" s="147">
        <v>149717.60550599999</v>
      </c>
    </row>
    <row r="500" spans="23:29">
      <c r="W500" s="111">
        <v>480</v>
      </c>
      <c r="X500" s="112">
        <v>7300</v>
      </c>
      <c r="Y500" s="113">
        <v>78688</v>
      </c>
      <c r="Z500" s="113">
        <v>85988</v>
      </c>
      <c r="AA500" s="112">
        <v>8599</v>
      </c>
      <c r="AB500" s="112">
        <v>3180</v>
      </c>
      <c r="AC500" s="147">
        <v>150196.989474</v>
      </c>
    </row>
    <row r="501" spans="23:29">
      <c r="W501" s="111">
        <v>481</v>
      </c>
      <c r="X501" s="112">
        <v>7300</v>
      </c>
      <c r="Y501" s="113">
        <v>78968</v>
      </c>
      <c r="Z501" s="113">
        <v>86268</v>
      </c>
      <c r="AA501" s="112">
        <v>8627</v>
      </c>
      <c r="AB501" s="112">
        <v>3190</v>
      </c>
      <c r="AC501" s="147">
        <v>150676.37344200001</v>
      </c>
    </row>
    <row r="502" spans="23:29">
      <c r="W502" s="111">
        <v>482</v>
      </c>
      <c r="X502" s="112">
        <v>7300</v>
      </c>
      <c r="Y502" s="113">
        <v>79249</v>
      </c>
      <c r="Z502" s="113">
        <v>86549</v>
      </c>
      <c r="AA502" s="112">
        <v>8655</v>
      </c>
      <c r="AB502" s="112">
        <v>3200</v>
      </c>
      <c r="AC502" s="147">
        <v>151155.75741000002</v>
      </c>
    </row>
    <row r="503" spans="23:29">
      <c r="W503" s="111">
        <v>483</v>
      </c>
      <c r="X503" s="112">
        <v>7300</v>
      </c>
      <c r="Y503" s="113">
        <v>79529</v>
      </c>
      <c r="Z503" s="113">
        <v>86829</v>
      </c>
      <c r="AA503" s="112">
        <v>8683</v>
      </c>
      <c r="AB503" s="112">
        <v>3210</v>
      </c>
      <c r="AC503" s="147">
        <v>151635.141378</v>
      </c>
    </row>
    <row r="504" spans="23:29">
      <c r="W504" s="111">
        <v>484</v>
      </c>
      <c r="X504" s="112">
        <v>7300</v>
      </c>
      <c r="Y504" s="113">
        <v>79810</v>
      </c>
      <c r="Z504" s="113">
        <v>87110</v>
      </c>
      <c r="AA504" s="112">
        <v>8711</v>
      </c>
      <c r="AB504" s="112">
        <v>3220</v>
      </c>
      <c r="AC504" s="147">
        <v>152114.52534600001</v>
      </c>
    </row>
    <row r="505" spans="23:29">
      <c r="W505" s="111">
        <v>485</v>
      </c>
      <c r="X505" s="112">
        <v>7300</v>
      </c>
      <c r="Y505" s="113">
        <v>80091</v>
      </c>
      <c r="Z505" s="113">
        <v>87391</v>
      </c>
      <c r="AA505" s="112">
        <v>8739</v>
      </c>
      <c r="AB505" s="112">
        <v>3230</v>
      </c>
      <c r="AC505" s="147">
        <v>152593.90931399999</v>
      </c>
    </row>
    <row r="506" spans="23:29">
      <c r="W506" s="111">
        <v>486</v>
      </c>
      <c r="X506" s="112">
        <v>7300</v>
      </c>
      <c r="Y506" s="113">
        <v>80371</v>
      </c>
      <c r="Z506" s="113">
        <v>87671</v>
      </c>
      <c r="AA506" s="112">
        <v>8767</v>
      </c>
      <c r="AB506" s="112">
        <v>3240</v>
      </c>
      <c r="AC506" s="147">
        <v>153058.31253299999</v>
      </c>
    </row>
    <row r="507" spans="23:29">
      <c r="W507" s="111">
        <v>487</v>
      </c>
      <c r="X507" s="112">
        <v>7300</v>
      </c>
      <c r="Y507" s="113">
        <v>80652</v>
      </c>
      <c r="Z507" s="113">
        <v>87952</v>
      </c>
      <c r="AA507" s="112">
        <v>8795</v>
      </c>
      <c r="AB507" s="112">
        <v>3250</v>
      </c>
      <c r="AC507" s="147">
        <v>153537.696501</v>
      </c>
    </row>
    <row r="508" spans="23:29">
      <c r="W508" s="111">
        <v>488</v>
      </c>
      <c r="X508" s="112">
        <v>7300</v>
      </c>
      <c r="Y508" s="113">
        <v>80932</v>
      </c>
      <c r="Z508" s="113">
        <v>88232</v>
      </c>
      <c r="AA508" s="112">
        <v>8823</v>
      </c>
      <c r="AB508" s="112">
        <v>3260</v>
      </c>
      <c r="AC508" s="147">
        <v>154017.08046899998</v>
      </c>
    </row>
    <row r="509" spans="23:29">
      <c r="W509" s="111">
        <v>489</v>
      </c>
      <c r="X509" s="112">
        <v>7300</v>
      </c>
      <c r="Y509" s="113">
        <v>81213</v>
      </c>
      <c r="Z509" s="113">
        <v>88513</v>
      </c>
      <c r="AA509" s="112">
        <v>8851</v>
      </c>
      <c r="AB509" s="112">
        <v>3270</v>
      </c>
      <c r="AC509" s="147">
        <v>154496.46443699999</v>
      </c>
    </row>
    <row r="510" spans="23:29">
      <c r="W510" s="111">
        <v>490</v>
      </c>
      <c r="X510" s="112">
        <v>7300</v>
      </c>
      <c r="Y510" s="113">
        <v>81494</v>
      </c>
      <c r="Z510" s="113">
        <v>88794</v>
      </c>
      <c r="AA510" s="112">
        <v>8879</v>
      </c>
      <c r="AB510" s="112">
        <v>3280</v>
      </c>
      <c r="AC510" s="147">
        <v>154975.848405</v>
      </c>
    </row>
    <row r="511" spans="23:29">
      <c r="W511" s="111">
        <v>491</v>
      </c>
      <c r="X511" s="112">
        <v>7300</v>
      </c>
      <c r="Y511" s="113">
        <v>81774</v>
      </c>
      <c r="Z511" s="113">
        <v>89074</v>
      </c>
      <c r="AA511" s="112">
        <v>8907</v>
      </c>
      <c r="AB511" s="112">
        <v>3290</v>
      </c>
      <c r="AC511" s="147">
        <v>155455.23237299998</v>
      </c>
    </row>
    <row r="512" spans="23:29">
      <c r="W512" s="111">
        <v>492</v>
      </c>
      <c r="X512" s="112">
        <v>7300</v>
      </c>
      <c r="Y512" s="113">
        <v>82055</v>
      </c>
      <c r="Z512" s="113">
        <v>89355</v>
      </c>
      <c r="AA512" s="112">
        <v>8936</v>
      </c>
      <c r="AB512" s="112">
        <v>3300</v>
      </c>
      <c r="AC512" s="147">
        <v>155934.61634099999</v>
      </c>
    </row>
    <row r="513" spans="23:29">
      <c r="W513" s="111">
        <v>493</v>
      </c>
      <c r="X513" s="112">
        <v>7300</v>
      </c>
      <c r="Y513" s="113">
        <v>82335</v>
      </c>
      <c r="Z513" s="113">
        <v>89635</v>
      </c>
      <c r="AA513" s="112">
        <v>8964</v>
      </c>
      <c r="AB513" s="112">
        <v>3310</v>
      </c>
      <c r="AC513" s="147">
        <v>156399.01956000002</v>
      </c>
    </row>
    <row r="514" spans="23:29">
      <c r="W514" s="111">
        <v>494</v>
      </c>
      <c r="X514" s="112">
        <v>7300</v>
      </c>
      <c r="Y514" s="113">
        <v>82616</v>
      </c>
      <c r="Z514" s="113">
        <v>89916</v>
      </c>
      <c r="AA514" s="112">
        <v>8992</v>
      </c>
      <c r="AB514" s="112">
        <v>3320</v>
      </c>
      <c r="AC514" s="147">
        <v>156878.403528</v>
      </c>
    </row>
    <row r="515" spans="23:29">
      <c r="W515" s="111">
        <v>495</v>
      </c>
      <c r="X515" s="112">
        <v>7300</v>
      </c>
      <c r="Y515" s="113">
        <v>82897</v>
      </c>
      <c r="Z515" s="113">
        <v>90197</v>
      </c>
      <c r="AA515" s="112">
        <v>9020</v>
      </c>
      <c r="AB515" s="112">
        <v>3330</v>
      </c>
      <c r="AC515" s="147">
        <v>157357.787496</v>
      </c>
    </row>
    <row r="516" spans="23:29">
      <c r="W516" s="111">
        <v>496</v>
      </c>
      <c r="X516" s="112">
        <v>7300</v>
      </c>
      <c r="Y516" s="113">
        <v>83177</v>
      </c>
      <c r="Z516" s="113">
        <v>90477</v>
      </c>
      <c r="AA516" s="112">
        <v>9048</v>
      </c>
      <c r="AB516" s="112">
        <v>3340</v>
      </c>
      <c r="AC516" s="147">
        <v>157837.17146399998</v>
      </c>
    </row>
    <row r="517" spans="23:29">
      <c r="W517" s="111">
        <v>497</v>
      </c>
      <c r="X517" s="112">
        <v>7300</v>
      </c>
      <c r="Y517" s="113">
        <v>83458</v>
      </c>
      <c r="Z517" s="113">
        <v>90758</v>
      </c>
      <c r="AA517" s="112">
        <v>9076</v>
      </c>
      <c r="AB517" s="112">
        <v>3350</v>
      </c>
      <c r="AC517" s="147">
        <v>158316.55543199999</v>
      </c>
    </row>
    <row r="518" spans="23:29">
      <c r="W518" s="111">
        <v>498</v>
      </c>
      <c r="X518" s="112">
        <v>7300</v>
      </c>
      <c r="Y518" s="113">
        <v>83738</v>
      </c>
      <c r="Z518" s="113">
        <v>91038</v>
      </c>
      <c r="AA518" s="112">
        <v>9104</v>
      </c>
      <c r="AB518" s="112">
        <v>3360</v>
      </c>
      <c r="AC518" s="147">
        <v>158795.9394</v>
      </c>
    </row>
    <row r="519" spans="23:29">
      <c r="W519" s="111">
        <v>499</v>
      </c>
      <c r="X519" s="112">
        <v>7300</v>
      </c>
      <c r="Y519" s="113">
        <v>84019</v>
      </c>
      <c r="Z519" s="113">
        <v>91319</v>
      </c>
      <c r="AA519" s="112">
        <v>9132</v>
      </c>
      <c r="AB519" s="112">
        <v>3370</v>
      </c>
      <c r="AC519" s="147">
        <v>159275.32336800001</v>
      </c>
    </row>
    <row r="520" spans="23:29">
      <c r="W520" s="111">
        <v>500</v>
      </c>
      <c r="X520" s="112">
        <v>7300</v>
      </c>
      <c r="Y520" s="113">
        <v>84300</v>
      </c>
      <c r="Z520" s="113">
        <v>91600</v>
      </c>
      <c r="AA520" s="112">
        <v>9160</v>
      </c>
      <c r="AB520" s="112">
        <v>3380</v>
      </c>
      <c r="AC520" s="147">
        <v>159754.70733600002</v>
      </c>
    </row>
    <row r="521" spans="23:29">
      <c r="W521" s="111">
        <v>501</v>
      </c>
      <c r="X521" s="112">
        <v>7300</v>
      </c>
      <c r="Y521" s="113">
        <v>84580</v>
      </c>
      <c r="Z521" s="113">
        <v>91880</v>
      </c>
      <c r="AA521" s="112">
        <v>9188</v>
      </c>
      <c r="AB521" s="112">
        <v>3390</v>
      </c>
      <c r="AC521" s="147">
        <v>160219.11055499999</v>
      </c>
    </row>
    <row r="522" spans="23:29">
      <c r="W522" s="111">
        <v>502</v>
      </c>
      <c r="X522" s="112">
        <v>7300</v>
      </c>
      <c r="Y522" s="113">
        <v>84861</v>
      </c>
      <c r="Z522" s="113">
        <v>92161</v>
      </c>
      <c r="AA522" s="112">
        <v>9216</v>
      </c>
      <c r="AB522" s="112">
        <v>3400</v>
      </c>
      <c r="AC522" s="147">
        <v>160698.49452299997</v>
      </c>
    </row>
    <row r="523" spans="23:29">
      <c r="W523" s="111">
        <v>503</v>
      </c>
      <c r="X523" s="112">
        <v>7300</v>
      </c>
      <c r="Y523" s="113">
        <v>85141</v>
      </c>
      <c r="Z523" s="113">
        <v>92441</v>
      </c>
      <c r="AA523" s="112">
        <v>9244</v>
      </c>
      <c r="AB523" s="112">
        <v>3420</v>
      </c>
      <c r="AC523" s="147">
        <v>161192.85924000002</v>
      </c>
    </row>
    <row r="524" spans="23:29">
      <c r="W524" s="111">
        <v>504</v>
      </c>
      <c r="X524" s="112">
        <v>7300</v>
      </c>
      <c r="Y524" s="113">
        <v>85422</v>
      </c>
      <c r="Z524" s="113">
        <v>92722</v>
      </c>
      <c r="AA524" s="112">
        <v>9272</v>
      </c>
      <c r="AB524" s="112">
        <v>3430</v>
      </c>
      <c r="AC524" s="147">
        <v>161672.24320799997</v>
      </c>
    </row>
    <row r="525" spans="23:29">
      <c r="W525" s="111">
        <v>505</v>
      </c>
      <c r="X525" s="112">
        <v>7300</v>
      </c>
      <c r="Y525" s="113">
        <v>85703</v>
      </c>
      <c r="Z525" s="113">
        <v>93003</v>
      </c>
      <c r="AA525" s="112">
        <v>9300</v>
      </c>
      <c r="AB525" s="112">
        <v>3440</v>
      </c>
      <c r="AC525" s="147">
        <v>162151.62717599998</v>
      </c>
    </row>
    <row r="526" spans="23:29">
      <c r="W526" s="111">
        <v>506</v>
      </c>
      <c r="X526" s="112">
        <v>7300</v>
      </c>
      <c r="Y526" s="113">
        <v>85983</v>
      </c>
      <c r="Z526" s="113">
        <v>93283</v>
      </c>
      <c r="AA526" s="112">
        <v>9328</v>
      </c>
      <c r="AB526" s="112">
        <v>3450</v>
      </c>
      <c r="AC526" s="147">
        <v>162631.01114399999</v>
      </c>
    </row>
    <row r="527" spans="23:29">
      <c r="W527" s="111">
        <v>507</v>
      </c>
      <c r="X527" s="112">
        <v>7300</v>
      </c>
      <c r="Y527" s="113">
        <v>86264</v>
      </c>
      <c r="Z527" s="113">
        <v>93564</v>
      </c>
      <c r="AA527" s="112">
        <v>9356</v>
      </c>
      <c r="AB527" s="112">
        <v>3460</v>
      </c>
      <c r="AC527" s="147">
        <v>163110.395112</v>
      </c>
    </row>
    <row r="528" spans="23:29">
      <c r="W528" s="111">
        <v>508</v>
      </c>
      <c r="X528" s="112">
        <v>7300</v>
      </c>
      <c r="Y528" s="113">
        <v>86544</v>
      </c>
      <c r="Z528" s="113">
        <v>93844</v>
      </c>
      <c r="AA528" s="112">
        <v>9384</v>
      </c>
      <c r="AB528" s="112">
        <v>3470</v>
      </c>
      <c r="AC528" s="147">
        <v>163574.798331</v>
      </c>
    </row>
    <row r="529" spans="23:29">
      <c r="W529" s="111">
        <v>509</v>
      </c>
      <c r="X529" s="112">
        <v>7300</v>
      </c>
      <c r="Y529" s="113">
        <v>86825</v>
      </c>
      <c r="Z529" s="113">
        <v>94125</v>
      </c>
      <c r="AA529" s="112">
        <v>9413</v>
      </c>
      <c r="AB529" s="112">
        <v>3480</v>
      </c>
      <c r="AC529" s="147">
        <v>164054.18229900001</v>
      </c>
    </row>
    <row r="530" spans="23:29">
      <c r="W530" s="111">
        <v>510</v>
      </c>
      <c r="X530" s="112">
        <v>7300</v>
      </c>
      <c r="Y530" s="113">
        <v>87106</v>
      </c>
      <c r="Z530" s="113">
        <v>94406</v>
      </c>
      <c r="AA530" s="112">
        <v>9441</v>
      </c>
      <c r="AB530" s="112">
        <v>3490</v>
      </c>
      <c r="AC530" s="147">
        <v>164533.56626700002</v>
      </c>
    </row>
    <row r="531" spans="23:29">
      <c r="W531" s="111">
        <v>511</v>
      </c>
      <c r="X531" s="112">
        <v>7300</v>
      </c>
      <c r="Y531" s="113">
        <v>87386</v>
      </c>
      <c r="Z531" s="113">
        <v>94686</v>
      </c>
      <c r="AA531" s="112">
        <v>9469</v>
      </c>
      <c r="AB531" s="112">
        <v>3500</v>
      </c>
      <c r="AC531" s="147">
        <v>165012.95023500003</v>
      </c>
    </row>
    <row r="532" spans="23:29">
      <c r="W532" s="111">
        <v>512</v>
      </c>
      <c r="X532" s="112">
        <v>7300</v>
      </c>
      <c r="Y532" s="113">
        <v>87667</v>
      </c>
      <c r="Z532" s="113">
        <v>94967</v>
      </c>
      <c r="AA532" s="112">
        <v>9497</v>
      </c>
      <c r="AB532" s="112">
        <v>3510</v>
      </c>
      <c r="AC532" s="147">
        <v>165492.33420299998</v>
      </c>
    </row>
    <row r="533" spans="23:29">
      <c r="W533" s="111">
        <v>513</v>
      </c>
      <c r="X533" s="112">
        <v>7300</v>
      </c>
      <c r="Y533" s="113">
        <v>87947</v>
      </c>
      <c r="Z533" s="113">
        <v>95247</v>
      </c>
      <c r="AA533" s="112">
        <v>9525</v>
      </c>
      <c r="AB533" s="112">
        <v>3520</v>
      </c>
      <c r="AC533" s="147">
        <v>165971.71817099999</v>
      </c>
    </row>
    <row r="534" spans="23:29">
      <c r="W534" s="111">
        <v>514</v>
      </c>
      <c r="X534" s="112">
        <v>7300</v>
      </c>
      <c r="Y534" s="113">
        <v>88228</v>
      </c>
      <c r="Z534" s="113">
        <v>95528</v>
      </c>
      <c r="AA534" s="112">
        <v>9553</v>
      </c>
      <c r="AB534" s="112">
        <v>3530</v>
      </c>
      <c r="AC534" s="147">
        <v>166451.102139</v>
      </c>
    </row>
    <row r="535" spans="23:29">
      <c r="W535" s="111">
        <v>515</v>
      </c>
      <c r="X535" s="112">
        <v>7300</v>
      </c>
      <c r="Y535" s="113">
        <v>88509</v>
      </c>
      <c r="Z535" s="113">
        <v>95809</v>
      </c>
      <c r="AA535" s="112">
        <v>9581</v>
      </c>
      <c r="AB535" s="112">
        <v>3540</v>
      </c>
      <c r="AC535" s="147">
        <v>166930.486107</v>
      </c>
    </row>
    <row r="536" spans="23:29">
      <c r="W536" s="111">
        <v>516</v>
      </c>
      <c r="X536" s="112">
        <v>7300</v>
      </c>
      <c r="Y536" s="113">
        <v>88789</v>
      </c>
      <c r="Z536" s="113">
        <v>96089</v>
      </c>
      <c r="AA536" s="112">
        <v>9609</v>
      </c>
      <c r="AB536" s="112">
        <v>3550</v>
      </c>
      <c r="AC536" s="147">
        <v>167394.88932599997</v>
      </c>
    </row>
    <row r="537" spans="23:29">
      <c r="W537" s="111">
        <v>517</v>
      </c>
      <c r="X537" s="112">
        <v>7300</v>
      </c>
      <c r="Y537" s="113">
        <v>89070</v>
      </c>
      <c r="Z537" s="113">
        <v>96370</v>
      </c>
      <c r="AA537" s="112">
        <v>9637</v>
      </c>
      <c r="AB537" s="112">
        <v>3560</v>
      </c>
      <c r="AC537" s="147">
        <v>167874.27329399998</v>
      </c>
    </row>
    <row r="538" spans="23:29">
      <c r="W538" s="111">
        <v>518</v>
      </c>
      <c r="X538" s="112">
        <v>7300</v>
      </c>
      <c r="Y538" s="113">
        <v>89350</v>
      </c>
      <c r="Z538" s="113">
        <v>96650</v>
      </c>
      <c r="AA538" s="112">
        <v>9665</v>
      </c>
      <c r="AB538" s="112">
        <v>3570</v>
      </c>
      <c r="AC538" s="147">
        <v>168353.65726199999</v>
      </c>
    </row>
    <row r="539" spans="23:29">
      <c r="W539" s="111">
        <v>519</v>
      </c>
      <c r="X539" s="112">
        <v>7300</v>
      </c>
      <c r="Y539" s="113">
        <v>89631</v>
      </c>
      <c r="Z539" s="113">
        <v>96931</v>
      </c>
      <c r="AA539" s="112">
        <v>9693</v>
      </c>
      <c r="AB539" s="112">
        <v>3580</v>
      </c>
      <c r="AC539" s="147">
        <v>168833.04123</v>
      </c>
    </row>
    <row r="540" spans="23:29">
      <c r="W540" s="111">
        <v>520</v>
      </c>
      <c r="X540" s="112">
        <v>7300</v>
      </c>
      <c r="Y540" s="113">
        <v>89912</v>
      </c>
      <c r="Z540" s="113">
        <v>97212</v>
      </c>
      <c r="AA540" s="112">
        <v>9721</v>
      </c>
      <c r="AB540" s="112">
        <v>3590</v>
      </c>
      <c r="AC540" s="147">
        <v>169312.42519800001</v>
      </c>
    </row>
    <row r="541" spans="23:29">
      <c r="W541" s="111">
        <v>521</v>
      </c>
      <c r="X541" s="112">
        <v>7300</v>
      </c>
      <c r="Y541" s="113">
        <v>90192</v>
      </c>
      <c r="Z541" s="113">
        <v>97492</v>
      </c>
      <c r="AA541" s="112">
        <v>9749</v>
      </c>
      <c r="AB541" s="112">
        <v>3600</v>
      </c>
      <c r="AC541" s="147">
        <v>169791.80916599999</v>
      </c>
    </row>
    <row r="542" spans="23:29">
      <c r="W542" s="111">
        <v>522</v>
      </c>
      <c r="X542" s="112">
        <v>7300</v>
      </c>
      <c r="Y542" s="113">
        <v>90473</v>
      </c>
      <c r="Z542" s="113">
        <v>97773</v>
      </c>
      <c r="AA542" s="112">
        <v>9777</v>
      </c>
      <c r="AB542" s="112">
        <v>3610</v>
      </c>
      <c r="AC542" s="147">
        <v>170271.193134</v>
      </c>
    </row>
    <row r="543" spans="23:29">
      <c r="W543" s="111">
        <v>523</v>
      </c>
      <c r="X543" s="112">
        <v>7300</v>
      </c>
      <c r="Y543" s="113">
        <v>90753</v>
      </c>
      <c r="Z543" s="113">
        <v>98053</v>
      </c>
      <c r="AA543" s="112">
        <v>9805</v>
      </c>
      <c r="AB543" s="112">
        <v>3620</v>
      </c>
      <c r="AC543" s="147">
        <v>170735.59635300003</v>
      </c>
    </row>
    <row r="544" spans="23:29">
      <c r="W544" s="111">
        <v>524</v>
      </c>
      <c r="X544" s="112">
        <v>7300</v>
      </c>
      <c r="Y544" s="113">
        <v>91034</v>
      </c>
      <c r="Z544" s="113">
        <v>98334</v>
      </c>
      <c r="AA544" s="112">
        <v>9833</v>
      </c>
      <c r="AB544" s="112">
        <v>3630</v>
      </c>
      <c r="AC544" s="147">
        <v>171214.98032099998</v>
      </c>
    </row>
    <row r="545" spans="23:29">
      <c r="W545" s="111">
        <v>525</v>
      </c>
      <c r="X545" s="112">
        <v>7300</v>
      </c>
      <c r="Y545" s="113">
        <v>91315</v>
      </c>
      <c r="Z545" s="113">
        <v>98615</v>
      </c>
      <c r="AA545" s="112">
        <v>9862</v>
      </c>
      <c r="AB545" s="112">
        <v>3640</v>
      </c>
      <c r="AC545" s="147">
        <v>171694.36428899999</v>
      </c>
    </row>
    <row r="546" spans="23:29">
      <c r="W546" s="111">
        <v>526</v>
      </c>
      <c r="X546" s="112">
        <v>7300</v>
      </c>
      <c r="Y546" s="113">
        <v>91595</v>
      </c>
      <c r="Z546" s="113">
        <v>98895</v>
      </c>
      <c r="AA546" s="112">
        <v>9890</v>
      </c>
      <c r="AB546" s="112">
        <v>3650</v>
      </c>
      <c r="AC546" s="147">
        <v>172173.74825699997</v>
      </c>
    </row>
    <row r="547" spans="23:29">
      <c r="W547" s="111">
        <v>527</v>
      </c>
      <c r="X547" s="112">
        <v>7300</v>
      </c>
      <c r="Y547" s="113">
        <v>91876</v>
      </c>
      <c r="Z547" s="113">
        <v>99176</v>
      </c>
      <c r="AA547" s="112">
        <v>9918</v>
      </c>
      <c r="AB547" s="112">
        <v>3660</v>
      </c>
      <c r="AC547" s="147">
        <v>172653.13222499998</v>
      </c>
    </row>
    <row r="548" spans="23:29">
      <c r="W548" s="111">
        <v>528</v>
      </c>
      <c r="X548" s="112">
        <v>7300</v>
      </c>
      <c r="Y548" s="113">
        <v>92156</v>
      </c>
      <c r="Z548" s="113">
        <v>99456</v>
      </c>
      <c r="AA548" s="112">
        <v>9946</v>
      </c>
      <c r="AB548" s="112">
        <v>3670</v>
      </c>
      <c r="AC548" s="147">
        <v>173132.51619299999</v>
      </c>
    </row>
    <row r="549" spans="23:29">
      <c r="W549" s="111">
        <v>529</v>
      </c>
      <c r="X549" s="112">
        <v>7300</v>
      </c>
      <c r="Y549" s="113">
        <v>92437</v>
      </c>
      <c r="Z549" s="113">
        <v>99737</v>
      </c>
      <c r="AA549" s="112">
        <v>9974</v>
      </c>
      <c r="AB549" s="112">
        <v>3690</v>
      </c>
      <c r="AC549" s="147">
        <v>173626.88091000001</v>
      </c>
    </row>
    <row r="550" spans="23:29">
      <c r="W550" s="111">
        <v>530</v>
      </c>
      <c r="X550" s="112">
        <v>7300</v>
      </c>
      <c r="Y550" s="113">
        <v>92718</v>
      </c>
      <c r="Z550" s="113">
        <v>100018</v>
      </c>
      <c r="AA550" s="112">
        <v>10002</v>
      </c>
      <c r="AB550" s="112">
        <v>3700</v>
      </c>
      <c r="AC550" s="147">
        <v>174106.26487800002</v>
      </c>
    </row>
    <row r="551" spans="23:29">
      <c r="W551" s="111">
        <v>531</v>
      </c>
      <c r="X551" s="112">
        <v>7300</v>
      </c>
      <c r="Y551" s="113">
        <v>92998</v>
      </c>
      <c r="Z551" s="113">
        <v>100298</v>
      </c>
      <c r="AA551" s="112">
        <v>10030</v>
      </c>
      <c r="AB551" s="112">
        <v>3710</v>
      </c>
      <c r="AC551" s="147">
        <v>174570.66809699999</v>
      </c>
    </row>
    <row r="552" spans="23:29">
      <c r="W552" s="111">
        <v>532</v>
      </c>
      <c r="X552" s="112">
        <v>7300</v>
      </c>
      <c r="Y552" s="113">
        <v>93279</v>
      </c>
      <c r="Z552" s="113">
        <v>100579</v>
      </c>
      <c r="AA552" s="112">
        <v>10058</v>
      </c>
      <c r="AB552" s="112">
        <v>3720</v>
      </c>
      <c r="AC552" s="147">
        <v>175050.052065</v>
      </c>
    </row>
    <row r="553" spans="23:29">
      <c r="W553" s="111">
        <v>533</v>
      </c>
      <c r="X553" s="112">
        <v>7300</v>
      </c>
      <c r="Y553" s="113">
        <v>93559</v>
      </c>
      <c r="Z553" s="113">
        <v>100859</v>
      </c>
      <c r="AA553" s="112">
        <v>10086</v>
      </c>
      <c r="AB553" s="112">
        <v>3730</v>
      </c>
      <c r="AC553" s="147">
        <v>175529.43603300001</v>
      </c>
    </row>
    <row r="554" spans="23:29">
      <c r="W554" s="111">
        <v>534</v>
      </c>
      <c r="X554" s="112">
        <v>7300</v>
      </c>
      <c r="Y554" s="113">
        <v>93840</v>
      </c>
      <c r="Z554" s="113">
        <v>101140</v>
      </c>
      <c r="AA554" s="112">
        <v>10114</v>
      </c>
      <c r="AB554" s="112">
        <v>3740</v>
      </c>
      <c r="AC554" s="147">
        <v>176008.82000099996</v>
      </c>
    </row>
    <row r="555" spans="23:29">
      <c r="W555" s="111">
        <v>535</v>
      </c>
      <c r="X555" s="112">
        <v>7300</v>
      </c>
      <c r="Y555" s="113">
        <v>94121</v>
      </c>
      <c r="Z555" s="113">
        <v>101421</v>
      </c>
      <c r="AA555" s="112">
        <v>10142</v>
      </c>
      <c r="AB555" s="112">
        <v>3750</v>
      </c>
      <c r="AC555" s="147">
        <v>176488.20396899997</v>
      </c>
    </row>
    <row r="556" spans="23:29">
      <c r="W556" s="111">
        <v>536</v>
      </c>
      <c r="X556" s="112">
        <v>7300</v>
      </c>
      <c r="Y556" s="113">
        <v>94401</v>
      </c>
      <c r="Z556" s="113">
        <v>101701</v>
      </c>
      <c r="AA556" s="112">
        <v>10170</v>
      </c>
      <c r="AB556" s="112">
        <v>3760</v>
      </c>
      <c r="AC556" s="147">
        <v>176967.58793699997</v>
      </c>
    </row>
    <row r="557" spans="23:29">
      <c r="W557" s="111">
        <v>537</v>
      </c>
      <c r="X557" s="112">
        <v>7300</v>
      </c>
      <c r="Y557" s="113">
        <v>94682</v>
      </c>
      <c r="Z557" s="113">
        <v>101982</v>
      </c>
      <c r="AA557" s="112">
        <v>10198</v>
      </c>
      <c r="AB557" s="112">
        <v>3770</v>
      </c>
      <c r="AC557" s="147">
        <v>177446.97190499998</v>
      </c>
    </row>
    <row r="558" spans="23:29">
      <c r="W558" s="111">
        <v>538</v>
      </c>
      <c r="X558" s="112">
        <v>7300</v>
      </c>
      <c r="Y558" s="113">
        <v>94962</v>
      </c>
      <c r="Z558" s="113">
        <v>102262</v>
      </c>
      <c r="AA558" s="112">
        <v>10226</v>
      </c>
      <c r="AB558" s="112">
        <v>3780</v>
      </c>
      <c r="AC558" s="147">
        <v>177911.37512399995</v>
      </c>
    </row>
    <row r="559" spans="23:29">
      <c r="W559" s="111">
        <v>539</v>
      </c>
      <c r="X559" s="112">
        <v>7300</v>
      </c>
      <c r="Y559" s="113">
        <v>95243</v>
      </c>
      <c r="Z559" s="113">
        <v>102543</v>
      </c>
      <c r="AA559" s="112">
        <v>10254</v>
      </c>
      <c r="AB559" s="112">
        <v>3790</v>
      </c>
      <c r="AC559" s="147">
        <v>178390.75909199996</v>
      </c>
    </row>
    <row r="560" spans="23:29">
      <c r="W560" s="111">
        <v>540</v>
      </c>
      <c r="X560" s="112">
        <v>7300</v>
      </c>
      <c r="Y560" s="113">
        <v>95524</v>
      </c>
      <c r="Z560" s="113">
        <v>102824</v>
      </c>
      <c r="AA560" s="112">
        <v>10282</v>
      </c>
      <c r="AB560" s="112">
        <v>3800</v>
      </c>
      <c r="AC560" s="147">
        <v>178870.14305999997</v>
      </c>
    </row>
    <row r="561" spans="23:29">
      <c r="W561" s="111">
        <v>541</v>
      </c>
      <c r="X561" s="112">
        <v>7300</v>
      </c>
      <c r="Y561" s="113">
        <v>95804</v>
      </c>
      <c r="Z561" s="113">
        <v>103104</v>
      </c>
      <c r="AA561" s="112">
        <v>10310</v>
      </c>
      <c r="AB561" s="112">
        <v>3810</v>
      </c>
      <c r="AC561" s="147">
        <v>179349.52702799998</v>
      </c>
    </row>
    <row r="562" spans="23:29">
      <c r="W562" s="111">
        <v>542</v>
      </c>
      <c r="X562" s="112">
        <v>7300</v>
      </c>
      <c r="Y562" s="113">
        <v>96085</v>
      </c>
      <c r="Z562" s="113">
        <v>103385</v>
      </c>
      <c r="AA562" s="112">
        <v>10339</v>
      </c>
      <c r="AB562" s="112">
        <v>3820</v>
      </c>
      <c r="AC562" s="147">
        <v>179828.91099599996</v>
      </c>
    </row>
    <row r="563" spans="23:29">
      <c r="W563" s="111">
        <v>543</v>
      </c>
      <c r="X563" s="112">
        <v>7300</v>
      </c>
      <c r="Y563" s="113">
        <v>96365</v>
      </c>
      <c r="Z563" s="113">
        <v>103665</v>
      </c>
      <c r="AA563" s="112">
        <v>10367</v>
      </c>
      <c r="AB563" s="112">
        <v>3830</v>
      </c>
      <c r="AC563" s="147">
        <v>180308.29496399997</v>
      </c>
    </row>
    <row r="564" spans="23:29">
      <c r="W564" s="111">
        <v>544</v>
      </c>
      <c r="X564" s="112">
        <v>7300</v>
      </c>
      <c r="Y564" s="113">
        <v>96646</v>
      </c>
      <c r="Z564" s="113">
        <v>103946</v>
      </c>
      <c r="AA564" s="112">
        <v>10395</v>
      </c>
      <c r="AB564" s="112">
        <v>3840</v>
      </c>
      <c r="AC564" s="147">
        <v>180787.67893199998</v>
      </c>
    </row>
    <row r="565" spans="23:29">
      <c r="W565" s="111">
        <v>545</v>
      </c>
      <c r="X565" s="112">
        <v>7300</v>
      </c>
      <c r="Y565" s="113">
        <v>96927</v>
      </c>
      <c r="Z565" s="113">
        <v>104227</v>
      </c>
      <c r="AA565" s="112">
        <v>10423</v>
      </c>
      <c r="AB565" s="112">
        <v>3850</v>
      </c>
      <c r="AC565" s="147">
        <v>181267.06289999999</v>
      </c>
    </row>
    <row r="566" spans="23:29">
      <c r="W566" s="111">
        <v>546</v>
      </c>
      <c r="X566" s="112">
        <v>7300</v>
      </c>
      <c r="Y566" s="113">
        <v>97207</v>
      </c>
      <c r="Z566" s="113">
        <v>104507</v>
      </c>
      <c r="AA566" s="112">
        <v>10451</v>
      </c>
      <c r="AB566" s="112">
        <v>3860</v>
      </c>
      <c r="AC566" s="147">
        <v>181731.46611899999</v>
      </c>
    </row>
    <row r="567" spans="23:29">
      <c r="W567" s="111">
        <v>547</v>
      </c>
      <c r="X567" s="112">
        <v>7300</v>
      </c>
      <c r="Y567" s="113">
        <v>97488</v>
      </c>
      <c r="Z567" s="113">
        <v>104788</v>
      </c>
      <c r="AA567" s="112">
        <v>10479</v>
      </c>
      <c r="AB567" s="112">
        <v>3870</v>
      </c>
      <c r="AC567" s="147">
        <v>182210.850087</v>
      </c>
    </row>
    <row r="568" spans="23:29">
      <c r="W568" s="111">
        <v>548</v>
      </c>
      <c r="X568" s="112">
        <v>7300</v>
      </c>
      <c r="Y568" s="113">
        <v>97768</v>
      </c>
      <c r="Z568" s="113">
        <v>105068</v>
      </c>
      <c r="AA568" s="112">
        <v>10507</v>
      </c>
      <c r="AB568" s="112">
        <v>3880</v>
      </c>
      <c r="AC568" s="147">
        <v>182690.23405500001</v>
      </c>
    </row>
    <row r="569" spans="23:29">
      <c r="W569" s="111">
        <v>549</v>
      </c>
      <c r="X569" s="112">
        <v>7300</v>
      </c>
      <c r="Y569" s="113">
        <v>98049</v>
      </c>
      <c r="Z569" s="113">
        <v>105349</v>
      </c>
      <c r="AA569" s="112">
        <v>10535</v>
      </c>
      <c r="AB569" s="112">
        <v>3890</v>
      </c>
      <c r="AC569" s="147">
        <v>183169.61802300002</v>
      </c>
    </row>
    <row r="570" spans="23:29">
      <c r="W570" s="111">
        <v>550</v>
      </c>
      <c r="X570" s="112">
        <v>7300</v>
      </c>
      <c r="Y570" s="113">
        <v>98330</v>
      </c>
      <c r="Z570" s="113">
        <v>105630</v>
      </c>
      <c r="AA570" s="112">
        <v>10563</v>
      </c>
      <c r="AB570" s="112">
        <v>3900</v>
      </c>
      <c r="AC570" s="147">
        <v>183649.001991</v>
      </c>
    </row>
    <row r="571" spans="23:29">
      <c r="W571" s="111">
        <v>551</v>
      </c>
      <c r="X571" s="112">
        <v>7300</v>
      </c>
      <c r="Y571" s="113">
        <v>98610</v>
      </c>
      <c r="Z571" s="113">
        <v>105910</v>
      </c>
      <c r="AA571" s="112">
        <v>10591</v>
      </c>
      <c r="AB571" s="112">
        <v>3910</v>
      </c>
      <c r="AC571" s="147">
        <v>184128.38595900001</v>
      </c>
    </row>
    <row r="572" spans="23:29">
      <c r="W572" s="111">
        <v>552</v>
      </c>
      <c r="X572" s="112">
        <v>7300</v>
      </c>
      <c r="Y572" s="113">
        <v>98891</v>
      </c>
      <c r="Z572" s="113">
        <v>106191</v>
      </c>
      <c r="AA572" s="112">
        <v>10619</v>
      </c>
      <c r="AB572" s="112">
        <v>3920</v>
      </c>
      <c r="AC572" s="147">
        <v>184607.76992700002</v>
      </c>
    </row>
    <row r="573" spans="23:29">
      <c r="W573" s="111">
        <v>553</v>
      </c>
      <c r="X573" s="112">
        <v>7300</v>
      </c>
      <c r="Y573" s="113">
        <v>99171</v>
      </c>
      <c r="Z573" s="113">
        <v>106471</v>
      </c>
      <c r="AA573" s="112">
        <v>10647</v>
      </c>
      <c r="AB573" s="112">
        <v>3930</v>
      </c>
      <c r="AC573" s="147">
        <v>185072.17314599999</v>
      </c>
    </row>
    <row r="574" spans="23:29">
      <c r="W574" s="111">
        <v>554</v>
      </c>
      <c r="X574" s="112">
        <v>7300</v>
      </c>
      <c r="Y574" s="113">
        <v>99452</v>
      </c>
      <c r="Z574" s="113">
        <v>106752</v>
      </c>
      <c r="AA574" s="112">
        <v>10675</v>
      </c>
      <c r="AB574" s="112">
        <v>3940</v>
      </c>
      <c r="AC574" s="147">
        <v>185551.557114</v>
      </c>
    </row>
    <row r="575" spans="23:29">
      <c r="W575" s="111">
        <v>555</v>
      </c>
      <c r="X575" s="112">
        <v>7300</v>
      </c>
      <c r="Y575" s="113">
        <v>99733</v>
      </c>
      <c r="Z575" s="113">
        <v>107033</v>
      </c>
      <c r="AA575" s="112">
        <v>10703</v>
      </c>
      <c r="AB575" s="112">
        <v>3960</v>
      </c>
      <c r="AC575" s="147">
        <v>186045.92183099999</v>
      </c>
    </row>
    <row r="576" spans="23:29">
      <c r="W576" s="111">
        <v>556</v>
      </c>
      <c r="X576" s="112">
        <v>7300</v>
      </c>
      <c r="Y576" s="113">
        <v>100013</v>
      </c>
      <c r="Z576" s="113">
        <v>107313</v>
      </c>
      <c r="AA576" s="112">
        <v>10731</v>
      </c>
      <c r="AB576" s="112">
        <v>3970</v>
      </c>
      <c r="AC576" s="147">
        <v>186525.30579899999</v>
      </c>
    </row>
    <row r="577" spans="23:29">
      <c r="W577" s="111">
        <v>557</v>
      </c>
      <c r="X577" s="112">
        <v>7300</v>
      </c>
      <c r="Y577" s="113">
        <v>100294</v>
      </c>
      <c r="Z577" s="113">
        <v>107594</v>
      </c>
      <c r="AA577" s="112">
        <v>10759</v>
      </c>
      <c r="AB577" s="112">
        <v>3980</v>
      </c>
      <c r="AC577" s="147">
        <v>187004.689767</v>
      </c>
    </row>
    <row r="578" spans="23:29">
      <c r="W578" s="111">
        <v>558</v>
      </c>
      <c r="X578" s="112">
        <v>7300</v>
      </c>
      <c r="Y578" s="113">
        <v>100574</v>
      </c>
      <c r="Z578" s="113">
        <v>107874</v>
      </c>
      <c r="AA578" s="112">
        <v>10787</v>
      </c>
      <c r="AB578" s="112">
        <v>3990</v>
      </c>
      <c r="AC578" s="147">
        <v>187484.07373500001</v>
      </c>
    </row>
    <row r="579" spans="23:29">
      <c r="W579" s="111">
        <v>559</v>
      </c>
      <c r="X579" s="112">
        <v>7300</v>
      </c>
      <c r="Y579" s="113">
        <v>100855</v>
      </c>
      <c r="Z579" s="113">
        <v>108155</v>
      </c>
      <c r="AA579" s="112">
        <v>10816</v>
      </c>
      <c r="AB579" s="112">
        <v>4000</v>
      </c>
      <c r="AC579" s="147">
        <v>187963.45770300002</v>
      </c>
    </row>
    <row r="580" spans="23:29">
      <c r="W580" s="111">
        <v>560</v>
      </c>
      <c r="X580" s="112">
        <v>7300</v>
      </c>
      <c r="Y580" s="113">
        <v>101136</v>
      </c>
      <c r="Z580" s="113">
        <v>108436</v>
      </c>
      <c r="AA580" s="112">
        <v>10844</v>
      </c>
      <c r="AB580" s="112">
        <v>4010</v>
      </c>
      <c r="AC580" s="147">
        <v>188442.84167099997</v>
      </c>
    </row>
    <row r="581" spans="23:29">
      <c r="W581" s="111">
        <v>561</v>
      </c>
      <c r="X581" s="112">
        <v>7300</v>
      </c>
      <c r="Y581" s="113">
        <v>101416</v>
      </c>
      <c r="Z581" s="113">
        <v>108716</v>
      </c>
      <c r="AA581" s="112">
        <v>10872</v>
      </c>
      <c r="AB581" s="112">
        <v>4020</v>
      </c>
      <c r="AC581" s="147">
        <v>188907.24489</v>
      </c>
    </row>
    <row r="582" spans="23:29">
      <c r="W582" s="111">
        <v>562</v>
      </c>
      <c r="X582" s="112">
        <v>7300</v>
      </c>
      <c r="Y582" s="113">
        <v>101697</v>
      </c>
      <c r="Z582" s="113">
        <v>108997</v>
      </c>
      <c r="AA582" s="112">
        <v>10900</v>
      </c>
      <c r="AB582" s="112">
        <v>4030</v>
      </c>
      <c r="AC582" s="147">
        <v>189386.62885800001</v>
      </c>
    </row>
    <row r="583" spans="23:29">
      <c r="W583" s="111">
        <v>563</v>
      </c>
      <c r="X583" s="112">
        <v>7300</v>
      </c>
      <c r="Y583" s="113">
        <v>101977</v>
      </c>
      <c r="Z583" s="113">
        <v>109277</v>
      </c>
      <c r="AA583" s="112">
        <v>10928</v>
      </c>
      <c r="AB583" s="112">
        <v>4040</v>
      </c>
      <c r="AC583" s="147">
        <v>189866.01282599999</v>
      </c>
    </row>
    <row r="584" spans="23:29">
      <c r="W584" s="111">
        <v>564</v>
      </c>
      <c r="X584" s="112">
        <v>7300</v>
      </c>
      <c r="Y584" s="113">
        <v>102258</v>
      </c>
      <c r="Z584" s="113">
        <v>109558</v>
      </c>
      <c r="AA584" s="112">
        <v>10956</v>
      </c>
      <c r="AB584" s="112">
        <v>4050</v>
      </c>
      <c r="AC584" s="147">
        <v>190345.396794</v>
      </c>
    </row>
    <row r="585" spans="23:29">
      <c r="W585" s="111">
        <v>565</v>
      </c>
      <c r="X585" s="112">
        <v>7300</v>
      </c>
      <c r="Y585" s="113">
        <v>102539</v>
      </c>
      <c r="Z585" s="113">
        <v>109839</v>
      </c>
      <c r="AA585" s="112">
        <v>10984</v>
      </c>
      <c r="AB585" s="112">
        <v>4060</v>
      </c>
      <c r="AC585" s="147">
        <v>190824.78076200001</v>
      </c>
    </row>
    <row r="586" spans="23:29">
      <c r="W586" s="111">
        <v>566</v>
      </c>
      <c r="X586" s="112">
        <v>7300</v>
      </c>
      <c r="Y586" s="113">
        <v>102819</v>
      </c>
      <c r="Z586" s="113">
        <v>110119</v>
      </c>
      <c r="AA586" s="112">
        <v>11012</v>
      </c>
      <c r="AB586" s="112">
        <v>4070</v>
      </c>
      <c r="AC586" s="147">
        <v>191304.16473000002</v>
      </c>
    </row>
    <row r="587" spans="23:29">
      <c r="W587" s="111">
        <v>567</v>
      </c>
      <c r="X587" s="112">
        <v>7300</v>
      </c>
      <c r="Y587" s="113">
        <v>103100</v>
      </c>
      <c r="Z587" s="113">
        <v>110400</v>
      </c>
      <c r="AA587" s="112">
        <v>11040</v>
      </c>
      <c r="AB587" s="112">
        <v>4080</v>
      </c>
      <c r="AC587" s="147">
        <v>191783.54869800003</v>
      </c>
    </row>
    <row r="588" spans="23:29">
      <c r="W588" s="111">
        <v>568</v>
      </c>
      <c r="X588" s="112">
        <v>7300</v>
      </c>
      <c r="Y588" s="113">
        <v>103380</v>
      </c>
      <c r="Z588" s="113">
        <v>110680</v>
      </c>
      <c r="AA588" s="112">
        <v>11068</v>
      </c>
      <c r="AB588" s="112">
        <v>4090</v>
      </c>
      <c r="AC588" s="147">
        <v>192247.951917</v>
      </c>
    </row>
    <row r="589" spans="23:29">
      <c r="W589" s="111">
        <v>569</v>
      </c>
      <c r="X589" s="112">
        <v>7300</v>
      </c>
      <c r="Y589" s="113">
        <v>103661</v>
      </c>
      <c r="Z589" s="113">
        <v>110961</v>
      </c>
      <c r="AA589" s="112">
        <v>11096</v>
      </c>
      <c r="AB589" s="112">
        <v>4100</v>
      </c>
      <c r="AC589" s="147">
        <v>192727.33588500001</v>
      </c>
    </row>
    <row r="590" spans="23:29">
      <c r="W590" s="111">
        <v>570</v>
      </c>
      <c r="X590" s="112">
        <v>7300</v>
      </c>
      <c r="Y590" s="113">
        <v>103942</v>
      </c>
      <c r="Z590" s="113">
        <v>111242</v>
      </c>
      <c r="AA590" s="112">
        <v>11124</v>
      </c>
      <c r="AB590" s="112">
        <v>4110</v>
      </c>
      <c r="AC590" s="147">
        <v>193206.71985300002</v>
      </c>
    </row>
    <row r="591" spans="23:29">
      <c r="W591" s="111">
        <v>571</v>
      </c>
      <c r="X591" s="112">
        <v>7300</v>
      </c>
      <c r="Y591" s="113">
        <v>104222</v>
      </c>
      <c r="Z591" s="113">
        <v>111522</v>
      </c>
      <c r="AA591" s="112">
        <v>11152</v>
      </c>
      <c r="AB591" s="112">
        <v>4120</v>
      </c>
      <c r="AC591" s="147">
        <v>193686.103821</v>
      </c>
    </row>
    <row r="592" spans="23:29">
      <c r="W592" s="111">
        <v>572</v>
      </c>
      <c r="X592" s="112">
        <v>7300</v>
      </c>
      <c r="Y592" s="113">
        <v>104503</v>
      </c>
      <c r="Z592" s="113">
        <v>111803</v>
      </c>
      <c r="AA592" s="112">
        <v>11180</v>
      </c>
      <c r="AB592" s="112">
        <v>4130</v>
      </c>
      <c r="AC592" s="147">
        <v>194165.48778900001</v>
      </c>
    </row>
    <row r="593" spans="23:29">
      <c r="W593" s="111">
        <v>573</v>
      </c>
      <c r="X593" s="112">
        <v>7300</v>
      </c>
      <c r="Y593" s="113">
        <v>104783</v>
      </c>
      <c r="Z593" s="113">
        <v>112083</v>
      </c>
      <c r="AA593" s="112">
        <v>11208</v>
      </c>
      <c r="AB593" s="112">
        <v>4140</v>
      </c>
      <c r="AC593" s="147">
        <v>194644.87175700002</v>
      </c>
    </row>
    <row r="594" spans="23:29">
      <c r="W594" s="111">
        <v>574</v>
      </c>
      <c r="X594" s="112">
        <v>7300</v>
      </c>
      <c r="Y594" s="113">
        <v>105064</v>
      </c>
      <c r="Z594" s="113">
        <v>112364</v>
      </c>
      <c r="AA594" s="112">
        <v>11236</v>
      </c>
      <c r="AB594" s="112">
        <v>4150</v>
      </c>
      <c r="AC594" s="147">
        <v>195124.25572500002</v>
      </c>
    </row>
    <row r="595" spans="23:29">
      <c r="W595" s="111">
        <v>575</v>
      </c>
      <c r="X595" s="112">
        <v>7300</v>
      </c>
      <c r="Y595" s="113">
        <v>105345</v>
      </c>
      <c r="Z595" s="113">
        <v>112645</v>
      </c>
      <c r="AA595" s="112">
        <v>11265</v>
      </c>
      <c r="AB595" s="112">
        <v>4160</v>
      </c>
      <c r="AC595" s="147">
        <v>195603.63969300003</v>
      </c>
    </row>
    <row r="596" spans="23:29">
      <c r="W596" s="111">
        <v>576</v>
      </c>
      <c r="X596" s="112">
        <v>7300</v>
      </c>
      <c r="Y596" s="113">
        <v>105625</v>
      </c>
      <c r="Z596" s="113">
        <v>112925</v>
      </c>
      <c r="AA596" s="112">
        <v>11293</v>
      </c>
      <c r="AB596" s="112">
        <v>4170</v>
      </c>
      <c r="AC596" s="147">
        <v>196068.04291199998</v>
      </c>
    </row>
    <row r="597" spans="23:29">
      <c r="W597" s="111">
        <v>577</v>
      </c>
      <c r="X597" s="112">
        <v>7300</v>
      </c>
      <c r="Y597" s="113">
        <v>105906</v>
      </c>
      <c r="Z597" s="113">
        <v>113206</v>
      </c>
      <c r="AA597" s="112">
        <v>11321</v>
      </c>
      <c r="AB597" s="112">
        <v>4180</v>
      </c>
      <c r="AC597" s="147">
        <v>196547.42687999998</v>
      </c>
    </row>
    <row r="598" spans="23:29">
      <c r="W598" s="111">
        <v>578</v>
      </c>
      <c r="X598" s="112">
        <v>7300</v>
      </c>
      <c r="Y598" s="113">
        <v>106186</v>
      </c>
      <c r="Z598" s="113">
        <v>113486</v>
      </c>
      <c r="AA598" s="112">
        <v>11349</v>
      </c>
      <c r="AB598" s="112">
        <v>4190</v>
      </c>
      <c r="AC598" s="147">
        <v>197026.81084799996</v>
      </c>
    </row>
    <row r="599" spans="23:29">
      <c r="W599" s="111">
        <v>579</v>
      </c>
      <c r="X599" s="112">
        <v>7300</v>
      </c>
      <c r="Y599" s="113">
        <v>106467</v>
      </c>
      <c r="Z599" s="113">
        <v>113767</v>
      </c>
      <c r="AA599" s="112">
        <v>11377</v>
      </c>
      <c r="AB599" s="112">
        <v>4200</v>
      </c>
      <c r="AC599" s="147">
        <v>197506.19481599994</v>
      </c>
    </row>
    <row r="600" spans="23:29">
      <c r="W600" s="111">
        <v>580</v>
      </c>
      <c r="X600" s="112">
        <v>7300</v>
      </c>
      <c r="Y600" s="113">
        <v>106748</v>
      </c>
      <c r="Z600" s="113">
        <v>114048</v>
      </c>
      <c r="AA600" s="112">
        <v>11405</v>
      </c>
      <c r="AB600" s="112">
        <v>4210</v>
      </c>
      <c r="AC600" s="147">
        <v>197985.57878399995</v>
      </c>
    </row>
    <row r="601" spans="23:29">
      <c r="W601" s="111">
        <v>581</v>
      </c>
      <c r="X601" s="112">
        <v>7300</v>
      </c>
      <c r="Y601" s="113">
        <v>107028</v>
      </c>
      <c r="Z601" s="113">
        <v>114328</v>
      </c>
      <c r="AA601" s="112">
        <v>11433</v>
      </c>
      <c r="AB601" s="112">
        <v>4230</v>
      </c>
      <c r="AC601" s="147">
        <v>198479.94350099997</v>
      </c>
    </row>
    <row r="602" spans="23:29">
      <c r="W602" s="111">
        <v>582</v>
      </c>
      <c r="X602" s="112">
        <v>7300</v>
      </c>
      <c r="Y602" s="113">
        <v>107309</v>
      </c>
      <c r="Z602" s="113">
        <v>114609</v>
      </c>
      <c r="AA602" s="112">
        <v>11461</v>
      </c>
      <c r="AB602" s="112">
        <v>4240</v>
      </c>
      <c r="AC602" s="147">
        <v>198959.32746899998</v>
      </c>
    </row>
    <row r="603" spans="23:29">
      <c r="W603" s="111">
        <v>583</v>
      </c>
      <c r="X603" s="112">
        <v>7300</v>
      </c>
      <c r="Y603" s="113">
        <v>107589</v>
      </c>
      <c r="Z603" s="113">
        <v>114889</v>
      </c>
      <c r="AA603" s="112">
        <v>11489</v>
      </c>
      <c r="AB603" s="112">
        <v>4250</v>
      </c>
      <c r="AC603" s="147">
        <v>199423.73068799998</v>
      </c>
    </row>
    <row r="604" spans="23:29">
      <c r="W604" s="111">
        <v>584</v>
      </c>
      <c r="X604" s="112">
        <v>7300</v>
      </c>
      <c r="Y604" s="113">
        <v>107870</v>
      </c>
      <c r="Z604" s="113">
        <v>115170</v>
      </c>
      <c r="AA604" s="112">
        <v>11517</v>
      </c>
      <c r="AB604" s="112">
        <v>4260</v>
      </c>
      <c r="AC604" s="147">
        <v>199903.11465599996</v>
      </c>
    </row>
    <row r="605" spans="23:29">
      <c r="W605" s="111">
        <v>585</v>
      </c>
      <c r="X605" s="112">
        <v>7300</v>
      </c>
      <c r="Y605" s="113">
        <v>108151</v>
      </c>
      <c r="Z605" s="113">
        <v>115451</v>
      </c>
      <c r="AA605" s="112">
        <v>11545</v>
      </c>
      <c r="AB605" s="112">
        <v>4270</v>
      </c>
      <c r="AC605" s="147">
        <v>200382.49862399997</v>
      </c>
    </row>
    <row r="606" spans="23:29">
      <c r="W606" s="111">
        <v>586</v>
      </c>
      <c r="X606" s="112">
        <v>7300</v>
      </c>
      <c r="Y606" s="113">
        <v>108431</v>
      </c>
      <c r="Z606" s="113">
        <v>115731</v>
      </c>
      <c r="AA606" s="112">
        <v>11573</v>
      </c>
      <c r="AB606" s="112">
        <v>4280</v>
      </c>
      <c r="AC606" s="147">
        <v>200861.88259199998</v>
      </c>
    </row>
    <row r="607" spans="23:29">
      <c r="W607" s="111">
        <v>587</v>
      </c>
      <c r="X607" s="112">
        <v>7300</v>
      </c>
      <c r="Y607" s="113">
        <v>108712</v>
      </c>
      <c r="Z607" s="113">
        <v>116012</v>
      </c>
      <c r="AA607" s="112">
        <v>11601</v>
      </c>
      <c r="AB607" s="112">
        <v>4290</v>
      </c>
      <c r="AC607" s="147">
        <v>201341.26655999999</v>
      </c>
    </row>
    <row r="608" spans="23:29">
      <c r="W608" s="111">
        <v>588</v>
      </c>
      <c r="X608" s="112">
        <v>7300</v>
      </c>
      <c r="Y608" s="113">
        <v>108992</v>
      </c>
      <c r="Z608" s="113">
        <v>116292</v>
      </c>
      <c r="AA608" s="112">
        <v>11629</v>
      </c>
      <c r="AB608" s="112">
        <v>4300</v>
      </c>
      <c r="AC608" s="147">
        <v>201820.650528</v>
      </c>
    </row>
    <row r="609" spans="23:29">
      <c r="W609" s="111">
        <v>589</v>
      </c>
      <c r="X609" s="112">
        <v>7300</v>
      </c>
      <c r="Y609" s="113">
        <v>109273</v>
      </c>
      <c r="Z609" s="113">
        <v>116573</v>
      </c>
      <c r="AA609" s="112">
        <v>11657</v>
      </c>
      <c r="AB609" s="112">
        <v>4310</v>
      </c>
      <c r="AC609" s="147">
        <v>202300.03449599998</v>
      </c>
    </row>
    <row r="610" spans="23:29">
      <c r="W610" s="111">
        <v>590</v>
      </c>
      <c r="X610" s="112">
        <v>7300</v>
      </c>
      <c r="Y610" s="113">
        <v>109554</v>
      </c>
      <c r="Z610" s="113">
        <v>116854</v>
      </c>
      <c r="AA610" s="112">
        <v>11685</v>
      </c>
      <c r="AB610" s="112">
        <v>4320</v>
      </c>
      <c r="AC610" s="147">
        <v>202764.43771500001</v>
      </c>
    </row>
    <row r="611" spans="23:29">
      <c r="W611" s="111">
        <v>591</v>
      </c>
      <c r="X611" s="112">
        <v>7300</v>
      </c>
      <c r="Y611" s="113">
        <v>109834</v>
      </c>
      <c r="Z611" s="113">
        <v>117134</v>
      </c>
      <c r="AA611" s="112">
        <v>11713</v>
      </c>
      <c r="AB611" s="112">
        <v>4330</v>
      </c>
      <c r="AC611" s="147">
        <v>203243.82168300002</v>
      </c>
    </row>
    <row r="612" spans="23:29">
      <c r="W612" s="111">
        <v>592</v>
      </c>
      <c r="X612" s="112">
        <v>7300</v>
      </c>
      <c r="Y612" s="113">
        <v>110115</v>
      </c>
      <c r="Z612" s="113">
        <v>117415</v>
      </c>
      <c r="AA612" s="112">
        <v>11742</v>
      </c>
      <c r="AB612" s="112">
        <v>4340</v>
      </c>
      <c r="AC612" s="147">
        <v>203723.20565099997</v>
      </c>
    </row>
    <row r="613" spans="23:29">
      <c r="W613" s="111">
        <v>593</v>
      </c>
      <c r="X613" s="112">
        <v>7300</v>
      </c>
      <c r="Y613" s="113">
        <v>110395</v>
      </c>
      <c r="Z613" s="113">
        <v>117695</v>
      </c>
      <c r="AA613" s="112">
        <v>11770</v>
      </c>
      <c r="AB613" s="112">
        <v>4350</v>
      </c>
      <c r="AC613" s="147">
        <v>204202.58961899998</v>
      </c>
    </row>
    <row r="614" spans="23:29">
      <c r="W614" s="111">
        <v>594</v>
      </c>
      <c r="X614" s="112">
        <v>7300</v>
      </c>
      <c r="Y614" s="113">
        <v>110676</v>
      </c>
      <c r="Z614" s="113">
        <v>117976</v>
      </c>
      <c r="AA614" s="112">
        <v>11798</v>
      </c>
      <c r="AB614" s="112">
        <v>4360</v>
      </c>
      <c r="AC614" s="147">
        <v>204681.97358699999</v>
      </c>
    </row>
    <row r="615" spans="23:29">
      <c r="W615" s="111">
        <v>595</v>
      </c>
      <c r="X615" s="112">
        <v>7300</v>
      </c>
      <c r="Y615" s="113">
        <v>110957</v>
      </c>
      <c r="Z615" s="113">
        <v>118257</v>
      </c>
      <c r="AA615" s="112">
        <v>11826</v>
      </c>
      <c r="AB615" s="112">
        <v>4370</v>
      </c>
      <c r="AC615" s="147">
        <v>205161.357555</v>
      </c>
    </row>
    <row r="616" spans="23:29">
      <c r="W616" s="111">
        <v>596</v>
      </c>
      <c r="X616" s="112">
        <v>7300</v>
      </c>
      <c r="Y616" s="113">
        <v>111237</v>
      </c>
      <c r="Z616" s="113">
        <v>118537</v>
      </c>
      <c r="AA616" s="112">
        <v>11854</v>
      </c>
      <c r="AB616" s="112">
        <v>4380</v>
      </c>
      <c r="AC616" s="147">
        <v>205640.741523</v>
      </c>
    </row>
    <row r="617" spans="23:29">
      <c r="W617" s="111">
        <v>597</v>
      </c>
      <c r="X617" s="112">
        <v>7300</v>
      </c>
      <c r="Y617" s="113">
        <v>111518</v>
      </c>
      <c r="Z617" s="113">
        <v>118818</v>
      </c>
      <c r="AA617" s="112">
        <v>11882</v>
      </c>
      <c r="AB617" s="112">
        <v>4390</v>
      </c>
      <c r="AC617" s="147">
        <v>206120.12549099996</v>
      </c>
    </row>
    <row r="618" spans="23:29">
      <c r="W618" s="111">
        <v>598</v>
      </c>
      <c r="X618" s="112">
        <v>7300</v>
      </c>
      <c r="Y618" s="113">
        <v>111798</v>
      </c>
      <c r="Z618" s="113">
        <v>119098</v>
      </c>
      <c r="AA618" s="112">
        <v>11910</v>
      </c>
      <c r="AB618" s="112">
        <v>4400</v>
      </c>
      <c r="AC618" s="147">
        <v>206584.52871000001</v>
      </c>
    </row>
    <row r="619" spans="23:29">
      <c r="W619" s="111">
        <v>599</v>
      </c>
      <c r="X619" s="112">
        <v>7300</v>
      </c>
      <c r="Y619" s="113">
        <v>112079</v>
      </c>
      <c r="Z619" s="113">
        <v>119379</v>
      </c>
      <c r="AA619" s="112">
        <v>11938</v>
      </c>
      <c r="AB619" s="112">
        <v>4410</v>
      </c>
      <c r="AC619" s="147">
        <v>207063.91267800002</v>
      </c>
    </row>
    <row r="620" spans="23:29">
      <c r="W620" s="111">
        <v>600</v>
      </c>
      <c r="X620" s="112">
        <v>7300</v>
      </c>
      <c r="Y620" s="113">
        <v>112360</v>
      </c>
      <c r="Z620" s="113">
        <v>119660</v>
      </c>
      <c r="AA620" s="112">
        <v>11966</v>
      </c>
      <c r="AB620" s="112">
        <v>4420</v>
      </c>
      <c r="AC620" s="147">
        <v>207543.29664599997</v>
      </c>
    </row>
    <row r="621" spans="23:29">
      <c r="W621" s="111">
        <v>601</v>
      </c>
      <c r="X621" s="112">
        <v>7300</v>
      </c>
      <c r="Y621" s="113">
        <v>112640</v>
      </c>
      <c r="Z621" s="113">
        <v>119940</v>
      </c>
      <c r="AA621" s="112">
        <v>11994</v>
      </c>
      <c r="AB621" s="112">
        <v>4430</v>
      </c>
      <c r="AC621" s="147">
        <v>208022.68061399998</v>
      </c>
    </row>
    <row r="622" spans="23:29">
      <c r="W622" s="111">
        <v>602</v>
      </c>
      <c r="X622" s="112">
        <v>7300</v>
      </c>
      <c r="Y622" s="113">
        <v>112921</v>
      </c>
      <c r="Z622" s="113">
        <v>120221</v>
      </c>
      <c r="AA622" s="112">
        <v>12022</v>
      </c>
      <c r="AB622" s="112">
        <v>4440</v>
      </c>
      <c r="AC622" s="147">
        <v>208502.06458199999</v>
      </c>
    </row>
    <row r="623" spans="23:29">
      <c r="W623" s="111">
        <v>603</v>
      </c>
      <c r="X623" s="112">
        <v>7300</v>
      </c>
      <c r="Y623" s="113">
        <v>113201</v>
      </c>
      <c r="Z623" s="113">
        <v>120501</v>
      </c>
      <c r="AA623" s="112">
        <v>12050</v>
      </c>
      <c r="AB623" s="112">
        <v>4450</v>
      </c>
      <c r="AC623" s="147">
        <v>208981.44855</v>
      </c>
    </row>
    <row r="624" spans="23:29">
      <c r="W624" s="111">
        <v>604</v>
      </c>
      <c r="X624" s="112">
        <v>7300</v>
      </c>
      <c r="Y624" s="113">
        <v>113482</v>
      </c>
      <c r="Z624" s="113">
        <v>120782</v>
      </c>
      <c r="AA624" s="112">
        <v>12078</v>
      </c>
      <c r="AB624" s="112">
        <v>4460</v>
      </c>
      <c r="AC624" s="147">
        <v>209460.83251800001</v>
      </c>
    </row>
    <row r="625" spans="23:29">
      <c r="W625" s="111">
        <v>605</v>
      </c>
      <c r="X625" s="112">
        <v>7300</v>
      </c>
      <c r="Y625" s="113">
        <v>113763</v>
      </c>
      <c r="Z625" s="113">
        <v>121063</v>
      </c>
      <c r="AA625" s="112">
        <v>12106</v>
      </c>
      <c r="AB625" s="112">
        <v>4470</v>
      </c>
      <c r="AC625" s="147">
        <v>209925.23573699998</v>
      </c>
    </row>
    <row r="626" spans="23:29">
      <c r="W626" s="111">
        <v>606</v>
      </c>
      <c r="X626" s="112">
        <v>7300</v>
      </c>
      <c r="Y626" s="113">
        <v>114043</v>
      </c>
      <c r="Z626" s="113">
        <v>121343</v>
      </c>
      <c r="AA626" s="112">
        <v>12134</v>
      </c>
      <c r="AB626" s="112">
        <v>4480</v>
      </c>
      <c r="AC626" s="147">
        <v>210404.61970499999</v>
      </c>
    </row>
    <row r="627" spans="23:29">
      <c r="W627" s="111">
        <v>607</v>
      </c>
      <c r="X627" s="112">
        <v>7300</v>
      </c>
      <c r="Y627" s="113">
        <v>114324</v>
      </c>
      <c r="Z627" s="113">
        <v>121624</v>
      </c>
      <c r="AA627" s="112">
        <v>12162</v>
      </c>
      <c r="AB627" s="112">
        <v>4500</v>
      </c>
      <c r="AC627" s="147">
        <v>210898.98442200001</v>
      </c>
    </row>
    <row r="628" spans="23:29">
      <c r="W628" s="111">
        <v>608</v>
      </c>
      <c r="X628" s="112">
        <v>7300</v>
      </c>
      <c r="Y628" s="113">
        <v>114604</v>
      </c>
      <c r="Z628" s="113">
        <v>121904</v>
      </c>
      <c r="AA628" s="112">
        <v>12190</v>
      </c>
      <c r="AB628" s="112">
        <v>4510</v>
      </c>
      <c r="AC628" s="147">
        <v>211378.36839000002</v>
      </c>
    </row>
    <row r="629" spans="23:29">
      <c r="W629" s="111">
        <v>609</v>
      </c>
      <c r="X629" s="112">
        <v>7300</v>
      </c>
      <c r="Y629" s="113">
        <v>114885</v>
      </c>
      <c r="Z629" s="113">
        <v>122185</v>
      </c>
      <c r="AA629" s="112">
        <v>12219</v>
      </c>
      <c r="AB629" s="112">
        <v>4520</v>
      </c>
      <c r="AC629" s="147">
        <v>211857.752358</v>
      </c>
    </row>
    <row r="630" spans="23:29">
      <c r="W630" s="111">
        <v>610</v>
      </c>
      <c r="X630" s="112">
        <v>7300</v>
      </c>
      <c r="Y630" s="113">
        <v>115166</v>
      </c>
      <c r="Z630" s="113">
        <v>122466</v>
      </c>
      <c r="AA630" s="112">
        <v>12247</v>
      </c>
      <c r="AB630" s="112">
        <v>4530</v>
      </c>
      <c r="AC630" s="147">
        <v>212337.13632600001</v>
      </c>
    </row>
    <row r="631" spans="23:29">
      <c r="W631" s="111">
        <v>611</v>
      </c>
      <c r="X631" s="112">
        <v>7300</v>
      </c>
      <c r="Y631" s="113">
        <v>115446</v>
      </c>
      <c r="Z631" s="113">
        <v>122746</v>
      </c>
      <c r="AA631" s="112">
        <v>12275</v>
      </c>
      <c r="AB631" s="112">
        <v>4540</v>
      </c>
      <c r="AC631" s="147">
        <v>212816.52029400002</v>
      </c>
    </row>
    <row r="632" spans="23:29">
      <c r="W632" s="111">
        <v>612</v>
      </c>
      <c r="X632" s="112">
        <v>7300</v>
      </c>
      <c r="Y632" s="113">
        <v>115727</v>
      </c>
      <c r="Z632" s="113">
        <v>123027</v>
      </c>
      <c r="AA632" s="112">
        <v>12303</v>
      </c>
      <c r="AB632" s="112">
        <v>4550</v>
      </c>
      <c r="AC632" s="147">
        <v>213295.90426200003</v>
      </c>
    </row>
    <row r="633" spans="23:29">
      <c r="W633" s="111">
        <v>613</v>
      </c>
      <c r="X633" s="112">
        <v>7300</v>
      </c>
      <c r="Y633" s="113">
        <v>116007</v>
      </c>
      <c r="Z633" s="113">
        <v>123307</v>
      </c>
      <c r="AA633" s="112">
        <v>12331</v>
      </c>
      <c r="AB633" s="112">
        <v>4560</v>
      </c>
      <c r="AC633" s="147">
        <v>213760.307481</v>
      </c>
    </row>
    <row r="634" spans="23:29">
      <c r="W634" s="111">
        <v>614</v>
      </c>
      <c r="X634" s="112">
        <v>7300</v>
      </c>
      <c r="Y634" s="113">
        <v>116288</v>
      </c>
      <c r="Z634" s="113">
        <v>123588</v>
      </c>
      <c r="AA634" s="112">
        <v>12359</v>
      </c>
      <c r="AB634" s="112">
        <v>4570</v>
      </c>
      <c r="AC634" s="147">
        <v>214239.69144900001</v>
      </c>
    </row>
    <row r="635" spans="23:29">
      <c r="W635" s="111">
        <v>615</v>
      </c>
      <c r="X635" s="112">
        <v>7300</v>
      </c>
      <c r="Y635" s="113">
        <v>116569</v>
      </c>
      <c r="Z635" s="113">
        <v>123869</v>
      </c>
      <c r="AA635" s="112">
        <v>12387</v>
      </c>
      <c r="AB635" s="112">
        <v>4580</v>
      </c>
      <c r="AC635" s="147">
        <v>214719.07541700001</v>
      </c>
    </row>
    <row r="636" spans="23:29">
      <c r="W636" s="111">
        <v>616</v>
      </c>
      <c r="X636" s="112">
        <v>7300</v>
      </c>
      <c r="Y636" s="113">
        <v>116849</v>
      </c>
      <c r="Z636" s="113">
        <v>124149</v>
      </c>
      <c r="AA636" s="112">
        <v>12415</v>
      </c>
      <c r="AB636" s="112">
        <v>4590</v>
      </c>
      <c r="AC636" s="147">
        <v>215198.45938500002</v>
      </c>
    </row>
    <row r="637" spans="23:29">
      <c r="W637" s="111">
        <v>617</v>
      </c>
      <c r="X637" s="112">
        <v>7300</v>
      </c>
      <c r="Y637" s="113">
        <v>117130</v>
      </c>
      <c r="Z637" s="113">
        <v>124430</v>
      </c>
      <c r="AA637" s="112">
        <v>12443</v>
      </c>
      <c r="AB637" s="112">
        <v>4600</v>
      </c>
      <c r="AC637" s="147">
        <v>215677.843353</v>
      </c>
    </row>
    <row r="638" spans="23:29">
      <c r="W638" s="111">
        <v>618</v>
      </c>
      <c r="X638" s="112">
        <v>7300</v>
      </c>
      <c r="Y638" s="113">
        <v>117410</v>
      </c>
      <c r="Z638" s="113">
        <v>124710</v>
      </c>
      <c r="AA638" s="112">
        <v>12471</v>
      </c>
      <c r="AB638" s="112">
        <v>4610</v>
      </c>
      <c r="AC638" s="147">
        <v>216157.22732100001</v>
      </c>
    </row>
    <row r="639" spans="23:29">
      <c r="W639" s="111">
        <v>619</v>
      </c>
      <c r="X639" s="112">
        <v>7300</v>
      </c>
      <c r="Y639" s="113">
        <v>117691</v>
      </c>
      <c r="Z639" s="113">
        <v>124991</v>
      </c>
      <c r="AA639" s="112">
        <v>12499</v>
      </c>
      <c r="AB639" s="112">
        <v>4620</v>
      </c>
      <c r="AC639" s="147">
        <v>216636.61128899999</v>
      </c>
    </row>
    <row r="640" spans="23:29">
      <c r="W640" s="111">
        <v>620</v>
      </c>
      <c r="X640" s="112">
        <v>7300</v>
      </c>
      <c r="Y640" s="113">
        <v>117972</v>
      </c>
      <c r="Z640" s="113">
        <v>125272</v>
      </c>
      <c r="AA640" s="112">
        <v>12527</v>
      </c>
      <c r="AB640" s="112">
        <v>4630</v>
      </c>
      <c r="AC640" s="147">
        <v>217101.01450799999</v>
      </c>
    </row>
    <row r="641" spans="23:29">
      <c r="W641" s="111">
        <v>621</v>
      </c>
      <c r="X641" s="112">
        <v>7300</v>
      </c>
      <c r="Y641" s="113">
        <v>118252</v>
      </c>
      <c r="Z641" s="113">
        <v>125552</v>
      </c>
      <c r="AA641" s="112">
        <v>12555</v>
      </c>
      <c r="AB641" s="112">
        <v>4640</v>
      </c>
      <c r="AC641" s="147">
        <v>217580.39847599997</v>
      </c>
    </row>
    <row r="642" spans="23:29">
      <c r="W642" s="111">
        <v>622</v>
      </c>
      <c r="X642" s="112">
        <v>7300</v>
      </c>
      <c r="Y642" s="113">
        <v>118533</v>
      </c>
      <c r="Z642" s="113">
        <v>125833</v>
      </c>
      <c r="AA642" s="112">
        <v>12583</v>
      </c>
      <c r="AB642" s="112">
        <v>4650</v>
      </c>
      <c r="AC642" s="147">
        <v>218059.78244399998</v>
      </c>
    </row>
    <row r="643" spans="23:29">
      <c r="W643" s="111">
        <v>623</v>
      </c>
      <c r="X643" s="112">
        <v>7300</v>
      </c>
      <c r="Y643" s="113">
        <v>118813</v>
      </c>
      <c r="Z643" s="113">
        <v>126113</v>
      </c>
      <c r="AA643" s="112">
        <v>12611</v>
      </c>
      <c r="AB643" s="112">
        <v>4660</v>
      </c>
      <c r="AC643" s="147">
        <v>218539.16641199999</v>
      </c>
    </row>
    <row r="644" spans="23:29">
      <c r="W644" s="111">
        <v>624</v>
      </c>
      <c r="X644" s="112">
        <v>7300</v>
      </c>
      <c r="Y644" s="113">
        <v>119094</v>
      </c>
      <c r="Z644" s="113">
        <v>126394</v>
      </c>
      <c r="AA644" s="112">
        <v>12639</v>
      </c>
      <c r="AB644" s="112">
        <v>4670</v>
      </c>
      <c r="AC644" s="147">
        <v>219018.55038</v>
      </c>
    </row>
    <row r="645" spans="23:29">
      <c r="W645" s="111">
        <v>625</v>
      </c>
      <c r="X645" s="112">
        <v>7300</v>
      </c>
      <c r="Y645" s="113">
        <v>119375</v>
      </c>
      <c r="Z645" s="113">
        <v>126675</v>
      </c>
      <c r="AA645" s="112">
        <v>12668</v>
      </c>
      <c r="AB645" s="112">
        <v>4680</v>
      </c>
      <c r="AC645" s="147">
        <v>219497.93434799995</v>
      </c>
    </row>
    <row r="646" spans="23:29">
      <c r="W646" s="111">
        <v>626</v>
      </c>
      <c r="X646" s="112">
        <v>7300</v>
      </c>
      <c r="Y646" s="113">
        <v>119655</v>
      </c>
      <c r="Z646" s="113">
        <v>126955</v>
      </c>
      <c r="AA646" s="112">
        <v>12696</v>
      </c>
      <c r="AB646" s="112">
        <v>4690</v>
      </c>
      <c r="AC646" s="147">
        <v>219977.31831599996</v>
      </c>
    </row>
    <row r="647" spans="23:29">
      <c r="W647" s="111">
        <v>627</v>
      </c>
      <c r="X647" s="112">
        <v>7300</v>
      </c>
      <c r="Y647" s="113">
        <v>119936</v>
      </c>
      <c r="Z647" s="113">
        <v>127236</v>
      </c>
      <c r="AA647" s="112">
        <v>12724</v>
      </c>
      <c r="AB647" s="112">
        <v>4700</v>
      </c>
      <c r="AC647" s="147">
        <v>220456.70228399997</v>
      </c>
    </row>
    <row r="648" spans="23:29">
      <c r="W648" s="111">
        <v>628</v>
      </c>
      <c r="X648" s="112">
        <v>7300</v>
      </c>
      <c r="Y648" s="113">
        <v>120216</v>
      </c>
      <c r="Z648" s="113">
        <v>127516</v>
      </c>
      <c r="AA648" s="112">
        <v>12752</v>
      </c>
      <c r="AB648" s="112">
        <v>4710</v>
      </c>
      <c r="AC648" s="147">
        <v>220921.10550299994</v>
      </c>
    </row>
    <row r="649" spans="23:29">
      <c r="W649" s="111">
        <v>629</v>
      </c>
      <c r="X649" s="112">
        <v>7300</v>
      </c>
      <c r="Y649" s="113">
        <v>120497</v>
      </c>
      <c r="Z649" s="113">
        <v>127797</v>
      </c>
      <c r="AA649" s="112">
        <v>12780</v>
      </c>
      <c r="AB649" s="112">
        <v>4720</v>
      </c>
      <c r="AC649" s="147">
        <v>221400.48947099995</v>
      </c>
    </row>
    <row r="650" spans="23:29">
      <c r="W650" s="111">
        <v>630</v>
      </c>
      <c r="X650" s="112">
        <v>7300</v>
      </c>
      <c r="Y650" s="113">
        <v>120778</v>
      </c>
      <c r="Z650" s="113">
        <v>128078</v>
      </c>
      <c r="AA650" s="112">
        <v>12808</v>
      </c>
      <c r="AB650" s="112">
        <v>4730</v>
      </c>
      <c r="AC650" s="147">
        <v>221879.87343899996</v>
      </c>
    </row>
    <row r="651" spans="23:29">
      <c r="W651" s="111">
        <v>631</v>
      </c>
      <c r="X651" s="112">
        <v>7300</v>
      </c>
      <c r="Y651" s="113">
        <v>121058</v>
      </c>
      <c r="Z651" s="113">
        <v>128358</v>
      </c>
      <c r="AA651" s="112">
        <v>12836</v>
      </c>
      <c r="AB651" s="112">
        <v>4740</v>
      </c>
      <c r="AC651" s="147">
        <v>222359.25740699997</v>
      </c>
    </row>
    <row r="652" spans="23:29">
      <c r="W652" s="111">
        <v>632</v>
      </c>
      <c r="X652" s="112">
        <v>7300</v>
      </c>
      <c r="Y652" s="113">
        <v>121339</v>
      </c>
      <c r="Z652" s="113">
        <v>128639</v>
      </c>
      <c r="AA652" s="112">
        <v>12864</v>
      </c>
      <c r="AB652" s="112">
        <v>4750</v>
      </c>
      <c r="AC652" s="147">
        <v>222838.64137499998</v>
      </c>
    </row>
    <row r="653" spans="23:29">
      <c r="W653" s="111">
        <v>633</v>
      </c>
      <c r="X653" s="112">
        <v>7300</v>
      </c>
      <c r="Y653" s="113">
        <v>121619</v>
      </c>
      <c r="Z653" s="113">
        <v>128919</v>
      </c>
      <c r="AA653" s="112">
        <v>12892</v>
      </c>
      <c r="AB653" s="112">
        <v>4770</v>
      </c>
      <c r="AC653" s="147">
        <v>223333.006092</v>
      </c>
    </row>
    <row r="654" spans="23:29">
      <c r="W654" s="111">
        <v>634</v>
      </c>
      <c r="X654" s="112">
        <v>7300</v>
      </c>
      <c r="Y654" s="113">
        <v>121900</v>
      </c>
      <c r="Z654" s="113">
        <v>129200</v>
      </c>
      <c r="AA654" s="112">
        <v>12920</v>
      </c>
      <c r="AB654" s="112">
        <v>4780</v>
      </c>
      <c r="AC654" s="147">
        <v>223812.39006000001</v>
      </c>
    </row>
    <row r="655" spans="23:29">
      <c r="W655" s="111">
        <v>635</v>
      </c>
      <c r="X655" s="112">
        <v>7300</v>
      </c>
      <c r="Y655" s="113">
        <v>122181</v>
      </c>
      <c r="Z655" s="113">
        <v>129481</v>
      </c>
      <c r="AA655" s="112">
        <v>12948</v>
      </c>
      <c r="AB655" s="112">
        <v>4790</v>
      </c>
      <c r="AC655" s="147">
        <v>224276.79327899998</v>
      </c>
    </row>
    <row r="656" spans="23:29">
      <c r="W656" s="111">
        <v>636</v>
      </c>
      <c r="X656" s="112">
        <v>7300</v>
      </c>
      <c r="Y656" s="113">
        <v>122461</v>
      </c>
      <c r="Z656" s="113">
        <v>129761</v>
      </c>
      <c r="AA656" s="112">
        <v>12976</v>
      </c>
      <c r="AB656" s="112">
        <v>4800</v>
      </c>
      <c r="AC656" s="147">
        <v>224756.17724699999</v>
      </c>
    </row>
    <row r="657" spans="23:29">
      <c r="W657" s="111">
        <v>637</v>
      </c>
      <c r="X657" s="112">
        <v>7300</v>
      </c>
      <c r="Y657" s="113">
        <v>122742</v>
      </c>
      <c r="Z657" s="113">
        <v>130042</v>
      </c>
      <c r="AA657" s="112">
        <v>13004</v>
      </c>
      <c r="AB657" s="112">
        <v>4810</v>
      </c>
      <c r="AC657" s="147">
        <v>225235.56121499999</v>
      </c>
    </row>
    <row r="658" spans="23:29">
      <c r="W658" s="111">
        <v>638</v>
      </c>
      <c r="X658" s="112">
        <v>7300</v>
      </c>
      <c r="Y658" s="113">
        <v>123022</v>
      </c>
      <c r="Z658" s="113">
        <v>130322</v>
      </c>
      <c r="AA658" s="112">
        <v>13032</v>
      </c>
      <c r="AB658" s="112">
        <v>4820</v>
      </c>
      <c r="AC658" s="147">
        <v>225714.94518299997</v>
      </c>
    </row>
    <row r="659" spans="23:29">
      <c r="W659" s="111">
        <v>639</v>
      </c>
      <c r="X659" s="112">
        <v>7300</v>
      </c>
      <c r="Y659" s="113">
        <v>123303</v>
      </c>
      <c r="Z659" s="113">
        <v>130603</v>
      </c>
      <c r="AA659" s="112">
        <v>13060</v>
      </c>
      <c r="AB659" s="112">
        <v>4830</v>
      </c>
      <c r="AC659" s="147">
        <v>226194.32915099995</v>
      </c>
    </row>
    <row r="660" spans="23:29">
      <c r="W660" s="111">
        <v>640</v>
      </c>
      <c r="X660" s="112">
        <v>7300</v>
      </c>
      <c r="Y660" s="113">
        <v>123584</v>
      </c>
      <c r="Z660" s="113">
        <v>130884</v>
      </c>
      <c r="AA660" s="112">
        <v>13088</v>
      </c>
      <c r="AB660" s="112">
        <v>4840</v>
      </c>
      <c r="AC660" s="147">
        <v>226673.71311899996</v>
      </c>
    </row>
    <row r="661" spans="23:29">
      <c r="W661" s="111">
        <v>641</v>
      </c>
      <c r="X661" s="112">
        <v>7300</v>
      </c>
      <c r="Y661" s="113">
        <v>123864</v>
      </c>
      <c r="Z661" s="113">
        <v>131164</v>
      </c>
      <c r="AA661" s="112">
        <v>13116</v>
      </c>
      <c r="AB661" s="112">
        <v>4850</v>
      </c>
      <c r="AC661" s="147">
        <v>227153.09708699997</v>
      </c>
    </row>
    <row r="662" spans="23:29">
      <c r="W662" s="111">
        <v>642</v>
      </c>
      <c r="X662" s="112">
        <v>7300</v>
      </c>
      <c r="Y662" s="113">
        <v>124145</v>
      </c>
      <c r="Z662" s="113">
        <v>131445</v>
      </c>
      <c r="AA662" s="112">
        <v>13145</v>
      </c>
      <c r="AB662" s="112">
        <v>4860</v>
      </c>
      <c r="AC662" s="147">
        <v>227632.48105499998</v>
      </c>
    </row>
    <row r="663" spans="23:29">
      <c r="W663" s="111">
        <v>643</v>
      </c>
      <c r="X663" s="112">
        <v>7300</v>
      </c>
      <c r="Y663" s="113">
        <v>124425</v>
      </c>
      <c r="Z663" s="113">
        <v>131725</v>
      </c>
      <c r="AA663" s="112">
        <v>13173</v>
      </c>
      <c r="AB663" s="112">
        <v>4870</v>
      </c>
      <c r="AC663" s="147">
        <v>228096.88427399998</v>
      </c>
    </row>
    <row r="664" spans="23:29">
      <c r="W664" s="111">
        <v>644</v>
      </c>
      <c r="X664" s="112">
        <v>7300</v>
      </c>
      <c r="Y664" s="113">
        <v>124706</v>
      </c>
      <c r="Z664" s="113">
        <v>132006</v>
      </c>
      <c r="AA664" s="112">
        <v>13201</v>
      </c>
      <c r="AB664" s="112">
        <v>4880</v>
      </c>
      <c r="AC664" s="147">
        <v>228576.26824199999</v>
      </c>
    </row>
    <row r="665" spans="23:29">
      <c r="W665" s="111">
        <v>645</v>
      </c>
      <c r="X665" s="112">
        <v>7300</v>
      </c>
      <c r="Y665" s="113">
        <v>124987</v>
      </c>
      <c r="Z665" s="113">
        <v>132287</v>
      </c>
      <c r="AA665" s="112">
        <v>13229</v>
      </c>
      <c r="AB665" s="112">
        <v>4890</v>
      </c>
      <c r="AC665" s="147">
        <v>229055.65221</v>
      </c>
    </row>
    <row r="666" spans="23:29">
      <c r="W666" s="111">
        <v>646</v>
      </c>
      <c r="X666" s="112">
        <v>7300</v>
      </c>
      <c r="Y666" s="113">
        <v>125267</v>
      </c>
      <c r="Z666" s="113">
        <v>132567</v>
      </c>
      <c r="AA666" s="112">
        <v>13257</v>
      </c>
      <c r="AB666" s="112">
        <v>4900</v>
      </c>
      <c r="AC666" s="147">
        <v>229535.03617799995</v>
      </c>
    </row>
    <row r="667" spans="23:29">
      <c r="W667" s="111">
        <v>647</v>
      </c>
      <c r="X667" s="112">
        <v>7300</v>
      </c>
      <c r="Y667" s="113">
        <v>125548</v>
      </c>
      <c r="Z667" s="113">
        <v>132848</v>
      </c>
      <c r="AA667" s="112">
        <v>13285</v>
      </c>
      <c r="AB667" s="112">
        <v>4910</v>
      </c>
      <c r="AC667" s="147">
        <v>230014.42014599996</v>
      </c>
    </row>
    <row r="668" spans="23:29">
      <c r="W668" s="111">
        <v>648</v>
      </c>
      <c r="X668" s="112">
        <v>7300</v>
      </c>
      <c r="Y668" s="113">
        <v>125828</v>
      </c>
      <c r="Z668" s="113">
        <v>133128</v>
      </c>
      <c r="AA668" s="112">
        <v>13313</v>
      </c>
      <c r="AB668" s="112">
        <v>4920</v>
      </c>
      <c r="AC668" s="147">
        <v>230493.80411399997</v>
      </c>
    </row>
    <row r="669" spans="23:29">
      <c r="W669" s="111">
        <v>649</v>
      </c>
      <c r="X669" s="112">
        <v>7300</v>
      </c>
      <c r="Y669" s="113">
        <v>126109</v>
      </c>
      <c r="Z669" s="113">
        <v>133409</v>
      </c>
      <c r="AA669" s="112">
        <v>13341</v>
      </c>
      <c r="AB669" s="112">
        <v>4930</v>
      </c>
      <c r="AC669" s="147">
        <v>230973.18808199998</v>
      </c>
    </row>
    <row r="670" spans="23:29">
      <c r="W670" s="111">
        <v>650</v>
      </c>
      <c r="X670" s="112">
        <v>7300</v>
      </c>
      <c r="Y670" s="113">
        <v>126390</v>
      </c>
      <c r="Z670" s="113">
        <v>133690</v>
      </c>
      <c r="AA670" s="112">
        <v>13369</v>
      </c>
      <c r="AB670" s="112">
        <v>4940</v>
      </c>
      <c r="AC670" s="147">
        <v>231437.59130099998</v>
      </c>
    </row>
    <row r="671" spans="23:29">
      <c r="W671" s="111">
        <v>651</v>
      </c>
      <c r="X671" s="112">
        <v>7300</v>
      </c>
      <c r="Y671" s="113">
        <v>126670</v>
      </c>
      <c r="Z671" s="113">
        <v>133970</v>
      </c>
      <c r="AA671" s="112">
        <v>13397</v>
      </c>
      <c r="AB671" s="112">
        <v>4950</v>
      </c>
      <c r="AC671" s="147">
        <v>231916.97526899999</v>
      </c>
    </row>
    <row r="672" spans="23:29">
      <c r="W672" s="111">
        <v>652</v>
      </c>
      <c r="X672" s="112">
        <v>7300</v>
      </c>
      <c r="Y672" s="113">
        <v>126951</v>
      </c>
      <c r="Z672" s="113">
        <v>134251</v>
      </c>
      <c r="AA672" s="112">
        <v>13425</v>
      </c>
      <c r="AB672" s="112">
        <v>4960</v>
      </c>
      <c r="AC672" s="147">
        <v>232396.359237</v>
      </c>
    </row>
    <row r="673" spans="23:29">
      <c r="W673" s="111">
        <v>653</v>
      </c>
      <c r="X673" s="112">
        <v>7300</v>
      </c>
      <c r="Y673" s="113">
        <v>127231</v>
      </c>
      <c r="Z673" s="113">
        <v>134531</v>
      </c>
      <c r="AA673" s="112">
        <v>13453</v>
      </c>
      <c r="AB673" s="112">
        <v>4970</v>
      </c>
      <c r="AC673" s="147">
        <v>232875.74320500001</v>
      </c>
    </row>
    <row r="674" spans="23:29">
      <c r="W674" s="111">
        <v>654</v>
      </c>
      <c r="X674" s="112">
        <v>7300</v>
      </c>
      <c r="Y674" s="113">
        <v>127512</v>
      </c>
      <c r="Z674" s="113">
        <v>134812</v>
      </c>
      <c r="AA674" s="112">
        <v>13481</v>
      </c>
      <c r="AB674" s="112">
        <v>4980</v>
      </c>
      <c r="AC674" s="147">
        <v>233355.12717299999</v>
      </c>
    </row>
    <row r="675" spans="23:29">
      <c r="W675" s="111">
        <v>655</v>
      </c>
      <c r="X675" s="112">
        <v>7300</v>
      </c>
      <c r="Y675" s="113">
        <v>127793</v>
      </c>
      <c r="Z675" s="113">
        <v>135093</v>
      </c>
      <c r="AA675" s="112">
        <v>13509</v>
      </c>
      <c r="AB675" s="112">
        <v>4990</v>
      </c>
      <c r="AC675" s="147">
        <v>233834.511141</v>
      </c>
    </row>
    <row r="676" spans="23:29">
      <c r="W676" s="111">
        <v>656</v>
      </c>
      <c r="X676" s="112">
        <v>7300</v>
      </c>
      <c r="Y676" s="113">
        <v>128073</v>
      </c>
      <c r="Z676" s="113">
        <v>135373</v>
      </c>
      <c r="AA676" s="112">
        <v>13537</v>
      </c>
      <c r="AB676" s="112">
        <v>5000</v>
      </c>
      <c r="AC676" s="147">
        <v>234313.895109</v>
      </c>
    </row>
    <row r="677" spans="23:29">
      <c r="W677" s="111">
        <v>657</v>
      </c>
      <c r="X677" s="112">
        <v>7300</v>
      </c>
      <c r="Y677" s="113">
        <v>128354</v>
      </c>
      <c r="Z677" s="113">
        <v>135654</v>
      </c>
      <c r="AA677" s="112">
        <v>13565</v>
      </c>
      <c r="AB677" s="112">
        <v>5010</v>
      </c>
      <c r="AC677" s="147">
        <v>234778.29832799998</v>
      </c>
    </row>
    <row r="678" spans="23:29">
      <c r="W678" s="111">
        <v>658</v>
      </c>
      <c r="X678" s="112">
        <v>7300</v>
      </c>
      <c r="Y678" s="113">
        <v>128634</v>
      </c>
      <c r="Z678" s="113">
        <v>135934</v>
      </c>
      <c r="AA678" s="112">
        <v>13593</v>
      </c>
      <c r="AB678" s="112">
        <v>5020</v>
      </c>
      <c r="AC678" s="147">
        <v>235257.68229599998</v>
      </c>
    </row>
    <row r="679" spans="23:29">
      <c r="W679" s="111">
        <v>659</v>
      </c>
      <c r="X679" s="112">
        <v>7300</v>
      </c>
      <c r="Y679" s="113">
        <v>128915</v>
      </c>
      <c r="Z679" s="113">
        <v>136215</v>
      </c>
      <c r="AA679" s="112">
        <v>13622</v>
      </c>
      <c r="AB679" s="112">
        <v>5030</v>
      </c>
      <c r="AC679" s="147">
        <v>235737.06626399999</v>
      </c>
    </row>
    <row r="680" spans="23:29">
      <c r="W680" s="111">
        <v>660</v>
      </c>
      <c r="X680" s="112">
        <v>7300</v>
      </c>
      <c r="Y680" s="113">
        <v>129196</v>
      </c>
      <c r="Z680" s="113">
        <v>136496</v>
      </c>
      <c r="AA680" s="112">
        <v>13650</v>
      </c>
      <c r="AB680" s="112">
        <v>5050</v>
      </c>
      <c r="AC680" s="147">
        <v>236231.43098100001</v>
      </c>
    </row>
    <row r="681" spans="23:29">
      <c r="W681" s="111">
        <v>661</v>
      </c>
      <c r="X681" s="112">
        <v>7300</v>
      </c>
      <c r="Y681" s="113">
        <v>129476</v>
      </c>
      <c r="Z681" s="113">
        <v>136776</v>
      </c>
      <c r="AA681" s="112">
        <v>13678</v>
      </c>
      <c r="AB681" s="112">
        <v>5060</v>
      </c>
      <c r="AC681" s="147">
        <v>236710.81494899999</v>
      </c>
    </row>
    <row r="682" spans="23:29">
      <c r="W682" s="111">
        <v>662</v>
      </c>
      <c r="X682" s="112">
        <v>7300</v>
      </c>
      <c r="Y682" s="113">
        <v>129757</v>
      </c>
      <c r="Z682" s="113">
        <v>137057</v>
      </c>
      <c r="AA682" s="112">
        <v>13706</v>
      </c>
      <c r="AB682" s="112">
        <v>5070</v>
      </c>
      <c r="AC682" s="147">
        <v>237190.198917</v>
      </c>
    </row>
    <row r="683" spans="23:29">
      <c r="W683" s="111">
        <v>663</v>
      </c>
      <c r="X683" s="112">
        <v>7300</v>
      </c>
      <c r="Y683" s="113">
        <v>130037</v>
      </c>
      <c r="Z683" s="113">
        <v>137337</v>
      </c>
      <c r="AA683" s="112">
        <v>13734</v>
      </c>
      <c r="AB683" s="112">
        <v>5080</v>
      </c>
      <c r="AC683" s="147">
        <v>237669.58288500001</v>
      </c>
    </row>
    <row r="684" spans="23:29">
      <c r="W684" s="111">
        <v>664</v>
      </c>
      <c r="X684" s="112">
        <v>7300</v>
      </c>
      <c r="Y684" s="113">
        <v>130318</v>
      </c>
      <c r="Z684" s="113">
        <v>137618</v>
      </c>
      <c r="AA684" s="112">
        <v>13762</v>
      </c>
      <c r="AB684" s="112">
        <v>5090</v>
      </c>
      <c r="AC684" s="147">
        <v>238148.96685299999</v>
      </c>
    </row>
    <row r="685" spans="23:29">
      <c r="W685" s="111">
        <v>665</v>
      </c>
      <c r="X685" s="112">
        <v>7300</v>
      </c>
      <c r="Y685" s="113">
        <v>130599</v>
      </c>
      <c r="Z685" s="113">
        <v>137899</v>
      </c>
      <c r="AA685" s="112">
        <v>13790</v>
      </c>
      <c r="AB685" s="112">
        <v>5100</v>
      </c>
      <c r="AC685" s="147">
        <v>238613.37007199999</v>
      </c>
    </row>
    <row r="686" spans="23:29">
      <c r="W686" s="111">
        <v>666</v>
      </c>
      <c r="X686" s="112">
        <v>7300</v>
      </c>
      <c r="Y686" s="113">
        <v>130879</v>
      </c>
      <c r="Z686" s="113">
        <v>138179</v>
      </c>
      <c r="AA686" s="112">
        <v>13818</v>
      </c>
      <c r="AB686" s="112">
        <v>5110</v>
      </c>
      <c r="AC686" s="147">
        <v>239092.75404</v>
      </c>
    </row>
    <row r="687" spans="23:29">
      <c r="W687" s="111">
        <v>667</v>
      </c>
      <c r="X687" s="112">
        <v>7300</v>
      </c>
      <c r="Y687" s="113">
        <v>131160</v>
      </c>
      <c r="Z687" s="113">
        <v>138460</v>
      </c>
      <c r="AA687" s="112">
        <v>13846</v>
      </c>
      <c r="AB687" s="112">
        <v>5120</v>
      </c>
      <c r="AC687" s="147">
        <v>239572.13800799998</v>
      </c>
    </row>
    <row r="688" spans="23:29">
      <c r="W688" s="111">
        <v>668</v>
      </c>
      <c r="X688" s="112">
        <v>7300</v>
      </c>
      <c r="Y688" s="113">
        <v>131440</v>
      </c>
      <c r="Z688" s="113">
        <v>138740</v>
      </c>
      <c r="AA688" s="112">
        <v>13874</v>
      </c>
      <c r="AB688" s="112">
        <v>5130</v>
      </c>
      <c r="AC688" s="147">
        <v>240051.52197599999</v>
      </c>
    </row>
    <row r="689" spans="23:29">
      <c r="W689" s="111">
        <v>669</v>
      </c>
      <c r="X689" s="112">
        <v>7300</v>
      </c>
      <c r="Y689" s="113">
        <v>131721</v>
      </c>
      <c r="Z689" s="113">
        <v>139021</v>
      </c>
      <c r="AA689" s="112">
        <v>13902</v>
      </c>
      <c r="AB689" s="112">
        <v>5140</v>
      </c>
      <c r="AC689" s="147">
        <v>240530.905944</v>
      </c>
    </row>
    <row r="690" spans="23:29">
      <c r="W690" s="111">
        <v>670</v>
      </c>
      <c r="X690" s="112">
        <v>7300</v>
      </c>
      <c r="Y690" s="113">
        <v>132002</v>
      </c>
      <c r="Z690" s="113">
        <v>139302</v>
      </c>
      <c r="AA690" s="112">
        <v>13930</v>
      </c>
      <c r="AB690" s="112">
        <v>5150</v>
      </c>
      <c r="AC690" s="147">
        <v>241010.28991200001</v>
      </c>
    </row>
    <row r="691" spans="23:29">
      <c r="W691" s="111">
        <v>671</v>
      </c>
      <c r="X691" s="112">
        <v>7300</v>
      </c>
      <c r="Y691" s="113">
        <v>132282</v>
      </c>
      <c r="Z691" s="113">
        <v>139582</v>
      </c>
      <c r="AA691" s="112">
        <v>13958</v>
      </c>
      <c r="AB691" s="112">
        <v>5160</v>
      </c>
      <c r="AC691" s="147">
        <v>241489.67388000002</v>
      </c>
    </row>
    <row r="692" spans="23:29">
      <c r="W692" s="111">
        <v>672</v>
      </c>
      <c r="X692" s="112">
        <v>7300</v>
      </c>
      <c r="Y692" s="113">
        <v>132563</v>
      </c>
      <c r="Z692" s="113">
        <v>139863</v>
      </c>
      <c r="AA692" s="112">
        <v>13986</v>
      </c>
      <c r="AB692" s="112">
        <v>5170</v>
      </c>
      <c r="AC692" s="147">
        <v>241954.07709899999</v>
      </c>
    </row>
    <row r="693" spans="23:29">
      <c r="W693" s="111">
        <v>673</v>
      </c>
      <c r="X693" s="112">
        <v>7300</v>
      </c>
      <c r="Y693" s="113">
        <v>132843</v>
      </c>
      <c r="Z693" s="113">
        <v>140143</v>
      </c>
      <c r="AA693" s="112">
        <v>14014</v>
      </c>
      <c r="AB693" s="112">
        <v>5180</v>
      </c>
      <c r="AC693" s="147">
        <v>242433.461067</v>
      </c>
    </row>
    <row r="694" spans="23:29">
      <c r="W694" s="111">
        <v>674</v>
      </c>
      <c r="X694" s="112">
        <v>7300</v>
      </c>
      <c r="Y694" s="113">
        <v>133124</v>
      </c>
      <c r="Z694" s="113">
        <v>140424</v>
      </c>
      <c r="AA694" s="112">
        <v>14042</v>
      </c>
      <c r="AB694" s="112">
        <v>5190</v>
      </c>
      <c r="AC694" s="147">
        <v>242912.84503500001</v>
      </c>
    </row>
    <row r="695" spans="23:29">
      <c r="W695" s="111">
        <v>675</v>
      </c>
      <c r="X695" s="112">
        <v>7300</v>
      </c>
      <c r="Y695" s="113">
        <v>133405</v>
      </c>
      <c r="Z695" s="113">
        <v>140705</v>
      </c>
      <c r="AA695" s="112">
        <v>14071</v>
      </c>
      <c r="AB695" s="112">
        <v>5200</v>
      </c>
      <c r="AC695" s="147">
        <v>243392.22900299996</v>
      </c>
    </row>
    <row r="696" spans="23:29">
      <c r="W696" s="111">
        <v>676</v>
      </c>
      <c r="X696" s="112">
        <v>7300</v>
      </c>
      <c r="Y696" s="113">
        <v>133685</v>
      </c>
      <c r="Z696" s="113">
        <v>140985</v>
      </c>
      <c r="AA696" s="112">
        <v>14099</v>
      </c>
      <c r="AB696" s="112">
        <v>5210</v>
      </c>
      <c r="AC696" s="147">
        <v>243871.61297099997</v>
      </c>
    </row>
    <row r="697" spans="23:29">
      <c r="W697" s="111">
        <v>677</v>
      </c>
      <c r="X697" s="112">
        <v>7300</v>
      </c>
      <c r="Y697" s="113">
        <v>133966</v>
      </c>
      <c r="Z697" s="113">
        <v>141266</v>
      </c>
      <c r="AA697" s="112">
        <v>14127</v>
      </c>
      <c r="AB697" s="112">
        <v>5220</v>
      </c>
      <c r="AC697" s="147">
        <v>244350.99693899998</v>
      </c>
    </row>
    <row r="698" spans="23:29">
      <c r="W698" s="111">
        <v>678</v>
      </c>
      <c r="X698" s="112">
        <v>7300</v>
      </c>
      <c r="Y698" s="113">
        <v>134246</v>
      </c>
      <c r="Z698" s="113">
        <v>141546</v>
      </c>
      <c r="AA698" s="112">
        <v>14155</v>
      </c>
      <c r="AB698" s="112">
        <v>5230</v>
      </c>
      <c r="AC698" s="147">
        <v>244830.38090699998</v>
      </c>
    </row>
    <row r="699" spans="23:29">
      <c r="W699" s="111">
        <v>679</v>
      </c>
      <c r="X699" s="112">
        <v>7300</v>
      </c>
      <c r="Y699" s="113">
        <v>134527</v>
      </c>
      <c r="Z699" s="113">
        <v>141827</v>
      </c>
      <c r="AA699" s="112">
        <v>14183</v>
      </c>
      <c r="AB699" s="112">
        <v>5240</v>
      </c>
      <c r="AC699" s="147">
        <v>245309.76487499999</v>
      </c>
    </row>
    <row r="700" spans="23:29">
      <c r="W700" s="111">
        <v>680</v>
      </c>
      <c r="X700" s="112">
        <v>7300</v>
      </c>
      <c r="Y700" s="113">
        <v>134808</v>
      </c>
      <c r="Z700" s="113">
        <v>142108</v>
      </c>
      <c r="AA700" s="112">
        <v>14211</v>
      </c>
      <c r="AB700" s="112">
        <v>5250</v>
      </c>
      <c r="AC700" s="147">
        <v>245774.16809399999</v>
      </c>
    </row>
    <row r="701" spans="23:29">
      <c r="W701" s="111">
        <v>681</v>
      </c>
      <c r="X701" s="112">
        <v>7300</v>
      </c>
      <c r="Y701" s="113">
        <v>135088</v>
      </c>
      <c r="Z701" s="113">
        <v>142388</v>
      </c>
      <c r="AA701" s="112">
        <v>14239</v>
      </c>
      <c r="AB701" s="112">
        <v>5260</v>
      </c>
      <c r="AC701" s="147">
        <v>246253.552062</v>
      </c>
    </row>
    <row r="702" spans="23:29">
      <c r="W702" s="111">
        <v>682</v>
      </c>
      <c r="X702" s="112">
        <v>7300</v>
      </c>
      <c r="Y702" s="113">
        <v>135369</v>
      </c>
      <c r="Z702" s="113">
        <v>142669</v>
      </c>
      <c r="AA702" s="112">
        <v>14267</v>
      </c>
      <c r="AB702" s="112">
        <v>5270</v>
      </c>
      <c r="AC702" s="147">
        <v>246732.93603000001</v>
      </c>
    </row>
    <row r="703" spans="23:29">
      <c r="W703" s="111">
        <v>683</v>
      </c>
      <c r="X703" s="112">
        <v>7300</v>
      </c>
      <c r="Y703" s="113">
        <v>135649</v>
      </c>
      <c r="Z703" s="113">
        <v>142949</v>
      </c>
      <c r="AA703" s="112">
        <v>14295</v>
      </c>
      <c r="AB703" s="112">
        <v>5280</v>
      </c>
      <c r="AC703" s="147">
        <v>247212.31999799996</v>
      </c>
    </row>
    <row r="704" spans="23:29">
      <c r="W704" s="111">
        <v>684</v>
      </c>
      <c r="X704" s="112">
        <v>7300</v>
      </c>
      <c r="Y704" s="113">
        <v>135930</v>
      </c>
      <c r="Z704" s="113">
        <v>143230</v>
      </c>
      <c r="AA704" s="112">
        <v>14323</v>
      </c>
      <c r="AB704" s="112">
        <v>5290</v>
      </c>
      <c r="AC704" s="147">
        <v>247691.70396599994</v>
      </c>
    </row>
    <row r="705" spans="23:29">
      <c r="W705" s="111">
        <v>685</v>
      </c>
      <c r="X705" s="112">
        <v>7300</v>
      </c>
      <c r="Y705" s="113">
        <v>136211</v>
      </c>
      <c r="Z705" s="113">
        <v>143511</v>
      </c>
      <c r="AA705" s="112">
        <v>14351</v>
      </c>
      <c r="AB705" s="112">
        <v>5300</v>
      </c>
      <c r="AC705" s="147">
        <v>248171.08793399995</v>
      </c>
    </row>
    <row r="706" spans="23:29">
      <c r="W706" s="111">
        <v>686</v>
      </c>
      <c r="X706" s="112">
        <v>7300</v>
      </c>
      <c r="Y706" s="113">
        <v>136491</v>
      </c>
      <c r="Z706" s="113">
        <v>143791</v>
      </c>
      <c r="AA706" s="112">
        <v>14379</v>
      </c>
      <c r="AB706" s="112">
        <v>5320</v>
      </c>
      <c r="AC706" s="147">
        <v>248665.45265099997</v>
      </c>
    </row>
    <row r="707" spans="23:29">
      <c r="W707" s="111">
        <v>687</v>
      </c>
      <c r="X707" s="112">
        <v>7300</v>
      </c>
      <c r="Y707" s="113">
        <v>136772</v>
      </c>
      <c r="Z707" s="113">
        <v>144072</v>
      </c>
      <c r="AA707" s="112">
        <v>14407</v>
      </c>
      <c r="AB707" s="112">
        <v>5330</v>
      </c>
      <c r="AC707" s="147">
        <v>249129.85586999997</v>
      </c>
    </row>
    <row r="708" spans="23:29">
      <c r="W708" s="111">
        <v>688</v>
      </c>
      <c r="X708" s="112">
        <v>7300</v>
      </c>
      <c r="Y708" s="113">
        <v>137052</v>
      </c>
      <c r="Z708" s="113">
        <v>144352</v>
      </c>
      <c r="AA708" s="112">
        <v>14435</v>
      </c>
      <c r="AB708" s="112">
        <v>5340</v>
      </c>
      <c r="AC708" s="147">
        <v>249609.23983799995</v>
      </c>
    </row>
    <row r="709" spans="23:29">
      <c r="W709" s="111">
        <v>689</v>
      </c>
      <c r="X709" s="112">
        <v>7300</v>
      </c>
      <c r="Y709" s="113">
        <v>137333</v>
      </c>
      <c r="Z709" s="113">
        <v>144633</v>
      </c>
      <c r="AA709" s="112">
        <v>14463</v>
      </c>
      <c r="AB709" s="112">
        <v>5350</v>
      </c>
      <c r="AC709" s="147">
        <v>250088.62380599996</v>
      </c>
    </row>
    <row r="710" spans="23:29">
      <c r="W710" s="111">
        <v>690</v>
      </c>
      <c r="X710" s="112">
        <v>7300</v>
      </c>
      <c r="Y710" s="113">
        <v>137614</v>
      </c>
      <c r="Z710" s="113">
        <v>144914</v>
      </c>
      <c r="AA710" s="112">
        <v>14491</v>
      </c>
      <c r="AB710" s="112">
        <v>5360</v>
      </c>
      <c r="AC710" s="147">
        <v>250568.00777399997</v>
      </c>
    </row>
    <row r="711" spans="23:29">
      <c r="W711" s="111">
        <v>691</v>
      </c>
      <c r="X711" s="112">
        <v>7300</v>
      </c>
      <c r="Y711" s="113">
        <v>137894</v>
      </c>
      <c r="Z711" s="113">
        <v>145194</v>
      </c>
      <c r="AA711" s="112">
        <v>14519</v>
      </c>
      <c r="AB711" s="112">
        <v>5370</v>
      </c>
      <c r="AC711" s="147">
        <v>251047.39174199998</v>
      </c>
    </row>
    <row r="712" spans="23:29">
      <c r="W712" s="111">
        <v>692</v>
      </c>
      <c r="X712" s="112">
        <v>7300</v>
      </c>
      <c r="Y712" s="113">
        <v>138175</v>
      </c>
      <c r="Z712" s="113">
        <v>145475</v>
      </c>
      <c r="AA712" s="112">
        <v>14548</v>
      </c>
      <c r="AB712" s="112">
        <v>5380</v>
      </c>
      <c r="AC712" s="147">
        <v>251526.77570999999</v>
      </c>
    </row>
    <row r="713" spans="23:29">
      <c r="W713" s="111">
        <v>693</v>
      </c>
      <c r="X713" s="112">
        <v>7300</v>
      </c>
      <c r="Y713" s="113">
        <v>138455</v>
      </c>
      <c r="Z713" s="113">
        <v>145755</v>
      </c>
      <c r="AA713" s="112">
        <v>14576</v>
      </c>
      <c r="AB713" s="112">
        <v>5390</v>
      </c>
      <c r="AC713" s="147">
        <v>252006.15967799997</v>
      </c>
    </row>
    <row r="714" spans="23:29">
      <c r="W714" s="111">
        <v>694</v>
      </c>
      <c r="X714" s="112">
        <v>7300</v>
      </c>
      <c r="Y714" s="113">
        <v>138736</v>
      </c>
      <c r="Z714" s="113">
        <v>146036</v>
      </c>
      <c r="AA714" s="112">
        <v>14604</v>
      </c>
      <c r="AB714" s="112">
        <v>5400</v>
      </c>
      <c r="AC714" s="147">
        <v>252485.54364599998</v>
      </c>
    </row>
    <row r="715" spans="23:29">
      <c r="W715" s="111">
        <v>695</v>
      </c>
      <c r="X715" s="112">
        <v>7300</v>
      </c>
      <c r="Y715" s="113">
        <v>139017</v>
      </c>
      <c r="Z715" s="113">
        <v>146317</v>
      </c>
      <c r="AA715" s="112">
        <v>14632</v>
      </c>
      <c r="AB715" s="112">
        <v>5410</v>
      </c>
      <c r="AC715" s="147">
        <v>252949.94686500001</v>
      </c>
    </row>
    <row r="716" spans="23:29">
      <c r="W716" s="111">
        <v>696</v>
      </c>
      <c r="X716" s="112">
        <v>7300</v>
      </c>
      <c r="Y716" s="113">
        <v>139297</v>
      </c>
      <c r="Z716" s="113">
        <v>146597</v>
      </c>
      <c r="AA716" s="112">
        <v>14660</v>
      </c>
      <c r="AB716" s="112">
        <v>5420</v>
      </c>
      <c r="AC716" s="147">
        <v>253429.33083299999</v>
      </c>
    </row>
    <row r="717" spans="23:29">
      <c r="W717" s="111">
        <v>697</v>
      </c>
      <c r="X717" s="112">
        <v>7300</v>
      </c>
      <c r="Y717" s="113">
        <v>139578</v>
      </c>
      <c r="Z717" s="113">
        <v>146878</v>
      </c>
      <c r="AA717" s="112">
        <v>14688</v>
      </c>
      <c r="AB717" s="112">
        <v>5430</v>
      </c>
      <c r="AC717" s="147">
        <v>253908.71480099999</v>
      </c>
    </row>
    <row r="718" spans="23:29">
      <c r="W718" s="111">
        <v>698</v>
      </c>
      <c r="X718" s="112">
        <v>7300</v>
      </c>
      <c r="Y718" s="113">
        <v>139858</v>
      </c>
      <c r="Z718" s="113">
        <v>147158</v>
      </c>
      <c r="AA718" s="112">
        <v>14716</v>
      </c>
      <c r="AB718" s="112">
        <v>5440</v>
      </c>
      <c r="AC718" s="147">
        <v>254388.098769</v>
      </c>
    </row>
    <row r="719" spans="23:29">
      <c r="W719" s="111">
        <v>699</v>
      </c>
      <c r="X719" s="112">
        <v>7300</v>
      </c>
      <c r="Y719" s="113">
        <v>140139</v>
      </c>
      <c r="Z719" s="113">
        <v>147439</v>
      </c>
      <c r="AA719" s="112">
        <v>14744</v>
      </c>
      <c r="AB719" s="112">
        <v>5450</v>
      </c>
      <c r="AC719" s="147">
        <v>254867.48273700001</v>
      </c>
    </row>
    <row r="720" spans="23:29">
      <c r="W720" s="111">
        <v>700</v>
      </c>
      <c r="X720" s="112">
        <v>7300</v>
      </c>
      <c r="Y720" s="113">
        <v>140420</v>
      </c>
      <c r="Z720" s="113">
        <v>147720</v>
      </c>
      <c r="AA720" s="112">
        <v>14772</v>
      </c>
      <c r="AB720" s="112">
        <v>5460</v>
      </c>
      <c r="AC720" s="147">
        <v>255346.86670500002</v>
      </c>
    </row>
    <row r="721" spans="23:29">
      <c r="W721" s="111">
        <v>701</v>
      </c>
      <c r="X721" s="112">
        <v>7300</v>
      </c>
      <c r="Y721" s="113">
        <v>140700</v>
      </c>
      <c r="Z721" s="113">
        <v>148000</v>
      </c>
      <c r="AA721" s="112">
        <v>14800</v>
      </c>
      <c r="AB721" s="112">
        <v>5470</v>
      </c>
      <c r="AC721" s="147">
        <v>255826.25067299997</v>
      </c>
    </row>
    <row r="722" spans="23:29">
      <c r="W722" s="111">
        <v>702</v>
      </c>
      <c r="X722" s="112">
        <v>7300</v>
      </c>
      <c r="Y722" s="113">
        <v>140981</v>
      </c>
      <c r="Z722" s="113">
        <v>148281</v>
      </c>
      <c r="AA722" s="112">
        <v>14828</v>
      </c>
      <c r="AB722" s="112">
        <v>5480</v>
      </c>
      <c r="AC722" s="147">
        <v>256290.653892</v>
      </c>
    </row>
    <row r="723" spans="23:29">
      <c r="W723" s="111">
        <v>703</v>
      </c>
      <c r="X723" s="112">
        <v>7300</v>
      </c>
      <c r="Y723" s="113">
        <v>141261</v>
      </c>
      <c r="Z723" s="113">
        <v>148561</v>
      </c>
      <c r="AA723" s="112">
        <v>14856</v>
      </c>
      <c r="AB723" s="112">
        <v>5490</v>
      </c>
      <c r="AC723" s="147">
        <v>256770.03786000001</v>
      </c>
    </row>
    <row r="724" spans="23:29">
      <c r="W724" s="111">
        <v>704</v>
      </c>
      <c r="X724" s="112">
        <v>7300</v>
      </c>
      <c r="Y724" s="113">
        <v>141542</v>
      </c>
      <c r="Z724" s="113">
        <v>148842</v>
      </c>
      <c r="AA724" s="112">
        <v>14884</v>
      </c>
      <c r="AB724" s="112">
        <v>5500</v>
      </c>
      <c r="AC724" s="147">
        <v>257249.42182799999</v>
      </c>
    </row>
    <row r="725" spans="23:29">
      <c r="W725" s="111">
        <v>705</v>
      </c>
      <c r="X725" s="112">
        <v>7300</v>
      </c>
      <c r="Y725" s="113">
        <v>141823</v>
      </c>
      <c r="Z725" s="113">
        <v>149123</v>
      </c>
      <c r="AA725" s="112">
        <v>14912</v>
      </c>
      <c r="AB725" s="112">
        <v>5510</v>
      </c>
      <c r="AC725" s="147">
        <v>257728.805796</v>
      </c>
    </row>
    <row r="726" spans="23:29">
      <c r="W726" s="111">
        <v>706</v>
      </c>
      <c r="X726" s="112">
        <v>7300</v>
      </c>
      <c r="Y726" s="113">
        <v>142103</v>
      </c>
      <c r="Z726" s="113">
        <v>149403</v>
      </c>
      <c r="AA726" s="112">
        <v>14940</v>
      </c>
      <c r="AB726" s="112">
        <v>5520</v>
      </c>
      <c r="AC726" s="147">
        <v>258208.18976399998</v>
      </c>
    </row>
    <row r="727" spans="23:29">
      <c r="W727" s="111">
        <v>707</v>
      </c>
      <c r="X727" s="112">
        <v>7300</v>
      </c>
      <c r="Y727" s="113">
        <v>142384</v>
      </c>
      <c r="Z727" s="113">
        <v>149684</v>
      </c>
      <c r="AA727" s="112">
        <v>14968</v>
      </c>
      <c r="AB727" s="112">
        <v>5530</v>
      </c>
      <c r="AC727" s="147">
        <v>258687.57373199999</v>
      </c>
    </row>
    <row r="728" spans="23:29">
      <c r="W728" s="111">
        <v>708</v>
      </c>
      <c r="X728" s="112">
        <v>7300</v>
      </c>
      <c r="Y728" s="113">
        <v>142664</v>
      </c>
      <c r="Z728" s="113">
        <v>149964</v>
      </c>
      <c r="AA728" s="112">
        <v>14996</v>
      </c>
      <c r="AB728" s="112">
        <v>5540</v>
      </c>
      <c r="AC728" s="147">
        <v>259166.9577</v>
      </c>
    </row>
    <row r="729" spans="23:29">
      <c r="W729" s="111">
        <v>709</v>
      </c>
      <c r="X729" s="112">
        <v>7300</v>
      </c>
      <c r="Y729" s="113">
        <v>142945</v>
      </c>
      <c r="Z729" s="113">
        <v>150245</v>
      </c>
      <c r="AA729" s="112">
        <v>15025</v>
      </c>
      <c r="AB729" s="112">
        <v>5550</v>
      </c>
      <c r="AC729" s="147">
        <v>259646.34166799998</v>
      </c>
    </row>
    <row r="730" spans="23:29">
      <c r="W730" s="111">
        <v>710</v>
      </c>
      <c r="X730" s="112">
        <v>7300</v>
      </c>
      <c r="Y730" s="113">
        <v>143226</v>
      </c>
      <c r="Z730" s="113">
        <v>150526</v>
      </c>
      <c r="AA730" s="112">
        <v>15053</v>
      </c>
      <c r="AB730" s="112">
        <v>5560</v>
      </c>
      <c r="AC730" s="147">
        <v>260110.74488699998</v>
      </c>
    </row>
    <row r="731" spans="23:29">
      <c r="W731" s="111">
        <v>711</v>
      </c>
      <c r="X731" s="112">
        <v>7300</v>
      </c>
      <c r="Y731" s="113">
        <v>143506</v>
      </c>
      <c r="Z731" s="113">
        <v>150806</v>
      </c>
      <c r="AA731" s="112">
        <v>15081</v>
      </c>
      <c r="AB731" s="112">
        <v>5570</v>
      </c>
      <c r="AC731" s="147">
        <v>260590.12885499999</v>
      </c>
    </row>
    <row r="732" spans="23:29">
      <c r="W732" s="111">
        <v>712</v>
      </c>
      <c r="X732" s="112">
        <v>7300</v>
      </c>
      <c r="Y732" s="113">
        <v>143787</v>
      </c>
      <c r="Z732" s="113">
        <v>151087</v>
      </c>
      <c r="AA732" s="112">
        <v>15109</v>
      </c>
      <c r="AB732" s="112">
        <v>5590</v>
      </c>
      <c r="AC732" s="147">
        <v>261084.49357200001</v>
      </c>
    </row>
    <row r="733" spans="23:29">
      <c r="W733" s="111">
        <v>713</v>
      </c>
      <c r="X733" s="112">
        <v>7300</v>
      </c>
      <c r="Y733" s="113">
        <v>144067</v>
      </c>
      <c r="Z733" s="113">
        <v>151367</v>
      </c>
      <c r="AA733" s="112">
        <v>15137</v>
      </c>
      <c r="AB733" s="112">
        <v>5600</v>
      </c>
      <c r="AC733" s="147">
        <v>261563.87754000002</v>
      </c>
    </row>
    <row r="734" spans="23:29">
      <c r="W734" s="111">
        <v>714</v>
      </c>
      <c r="X734" s="112">
        <v>7300</v>
      </c>
      <c r="Y734" s="113">
        <v>144348</v>
      </c>
      <c r="Z734" s="113">
        <v>151648</v>
      </c>
      <c r="AA734" s="112">
        <v>15165</v>
      </c>
      <c r="AB734" s="112">
        <v>5610</v>
      </c>
      <c r="AC734" s="147">
        <v>262043.261508</v>
      </c>
    </row>
    <row r="735" spans="23:29">
      <c r="W735" s="111">
        <v>715</v>
      </c>
      <c r="X735" s="112">
        <v>7300</v>
      </c>
      <c r="Y735" s="113">
        <v>144629</v>
      </c>
      <c r="Z735" s="113">
        <v>151929</v>
      </c>
      <c r="AA735" s="112">
        <v>15193</v>
      </c>
      <c r="AB735" s="112">
        <v>5620</v>
      </c>
      <c r="AC735" s="147">
        <v>262522.64547599998</v>
      </c>
    </row>
    <row r="736" spans="23:29">
      <c r="W736" s="111">
        <v>716</v>
      </c>
      <c r="X736" s="112">
        <v>7300</v>
      </c>
      <c r="Y736" s="113">
        <v>144909</v>
      </c>
      <c r="Z736" s="113">
        <v>152209</v>
      </c>
      <c r="AA736" s="112">
        <v>15221</v>
      </c>
      <c r="AB736" s="112">
        <v>5630</v>
      </c>
      <c r="AC736" s="147">
        <v>263002.02944399999</v>
      </c>
    </row>
    <row r="737" spans="23:29">
      <c r="W737" s="111">
        <v>717</v>
      </c>
      <c r="X737" s="112">
        <v>7300</v>
      </c>
      <c r="Y737" s="113">
        <v>145190</v>
      </c>
      <c r="Z737" s="113">
        <v>152490</v>
      </c>
      <c r="AA737" s="112">
        <v>15249</v>
      </c>
      <c r="AB737" s="112">
        <v>5640</v>
      </c>
      <c r="AC737" s="147">
        <v>263466.43266299996</v>
      </c>
    </row>
    <row r="738" spans="23:29">
      <c r="W738" s="111">
        <v>718</v>
      </c>
      <c r="X738" s="112">
        <v>7300</v>
      </c>
      <c r="Y738" s="113">
        <v>145470</v>
      </c>
      <c r="Z738" s="113">
        <v>152770</v>
      </c>
      <c r="AA738" s="112">
        <v>15277</v>
      </c>
      <c r="AB738" s="112">
        <v>5650</v>
      </c>
      <c r="AC738" s="147">
        <v>263945.81663099997</v>
      </c>
    </row>
    <row r="739" spans="23:29">
      <c r="W739" s="111">
        <v>719</v>
      </c>
      <c r="X739" s="112">
        <v>7300</v>
      </c>
      <c r="Y739" s="113">
        <v>145751</v>
      </c>
      <c r="Z739" s="113">
        <v>153051</v>
      </c>
      <c r="AA739" s="112">
        <v>15305</v>
      </c>
      <c r="AB739" s="112">
        <v>5660</v>
      </c>
      <c r="AC739" s="147">
        <v>264425.20059899997</v>
      </c>
    </row>
    <row r="740" spans="23:29">
      <c r="W740" s="111">
        <v>720</v>
      </c>
      <c r="X740" s="112">
        <v>7300</v>
      </c>
      <c r="Y740" s="113">
        <v>146032</v>
      </c>
      <c r="Z740" s="113">
        <v>153332</v>
      </c>
      <c r="AA740" s="112">
        <v>15333</v>
      </c>
      <c r="AB740" s="112">
        <v>5670</v>
      </c>
      <c r="AC740" s="147">
        <v>264904.58456699998</v>
      </c>
    </row>
    <row r="741" spans="23:29">
      <c r="W741" s="111">
        <v>721</v>
      </c>
      <c r="X741" s="112">
        <v>7300</v>
      </c>
      <c r="Y741" s="113">
        <v>146312</v>
      </c>
      <c r="Z741" s="113">
        <v>153612</v>
      </c>
      <c r="AA741" s="112">
        <v>15361</v>
      </c>
      <c r="AB741" s="112">
        <v>5680</v>
      </c>
      <c r="AC741" s="147">
        <v>265383.96853499999</v>
      </c>
    </row>
    <row r="742" spans="23:29">
      <c r="W742" s="111">
        <v>722</v>
      </c>
      <c r="X742" s="112">
        <v>7300</v>
      </c>
      <c r="Y742" s="113">
        <v>146593</v>
      </c>
      <c r="Z742" s="113">
        <v>153893</v>
      </c>
      <c r="AA742" s="112">
        <v>15389</v>
      </c>
      <c r="AB742" s="112">
        <v>5690</v>
      </c>
      <c r="AC742" s="147">
        <v>265863.35250299994</v>
      </c>
    </row>
    <row r="743" spans="23:29">
      <c r="W743" s="111">
        <v>723</v>
      </c>
      <c r="X743" s="112">
        <v>7300</v>
      </c>
      <c r="Y743" s="113">
        <v>146873</v>
      </c>
      <c r="Z743" s="113">
        <v>154173</v>
      </c>
      <c r="AA743" s="112">
        <v>15417</v>
      </c>
      <c r="AB743" s="112">
        <v>5700</v>
      </c>
      <c r="AC743" s="147">
        <v>266342.73647099995</v>
      </c>
    </row>
    <row r="744" spans="23:29">
      <c r="W744" s="111">
        <v>724</v>
      </c>
      <c r="X744" s="112">
        <v>7300</v>
      </c>
      <c r="Y744" s="113">
        <v>147154</v>
      </c>
      <c r="Z744" s="113">
        <v>154454</v>
      </c>
      <c r="AA744" s="112">
        <v>15445</v>
      </c>
      <c r="AB744" s="112">
        <v>5710</v>
      </c>
      <c r="AC744" s="147">
        <v>266807.13969000004</v>
      </c>
    </row>
    <row r="745" spans="23:29">
      <c r="W745" s="111">
        <v>725</v>
      </c>
      <c r="X745" s="112">
        <v>7300</v>
      </c>
      <c r="Y745" s="113">
        <v>147435</v>
      </c>
      <c r="Z745" s="113">
        <v>154735</v>
      </c>
      <c r="AA745" s="112">
        <v>15474</v>
      </c>
      <c r="AB745" s="112">
        <v>5720</v>
      </c>
      <c r="AC745" s="147">
        <v>267286.52365799993</v>
      </c>
    </row>
    <row r="746" spans="23:29">
      <c r="W746" s="111">
        <v>726</v>
      </c>
      <c r="X746" s="112">
        <v>7300</v>
      </c>
      <c r="Y746" s="113">
        <v>147715</v>
      </c>
      <c r="Z746" s="113">
        <v>155015</v>
      </c>
      <c r="AA746" s="112">
        <v>15502</v>
      </c>
      <c r="AB746" s="112">
        <v>5730</v>
      </c>
      <c r="AC746" s="147">
        <v>267765.90762599994</v>
      </c>
    </row>
    <row r="747" spans="23:29">
      <c r="W747" s="111">
        <v>727</v>
      </c>
      <c r="X747" s="112">
        <v>7300</v>
      </c>
      <c r="Y747" s="113">
        <v>147996</v>
      </c>
      <c r="Z747" s="113">
        <v>155296</v>
      </c>
      <c r="AA747" s="112">
        <v>15530</v>
      </c>
      <c r="AB747" s="112">
        <v>5740</v>
      </c>
      <c r="AC747" s="147">
        <v>268245.29159399995</v>
      </c>
    </row>
    <row r="748" spans="23:29">
      <c r="W748" s="111">
        <v>728</v>
      </c>
      <c r="X748" s="112">
        <v>7300</v>
      </c>
      <c r="Y748" s="113">
        <v>148276</v>
      </c>
      <c r="Z748" s="113">
        <v>155576</v>
      </c>
      <c r="AA748" s="112">
        <v>15558</v>
      </c>
      <c r="AB748" s="112">
        <v>5750</v>
      </c>
      <c r="AC748" s="147">
        <v>268724.67556199996</v>
      </c>
    </row>
    <row r="749" spans="23:29">
      <c r="W749" s="111">
        <v>729</v>
      </c>
      <c r="X749" s="112">
        <v>7300</v>
      </c>
      <c r="Y749" s="113">
        <v>148557</v>
      </c>
      <c r="Z749" s="113">
        <v>155857</v>
      </c>
      <c r="AA749" s="112">
        <v>15586</v>
      </c>
      <c r="AB749" s="112">
        <v>5760</v>
      </c>
      <c r="AC749" s="147">
        <v>269204.05952999997</v>
      </c>
    </row>
    <row r="750" spans="23:29">
      <c r="W750" s="111">
        <v>730</v>
      </c>
      <c r="X750" s="112">
        <v>7300</v>
      </c>
      <c r="Y750" s="113">
        <v>148838</v>
      </c>
      <c r="Z750" s="113">
        <v>156138</v>
      </c>
      <c r="AA750" s="112">
        <v>15614</v>
      </c>
      <c r="AB750" s="112">
        <v>5770</v>
      </c>
      <c r="AC750" s="147">
        <v>269683.44349799998</v>
      </c>
    </row>
    <row r="751" spans="23:29">
      <c r="W751" s="111">
        <v>731</v>
      </c>
      <c r="X751" s="112">
        <v>7300</v>
      </c>
      <c r="Y751" s="113">
        <v>149118</v>
      </c>
      <c r="Z751" s="113">
        <v>156418</v>
      </c>
      <c r="AA751" s="112">
        <v>15642</v>
      </c>
      <c r="AB751" s="112">
        <v>5780</v>
      </c>
      <c r="AC751" s="147">
        <v>270162.82746599999</v>
      </c>
    </row>
    <row r="752" spans="23:29">
      <c r="W752" s="111">
        <v>732</v>
      </c>
      <c r="X752" s="112">
        <v>7300</v>
      </c>
      <c r="Y752" s="113">
        <v>149399</v>
      </c>
      <c r="Z752" s="113">
        <v>156699</v>
      </c>
      <c r="AA752" s="112">
        <v>15670</v>
      </c>
      <c r="AB752" s="112">
        <v>5790</v>
      </c>
      <c r="AC752" s="147">
        <v>270627.23068500002</v>
      </c>
    </row>
    <row r="753" spans="23:29">
      <c r="W753" s="111">
        <v>733</v>
      </c>
      <c r="X753" s="112">
        <v>7300</v>
      </c>
      <c r="Y753" s="113">
        <v>149679</v>
      </c>
      <c r="Z753" s="113">
        <v>156979</v>
      </c>
      <c r="AA753" s="112">
        <v>15698</v>
      </c>
      <c r="AB753" s="112">
        <v>5800</v>
      </c>
      <c r="AC753" s="147">
        <v>271106.61465299997</v>
      </c>
    </row>
    <row r="754" spans="23:29">
      <c r="W754" s="111">
        <v>734</v>
      </c>
      <c r="X754" s="112">
        <v>7300</v>
      </c>
      <c r="Y754" s="113">
        <v>149960</v>
      </c>
      <c r="Z754" s="113">
        <v>157260</v>
      </c>
      <c r="AA754" s="112">
        <v>15726</v>
      </c>
      <c r="AB754" s="112">
        <v>5810</v>
      </c>
      <c r="AC754" s="147">
        <v>271585.99862099998</v>
      </c>
    </row>
    <row r="755" spans="23:29">
      <c r="W755" s="111">
        <v>735</v>
      </c>
      <c r="X755" s="112">
        <v>7300</v>
      </c>
      <c r="Y755" s="113">
        <v>150241</v>
      </c>
      <c r="Z755" s="113">
        <v>157541</v>
      </c>
      <c r="AA755" s="112">
        <v>15754</v>
      </c>
      <c r="AB755" s="112">
        <v>5820</v>
      </c>
      <c r="AC755" s="147">
        <v>272065.38258899999</v>
      </c>
    </row>
    <row r="756" spans="23:29">
      <c r="W756" s="111">
        <v>736</v>
      </c>
      <c r="X756" s="112">
        <v>7300</v>
      </c>
      <c r="Y756" s="113">
        <v>150521</v>
      </c>
      <c r="Z756" s="113">
        <v>157821</v>
      </c>
      <c r="AA756" s="112">
        <v>15782</v>
      </c>
      <c r="AB756" s="112">
        <v>5830</v>
      </c>
      <c r="AC756" s="147">
        <v>272544.766557</v>
      </c>
    </row>
    <row r="757" spans="23:29">
      <c r="W757" s="111">
        <v>737</v>
      </c>
      <c r="X757" s="112">
        <v>7300</v>
      </c>
      <c r="Y757" s="113">
        <v>150802</v>
      </c>
      <c r="Z757" s="113">
        <v>158102</v>
      </c>
      <c r="AA757" s="112">
        <v>15810</v>
      </c>
      <c r="AB757" s="112">
        <v>5840</v>
      </c>
      <c r="AC757" s="147">
        <v>273024.150525</v>
      </c>
    </row>
    <row r="758" spans="23:29">
      <c r="W758" s="111">
        <v>738</v>
      </c>
      <c r="X758" s="112">
        <v>7300</v>
      </c>
      <c r="Y758" s="113">
        <v>151082</v>
      </c>
      <c r="Z758" s="113">
        <v>158382</v>
      </c>
      <c r="AA758" s="112">
        <v>15838</v>
      </c>
      <c r="AB758" s="112">
        <v>5860</v>
      </c>
      <c r="AC758" s="147">
        <v>273518.51524199999</v>
      </c>
    </row>
    <row r="759" spans="23:29">
      <c r="W759" s="111">
        <v>739</v>
      </c>
      <c r="X759" s="112">
        <v>7300</v>
      </c>
      <c r="Y759" s="113">
        <v>151363</v>
      </c>
      <c r="Z759" s="113">
        <v>158663</v>
      </c>
      <c r="AA759" s="112">
        <v>15866</v>
      </c>
      <c r="AB759" s="112">
        <v>5870</v>
      </c>
      <c r="AC759" s="147">
        <v>273982.91846099996</v>
      </c>
    </row>
    <row r="760" spans="23:29">
      <c r="W760" s="111">
        <v>740</v>
      </c>
      <c r="X760" s="112">
        <v>7300</v>
      </c>
      <c r="Y760" s="113">
        <v>151644</v>
      </c>
      <c r="Z760" s="113">
        <v>158944</v>
      </c>
      <c r="AA760" s="112">
        <v>15894</v>
      </c>
      <c r="AB760" s="112">
        <v>5880</v>
      </c>
      <c r="AC760" s="147">
        <v>274462.30242899997</v>
      </c>
    </row>
    <row r="761" spans="23:29">
      <c r="W761" s="111">
        <v>741</v>
      </c>
      <c r="X761" s="112">
        <v>7300</v>
      </c>
      <c r="Y761" s="113">
        <v>151924</v>
      </c>
      <c r="Z761" s="113">
        <v>159224</v>
      </c>
      <c r="AA761" s="112">
        <v>15922</v>
      </c>
      <c r="AB761" s="112">
        <v>5890</v>
      </c>
      <c r="AC761" s="147">
        <v>274941.68639699998</v>
      </c>
    </row>
    <row r="762" spans="23:29">
      <c r="W762" s="111">
        <v>742</v>
      </c>
      <c r="X762" s="112">
        <v>7300</v>
      </c>
      <c r="Y762" s="113">
        <v>152205</v>
      </c>
      <c r="Z762" s="113">
        <v>159505</v>
      </c>
      <c r="AA762" s="112">
        <v>15951</v>
      </c>
      <c r="AB762" s="112">
        <v>5900</v>
      </c>
      <c r="AC762" s="147">
        <v>275421.07036499999</v>
      </c>
    </row>
    <row r="763" spans="23:29">
      <c r="W763" s="111">
        <v>743</v>
      </c>
      <c r="X763" s="112">
        <v>7300</v>
      </c>
      <c r="Y763" s="113">
        <v>152485</v>
      </c>
      <c r="Z763" s="113">
        <v>159785</v>
      </c>
      <c r="AA763" s="112">
        <v>15979</v>
      </c>
      <c r="AB763" s="112">
        <v>5910</v>
      </c>
      <c r="AC763" s="147">
        <v>275900.45433299994</v>
      </c>
    </row>
    <row r="764" spans="23:29">
      <c r="W764" s="111">
        <v>744</v>
      </c>
      <c r="X764" s="112">
        <v>7300</v>
      </c>
      <c r="Y764" s="113">
        <v>152766</v>
      </c>
      <c r="Z764" s="113">
        <v>160066</v>
      </c>
      <c r="AA764" s="112">
        <v>16007</v>
      </c>
      <c r="AB764" s="112">
        <v>5920</v>
      </c>
      <c r="AC764" s="147">
        <v>276379.83830100001</v>
      </c>
    </row>
    <row r="765" spans="23:29">
      <c r="W765" s="111">
        <v>745</v>
      </c>
      <c r="X765" s="112">
        <v>7300</v>
      </c>
      <c r="Y765" s="113">
        <v>153047</v>
      </c>
      <c r="Z765" s="113">
        <v>160347</v>
      </c>
      <c r="AA765" s="112">
        <v>16035</v>
      </c>
      <c r="AB765" s="112">
        <v>5930</v>
      </c>
      <c r="AC765" s="147">
        <v>276859.22226899996</v>
      </c>
    </row>
    <row r="766" spans="23:29">
      <c r="W766" s="111">
        <v>746</v>
      </c>
      <c r="X766" s="112">
        <v>7300</v>
      </c>
      <c r="Y766" s="113">
        <v>153327</v>
      </c>
      <c r="Z766" s="113">
        <v>160627</v>
      </c>
      <c r="AA766" s="112">
        <v>16063</v>
      </c>
      <c r="AB766" s="112">
        <v>5940</v>
      </c>
      <c r="AC766" s="147">
        <v>277338.60623700003</v>
      </c>
    </row>
    <row r="767" spans="23:29">
      <c r="W767" s="111">
        <v>747</v>
      </c>
      <c r="X767" s="112">
        <v>7300</v>
      </c>
      <c r="Y767" s="113">
        <v>153608</v>
      </c>
      <c r="Z767" s="113">
        <v>160908</v>
      </c>
      <c r="AA767" s="112">
        <v>16091</v>
      </c>
      <c r="AB767" s="112">
        <v>5950</v>
      </c>
      <c r="AC767" s="147">
        <v>277803.00945599994</v>
      </c>
    </row>
    <row r="768" spans="23:29">
      <c r="W768" s="111">
        <v>748</v>
      </c>
      <c r="X768" s="112">
        <v>7300</v>
      </c>
      <c r="Y768" s="113">
        <v>153888</v>
      </c>
      <c r="Z768" s="113">
        <v>161188</v>
      </c>
      <c r="AA768" s="112">
        <v>16119</v>
      </c>
      <c r="AB768" s="112">
        <v>5960</v>
      </c>
      <c r="AC768" s="147">
        <v>278282.39342400001</v>
      </c>
    </row>
    <row r="769" spans="23:29">
      <c r="W769" s="111">
        <v>749</v>
      </c>
      <c r="X769" s="112">
        <v>7300</v>
      </c>
      <c r="Y769" s="113">
        <v>154169</v>
      </c>
      <c r="Z769" s="113">
        <v>161469</v>
      </c>
      <c r="AA769" s="112">
        <v>16147</v>
      </c>
      <c r="AB769" s="112">
        <v>5970</v>
      </c>
      <c r="AC769" s="147">
        <v>278761.77739199996</v>
      </c>
    </row>
    <row r="770" spans="23:29">
      <c r="W770" s="111">
        <v>750</v>
      </c>
      <c r="X770" s="112">
        <v>7300</v>
      </c>
      <c r="Y770" s="113">
        <v>154450</v>
      </c>
      <c r="Z770" s="113">
        <v>161750</v>
      </c>
      <c r="AA770" s="112">
        <v>16175</v>
      </c>
      <c r="AB770" s="112">
        <v>5980</v>
      </c>
      <c r="AC770" s="147">
        <v>279241.16136000003</v>
      </c>
    </row>
    <row r="771" spans="23:29">
      <c r="W771" s="111">
        <v>751</v>
      </c>
      <c r="X771" s="112">
        <v>7300</v>
      </c>
      <c r="Y771" s="113">
        <v>154730</v>
      </c>
      <c r="Z771" s="113">
        <v>162030</v>
      </c>
      <c r="AA771" s="112">
        <v>16203</v>
      </c>
      <c r="AB771" s="112">
        <v>5990</v>
      </c>
      <c r="AC771" s="147">
        <v>279720.54532799998</v>
      </c>
    </row>
    <row r="772" spans="23:29">
      <c r="W772" s="111">
        <v>752</v>
      </c>
      <c r="X772" s="112">
        <v>7300</v>
      </c>
      <c r="Y772" s="113">
        <v>155011</v>
      </c>
      <c r="Z772" s="113">
        <v>162311</v>
      </c>
      <c r="AA772" s="112">
        <v>16231</v>
      </c>
      <c r="AB772" s="112">
        <v>6000</v>
      </c>
      <c r="AC772" s="147">
        <v>280199.92929599999</v>
      </c>
    </row>
    <row r="773" spans="23:29">
      <c r="W773" s="111">
        <v>753</v>
      </c>
      <c r="X773" s="112">
        <v>7300</v>
      </c>
      <c r="Y773" s="113">
        <v>155291</v>
      </c>
      <c r="Z773" s="113">
        <v>162591</v>
      </c>
      <c r="AA773" s="112">
        <v>16259</v>
      </c>
      <c r="AB773" s="112">
        <v>6010</v>
      </c>
      <c r="AC773" s="147">
        <v>280679.313264</v>
      </c>
    </row>
    <row r="774" spans="23:29">
      <c r="W774" s="111">
        <v>754</v>
      </c>
      <c r="X774" s="112">
        <v>7300</v>
      </c>
      <c r="Y774" s="113">
        <v>155572</v>
      </c>
      <c r="Z774" s="113">
        <v>162872</v>
      </c>
      <c r="AA774" s="112">
        <v>16287</v>
      </c>
      <c r="AB774" s="112">
        <v>6020</v>
      </c>
      <c r="AC774" s="147">
        <v>281143.71648300003</v>
      </c>
    </row>
    <row r="775" spans="23:29">
      <c r="W775" s="111">
        <v>755</v>
      </c>
      <c r="X775" s="112">
        <v>7300</v>
      </c>
      <c r="Y775" s="113">
        <v>155853</v>
      </c>
      <c r="Z775" s="113">
        <v>163153</v>
      </c>
      <c r="AA775" s="112">
        <v>16315</v>
      </c>
      <c r="AB775" s="112">
        <v>6030</v>
      </c>
      <c r="AC775" s="147">
        <v>281623.10045099998</v>
      </c>
    </row>
    <row r="776" spans="23:29">
      <c r="W776" s="111">
        <v>756</v>
      </c>
      <c r="X776" s="112">
        <v>7300</v>
      </c>
      <c r="Y776" s="113">
        <v>156133</v>
      </c>
      <c r="Z776" s="113">
        <v>163433</v>
      </c>
      <c r="AA776" s="112">
        <v>16343</v>
      </c>
      <c r="AB776" s="112">
        <v>6040</v>
      </c>
      <c r="AC776" s="147">
        <v>282102.48441900004</v>
      </c>
    </row>
    <row r="777" spans="23:29">
      <c r="W777" s="111">
        <v>757</v>
      </c>
      <c r="X777" s="112">
        <v>7300</v>
      </c>
      <c r="Y777" s="113">
        <v>156414</v>
      </c>
      <c r="Z777" s="113">
        <v>163714</v>
      </c>
      <c r="AA777" s="112">
        <v>16371</v>
      </c>
      <c r="AB777" s="112">
        <v>6050</v>
      </c>
      <c r="AC777" s="147">
        <v>282581.86838699999</v>
      </c>
    </row>
    <row r="778" spans="23:29">
      <c r="W778" s="111">
        <v>758</v>
      </c>
      <c r="X778" s="112">
        <v>7300</v>
      </c>
      <c r="Y778" s="113">
        <v>156694</v>
      </c>
      <c r="Z778" s="113">
        <v>163994</v>
      </c>
      <c r="AA778" s="112">
        <v>16399</v>
      </c>
      <c r="AB778" s="112">
        <v>6060</v>
      </c>
      <c r="AC778" s="147">
        <v>283061.25235500006</v>
      </c>
    </row>
    <row r="779" spans="23:29">
      <c r="W779" s="111">
        <v>759</v>
      </c>
      <c r="X779" s="112">
        <v>7300</v>
      </c>
      <c r="Y779" s="113">
        <v>156975</v>
      </c>
      <c r="Z779" s="113">
        <v>164275</v>
      </c>
      <c r="AA779" s="112">
        <v>16428</v>
      </c>
      <c r="AB779" s="112">
        <v>6070</v>
      </c>
      <c r="AC779" s="147">
        <v>283540.63632299996</v>
      </c>
    </row>
    <row r="780" spans="23:29">
      <c r="W780" s="111">
        <v>760</v>
      </c>
      <c r="X780" s="112">
        <v>7300</v>
      </c>
      <c r="Y780" s="113">
        <v>157256</v>
      </c>
      <c r="Z780" s="113">
        <v>164556</v>
      </c>
      <c r="AA780" s="112">
        <v>16456</v>
      </c>
      <c r="AB780" s="112">
        <v>6080</v>
      </c>
      <c r="AC780" s="147">
        <v>284020.02029099996</v>
      </c>
    </row>
    <row r="781" spans="23:29">
      <c r="W781" s="111">
        <v>761</v>
      </c>
      <c r="X781" s="112">
        <v>7300</v>
      </c>
      <c r="Y781" s="113">
        <v>157536</v>
      </c>
      <c r="Z781" s="113">
        <v>164836</v>
      </c>
      <c r="AA781" s="112">
        <v>16484</v>
      </c>
      <c r="AB781" s="112">
        <v>6090</v>
      </c>
      <c r="AC781" s="147">
        <v>284499.40425899997</v>
      </c>
    </row>
    <row r="782" spans="23:29">
      <c r="W782" s="111">
        <v>762</v>
      </c>
      <c r="X782" s="112">
        <v>7300</v>
      </c>
      <c r="Y782" s="113">
        <v>157817</v>
      </c>
      <c r="Z782" s="113">
        <v>165117</v>
      </c>
      <c r="AA782" s="112">
        <v>16512</v>
      </c>
      <c r="AB782" s="112">
        <v>6100</v>
      </c>
      <c r="AC782" s="147">
        <v>284963.80747799994</v>
      </c>
    </row>
    <row r="783" spans="23:29">
      <c r="W783" s="111">
        <v>763</v>
      </c>
      <c r="X783" s="112">
        <v>7300</v>
      </c>
      <c r="Y783" s="113">
        <v>158097</v>
      </c>
      <c r="Z783" s="113">
        <v>165397</v>
      </c>
      <c r="AA783" s="112">
        <v>16540</v>
      </c>
      <c r="AB783" s="112">
        <v>6110</v>
      </c>
      <c r="AC783" s="147">
        <v>285443.19144600001</v>
      </c>
    </row>
    <row r="784" spans="23:29">
      <c r="W784" s="111">
        <v>764</v>
      </c>
      <c r="X784" s="112">
        <v>7300</v>
      </c>
      <c r="Y784" s="113">
        <v>158378</v>
      </c>
      <c r="Z784" s="113">
        <v>165678</v>
      </c>
      <c r="AA784" s="112">
        <v>16568</v>
      </c>
      <c r="AB784" s="112">
        <v>6130</v>
      </c>
      <c r="AC784" s="147">
        <v>285937.55616299994</v>
      </c>
    </row>
    <row r="785" spans="23:29">
      <c r="W785" s="111">
        <v>765</v>
      </c>
      <c r="X785" s="112">
        <v>7300</v>
      </c>
      <c r="Y785" s="113">
        <v>158659</v>
      </c>
      <c r="Z785" s="113">
        <v>165959</v>
      </c>
      <c r="AA785" s="112">
        <v>16596</v>
      </c>
      <c r="AB785" s="112">
        <v>6140</v>
      </c>
      <c r="AC785" s="147">
        <v>286416.94013100001</v>
      </c>
    </row>
    <row r="786" spans="23:29">
      <c r="W786" s="111">
        <v>766</v>
      </c>
      <c r="X786" s="112">
        <v>7300</v>
      </c>
      <c r="Y786" s="113">
        <v>158939</v>
      </c>
      <c r="Z786" s="113">
        <v>166239</v>
      </c>
      <c r="AA786" s="112">
        <v>16624</v>
      </c>
      <c r="AB786" s="112">
        <v>6150</v>
      </c>
      <c r="AC786" s="147">
        <v>286896.32409899996</v>
      </c>
    </row>
    <row r="787" spans="23:29">
      <c r="W787" s="111">
        <v>767</v>
      </c>
      <c r="X787" s="112">
        <v>7300</v>
      </c>
      <c r="Y787" s="113">
        <v>159220</v>
      </c>
      <c r="Z787" s="113">
        <v>166520</v>
      </c>
      <c r="AA787" s="112">
        <v>16652</v>
      </c>
      <c r="AB787" s="112">
        <v>6160</v>
      </c>
      <c r="AC787" s="147">
        <v>287375.70806700003</v>
      </c>
    </row>
    <row r="788" spans="23:29">
      <c r="W788" s="111">
        <v>768</v>
      </c>
      <c r="X788" s="112">
        <v>7300</v>
      </c>
      <c r="Y788" s="113">
        <v>159500</v>
      </c>
      <c r="Z788" s="113">
        <v>166800</v>
      </c>
      <c r="AA788" s="112">
        <v>16680</v>
      </c>
      <c r="AB788" s="112">
        <v>6170</v>
      </c>
      <c r="AC788" s="147">
        <v>287855.09203499998</v>
      </c>
    </row>
    <row r="789" spans="23:29">
      <c r="W789" s="111">
        <v>769</v>
      </c>
      <c r="X789" s="112">
        <v>7300</v>
      </c>
      <c r="Y789" s="113">
        <v>159781</v>
      </c>
      <c r="Z789" s="113">
        <v>167081</v>
      </c>
      <c r="AA789" s="112">
        <v>16708</v>
      </c>
      <c r="AB789" s="112">
        <v>6180</v>
      </c>
      <c r="AC789" s="147">
        <v>288319.49525400001</v>
      </c>
    </row>
    <row r="790" spans="23:29">
      <c r="W790" s="111">
        <v>770</v>
      </c>
      <c r="X790" s="112">
        <v>7300</v>
      </c>
      <c r="Y790" s="113">
        <v>160062</v>
      </c>
      <c r="Z790" s="113">
        <v>167362</v>
      </c>
      <c r="AA790" s="112">
        <v>16736</v>
      </c>
      <c r="AB790" s="112">
        <v>6190</v>
      </c>
      <c r="AC790" s="147">
        <v>288798.87922200002</v>
      </c>
    </row>
    <row r="791" spans="23:29">
      <c r="W791" s="111">
        <v>771</v>
      </c>
      <c r="X791" s="112">
        <v>7300</v>
      </c>
      <c r="Y791" s="113">
        <v>160342</v>
      </c>
      <c r="Z791" s="113">
        <v>167642</v>
      </c>
      <c r="AA791" s="112">
        <v>16764</v>
      </c>
      <c r="AB791" s="112">
        <v>6200</v>
      </c>
      <c r="AC791" s="147">
        <v>289278.26319000003</v>
      </c>
    </row>
    <row r="792" spans="23:29">
      <c r="W792" s="111">
        <v>772</v>
      </c>
      <c r="X792" s="112">
        <v>7300</v>
      </c>
      <c r="Y792" s="113">
        <v>160623</v>
      </c>
      <c r="Z792" s="113">
        <v>167923</v>
      </c>
      <c r="AA792" s="112">
        <v>16792</v>
      </c>
      <c r="AB792" s="112">
        <v>6210</v>
      </c>
      <c r="AC792" s="147">
        <v>289757.64715799992</v>
      </c>
    </row>
    <row r="793" spans="23:29">
      <c r="W793" s="111">
        <v>773</v>
      </c>
      <c r="X793" s="112">
        <v>7300</v>
      </c>
      <c r="Y793" s="113">
        <v>160903</v>
      </c>
      <c r="Z793" s="113">
        <v>168203</v>
      </c>
      <c r="AA793" s="112">
        <v>16820</v>
      </c>
      <c r="AB793" s="112">
        <v>6220</v>
      </c>
      <c r="AC793" s="147">
        <v>290237.03112599999</v>
      </c>
    </row>
    <row r="794" spans="23:29">
      <c r="W794" s="111">
        <v>774</v>
      </c>
      <c r="X794" s="112">
        <v>7300</v>
      </c>
      <c r="Y794" s="113">
        <v>161184</v>
      </c>
      <c r="Z794" s="113">
        <v>168484</v>
      </c>
      <c r="AA794" s="112">
        <v>16848</v>
      </c>
      <c r="AB794" s="112">
        <v>6230</v>
      </c>
      <c r="AC794" s="147">
        <v>290716.41509399994</v>
      </c>
    </row>
    <row r="795" spans="23:29">
      <c r="W795" s="111">
        <v>775</v>
      </c>
      <c r="X795" s="112">
        <v>7300</v>
      </c>
      <c r="Y795" s="113">
        <v>161465</v>
      </c>
      <c r="Z795" s="113">
        <v>168765</v>
      </c>
      <c r="AA795" s="112">
        <v>16877</v>
      </c>
      <c r="AB795" s="112">
        <v>6240</v>
      </c>
      <c r="AC795" s="147">
        <v>291195.79906200001</v>
      </c>
    </row>
    <row r="796" spans="23:29">
      <c r="W796" s="111">
        <v>776</v>
      </c>
      <c r="X796" s="112">
        <v>7300</v>
      </c>
      <c r="Y796" s="113">
        <v>161745</v>
      </c>
      <c r="Z796" s="113">
        <v>169045</v>
      </c>
      <c r="AA796" s="112">
        <v>16905</v>
      </c>
      <c r="AB796" s="112">
        <v>6250</v>
      </c>
      <c r="AC796" s="147">
        <v>291675.18302999996</v>
      </c>
    </row>
    <row r="797" spans="23:29">
      <c r="W797" s="111">
        <v>777</v>
      </c>
      <c r="X797" s="112">
        <v>7300</v>
      </c>
      <c r="Y797" s="113">
        <v>162026</v>
      </c>
      <c r="Z797" s="113">
        <v>169326</v>
      </c>
      <c r="AA797" s="112">
        <v>16933</v>
      </c>
      <c r="AB797" s="112">
        <v>6260</v>
      </c>
      <c r="AC797" s="147">
        <v>292139.58624899999</v>
      </c>
    </row>
    <row r="798" spans="23:29">
      <c r="W798" s="111">
        <v>778</v>
      </c>
      <c r="X798" s="112">
        <v>7300</v>
      </c>
      <c r="Y798" s="113">
        <v>162306</v>
      </c>
      <c r="Z798" s="113">
        <v>169606</v>
      </c>
      <c r="AA798" s="112">
        <v>16961</v>
      </c>
      <c r="AB798" s="112">
        <v>6270</v>
      </c>
      <c r="AC798" s="147">
        <v>292618.97021699999</v>
      </c>
    </row>
    <row r="799" spans="23:29">
      <c r="W799" s="111">
        <v>779</v>
      </c>
      <c r="X799" s="112">
        <v>7300</v>
      </c>
      <c r="Y799" s="113">
        <v>162587</v>
      </c>
      <c r="Z799" s="113">
        <v>169887</v>
      </c>
      <c r="AA799" s="112">
        <v>16989</v>
      </c>
      <c r="AB799" s="112">
        <v>6280</v>
      </c>
      <c r="AC799" s="147">
        <v>293098.354185</v>
      </c>
    </row>
    <row r="800" spans="23:29">
      <c r="W800" s="111">
        <v>780</v>
      </c>
      <c r="X800" s="112">
        <v>7300</v>
      </c>
      <c r="Y800" s="113">
        <v>162868</v>
      </c>
      <c r="Z800" s="113">
        <v>170168</v>
      </c>
      <c r="AA800" s="112">
        <v>17017</v>
      </c>
      <c r="AB800" s="112">
        <v>6290</v>
      </c>
      <c r="AC800" s="147">
        <v>293577.73815299995</v>
      </c>
    </row>
    <row r="801" spans="23:29">
      <c r="W801" s="111">
        <v>781</v>
      </c>
      <c r="X801" s="112">
        <v>7300</v>
      </c>
      <c r="Y801" s="113">
        <v>163148</v>
      </c>
      <c r="Z801" s="113">
        <v>170448</v>
      </c>
      <c r="AA801" s="112">
        <v>17045</v>
      </c>
      <c r="AB801" s="112">
        <v>6300</v>
      </c>
      <c r="AC801" s="147">
        <v>294057.12212099996</v>
      </c>
    </row>
    <row r="802" spans="23:29">
      <c r="W802" s="111">
        <v>782</v>
      </c>
      <c r="X802" s="112">
        <v>7300</v>
      </c>
      <c r="Y802" s="113">
        <v>163429</v>
      </c>
      <c r="Z802" s="113">
        <v>170729</v>
      </c>
      <c r="AA802" s="112">
        <v>17073</v>
      </c>
      <c r="AB802" s="112">
        <v>6310</v>
      </c>
      <c r="AC802" s="147">
        <v>294536.50608899997</v>
      </c>
    </row>
    <row r="803" spans="23:29">
      <c r="W803" s="111">
        <v>783</v>
      </c>
      <c r="X803" s="112">
        <v>7300</v>
      </c>
      <c r="Y803" s="113">
        <v>163709</v>
      </c>
      <c r="Z803" s="113">
        <v>171009</v>
      </c>
      <c r="AA803" s="112">
        <v>17101</v>
      </c>
      <c r="AB803" s="112">
        <v>6320</v>
      </c>
      <c r="AC803" s="147">
        <v>295015.89005699998</v>
      </c>
    </row>
    <row r="804" spans="23:29">
      <c r="W804" s="111">
        <v>784</v>
      </c>
      <c r="X804" s="112">
        <v>7300</v>
      </c>
      <c r="Y804" s="113">
        <v>163990</v>
      </c>
      <c r="Z804" s="113">
        <v>171290</v>
      </c>
      <c r="AA804" s="112">
        <v>17129</v>
      </c>
      <c r="AB804" s="112">
        <v>6330</v>
      </c>
      <c r="AC804" s="147">
        <v>295480.29327599995</v>
      </c>
    </row>
    <row r="805" spans="23:29">
      <c r="W805" s="111">
        <v>785</v>
      </c>
      <c r="X805" s="112">
        <v>7300</v>
      </c>
      <c r="Y805" s="113">
        <v>164271</v>
      </c>
      <c r="Z805" s="113">
        <v>171571</v>
      </c>
      <c r="AA805" s="112">
        <v>17157</v>
      </c>
      <c r="AB805" s="112">
        <v>6340</v>
      </c>
      <c r="AC805" s="147">
        <v>295959.67724399996</v>
      </c>
    </row>
    <row r="806" spans="23:29">
      <c r="W806" s="111">
        <v>786</v>
      </c>
      <c r="X806" s="112">
        <v>7300</v>
      </c>
      <c r="Y806" s="113">
        <v>164551</v>
      </c>
      <c r="Z806" s="113">
        <v>171851</v>
      </c>
      <c r="AA806" s="112">
        <v>17185</v>
      </c>
      <c r="AB806" s="112">
        <v>6350</v>
      </c>
      <c r="AC806" s="147">
        <v>296439.06121199997</v>
      </c>
    </row>
    <row r="807" spans="23:29">
      <c r="W807" s="111">
        <v>787</v>
      </c>
      <c r="X807" s="112">
        <v>7300</v>
      </c>
      <c r="Y807" s="113">
        <v>164832</v>
      </c>
      <c r="Z807" s="113">
        <v>172132</v>
      </c>
      <c r="AA807" s="112">
        <v>17213</v>
      </c>
      <c r="AB807" s="112">
        <v>6360</v>
      </c>
      <c r="AC807" s="147">
        <v>296918.44517999998</v>
      </c>
    </row>
    <row r="808" spans="23:29">
      <c r="W808" s="111">
        <v>788</v>
      </c>
      <c r="X808" s="112">
        <v>7300</v>
      </c>
      <c r="Y808" s="113">
        <v>165112</v>
      </c>
      <c r="Z808" s="113">
        <v>172412</v>
      </c>
      <c r="AA808" s="112">
        <v>17241</v>
      </c>
      <c r="AB808" s="112">
        <v>6370</v>
      </c>
      <c r="AC808" s="147">
        <v>297397.82914799999</v>
      </c>
    </row>
    <row r="809" spans="23:29">
      <c r="W809" s="111">
        <v>789</v>
      </c>
      <c r="X809" s="112">
        <v>7300</v>
      </c>
      <c r="Y809" s="113">
        <v>165393</v>
      </c>
      <c r="Z809" s="113">
        <v>172693</v>
      </c>
      <c r="AA809" s="112">
        <v>17269</v>
      </c>
      <c r="AB809" s="112">
        <v>6380</v>
      </c>
      <c r="AC809" s="147">
        <v>297877.21311599994</v>
      </c>
    </row>
    <row r="810" spans="23:29">
      <c r="W810" s="111">
        <v>790</v>
      </c>
      <c r="X810" s="112">
        <v>7300</v>
      </c>
      <c r="Y810" s="113">
        <v>165674</v>
      </c>
      <c r="Z810" s="113">
        <v>172974</v>
      </c>
      <c r="AA810" s="112">
        <v>17297</v>
      </c>
      <c r="AB810" s="112">
        <v>6400</v>
      </c>
      <c r="AC810" s="147">
        <v>298371.57783299999</v>
      </c>
    </row>
    <row r="811" spans="23:29">
      <c r="W811" s="111">
        <v>791</v>
      </c>
      <c r="X811" s="112">
        <v>7300</v>
      </c>
      <c r="Y811" s="113">
        <v>165954</v>
      </c>
      <c r="Z811" s="113">
        <v>173254</v>
      </c>
      <c r="AA811" s="112">
        <v>17325</v>
      </c>
      <c r="AB811" s="112">
        <v>6410</v>
      </c>
      <c r="AC811" s="147">
        <v>298835.98105199996</v>
      </c>
    </row>
    <row r="812" spans="23:29">
      <c r="W812" s="111">
        <v>792</v>
      </c>
      <c r="X812" s="112">
        <v>7300</v>
      </c>
      <c r="Y812" s="113">
        <v>166235</v>
      </c>
      <c r="Z812" s="113">
        <v>173535</v>
      </c>
      <c r="AA812" s="112">
        <v>17354</v>
      </c>
      <c r="AB812" s="112">
        <v>6420</v>
      </c>
      <c r="AC812" s="147">
        <v>299315.36502000003</v>
      </c>
    </row>
    <row r="813" spans="23:29">
      <c r="W813" s="111">
        <v>793</v>
      </c>
      <c r="X813" s="112">
        <v>7300</v>
      </c>
      <c r="Y813" s="113">
        <v>166515</v>
      </c>
      <c r="Z813" s="113">
        <v>173815</v>
      </c>
      <c r="AA813" s="112">
        <v>17382</v>
      </c>
      <c r="AB813" s="112">
        <v>6430</v>
      </c>
      <c r="AC813" s="147">
        <v>299794.74898799998</v>
      </c>
    </row>
    <row r="814" spans="23:29">
      <c r="W814" s="111">
        <v>794</v>
      </c>
      <c r="X814" s="112">
        <v>7300</v>
      </c>
      <c r="Y814" s="113">
        <v>166796</v>
      </c>
      <c r="Z814" s="113">
        <v>174096</v>
      </c>
      <c r="AA814" s="112">
        <v>17410</v>
      </c>
      <c r="AB814" s="112">
        <v>6440</v>
      </c>
      <c r="AC814" s="147">
        <v>300274.13295599999</v>
      </c>
    </row>
    <row r="815" spans="23:29">
      <c r="W815" s="111">
        <v>795</v>
      </c>
      <c r="X815" s="112">
        <v>7300</v>
      </c>
      <c r="Y815" s="113">
        <v>167077</v>
      </c>
      <c r="Z815" s="113">
        <v>174377</v>
      </c>
      <c r="AA815" s="112">
        <v>17438</v>
      </c>
      <c r="AB815" s="112">
        <v>6450</v>
      </c>
      <c r="AC815" s="147">
        <v>300753.516924</v>
      </c>
    </row>
    <row r="816" spans="23:29">
      <c r="W816" s="111">
        <v>796</v>
      </c>
      <c r="X816" s="112">
        <v>7300</v>
      </c>
      <c r="Y816" s="113">
        <v>167357</v>
      </c>
      <c r="Z816" s="113">
        <v>174657</v>
      </c>
      <c r="AA816" s="112">
        <v>17466</v>
      </c>
      <c r="AB816" s="112">
        <v>6460</v>
      </c>
      <c r="AC816" s="147">
        <v>301232.90089200001</v>
      </c>
    </row>
    <row r="817" spans="23:29">
      <c r="W817" s="111">
        <v>797</v>
      </c>
      <c r="X817" s="112">
        <v>7300</v>
      </c>
      <c r="Y817" s="113">
        <v>167638</v>
      </c>
      <c r="Z817" s="113">
        <v>174938</v>
      </c>
      <c r="AA817" s="112">
        <v>17494</v>
      </c>
      <c r="AB817" s="112">
        <v>6470</v>
      </c>
      <c r="AC817" s="147">
        <v>301712.28486000001</v>
      </c>
    </row>
    <row r="818" spans="23:29">
      <c r="W818" s="111">
        <v>798</v>
      </c>
      <c r="X818" s="112">
        <v>7300</v>
      </c>
      <c r="Y818" s="113">
        <v>167918</v>
      </c>
      <c r="Z818" s="113">
        <v>175218</v>
      </c>
      <c r="AA818" s="112">
        <v>17522</v>
      </c>
      <c r="AB818" s="112">
        <v>6480</v>
      </c>
      <c r="AC818" s="147">
        <v>302191.66882800002</v>
      </c>
    </row>
    <row r="819" spans="23:29">
      <c r="W819" s="111">
        <v>799</v>
      </c>
      <c r="X819" s="112">
        <v>7300</v>
      </c>
      <c r="Y819" s="113">
        <v>168199</v>
      </c>
      <c r="Z819" s="113">
        <v>175499</v>
      </c>
      <c r="AA819" s="112">
        <v>17550</v>
      </c>
      <c r="AB819" s="112">
        <v>6490</v>
      </c>
      <c r="AC819" s="147">
        <v>302656.07204699999</v>
      </c>
    </row>
    <row r="820" spans="23:29">
      <c r="W820" s="111">
        <v>800</v>
      </c>
      <c r="X820" s="112">
        <v>7300</v>
      </c>
      <c r="Y820" s="113">
        <v>168480</v>
      </c>
      <c r="Z820" s="113">
        <v>175780</v>
      </c>
      <c r="AA820" s="112">
        <v>17578</v>
      </c>
      <c r="AB820" s="112">
        <v>6500</v>
      </c>
      <c r="AC820" s="147">
        <v>303135.456015</v>
      </c>
    </row>
    <row r="821" spans="23:29">
      <c r="W821" s="111">
        <v>801</v>
      </c>
      <c r="X821" s="112">
        <v>7300</v>
      </c>
      <c r="Y821" s="113">
        <v>168760</v>
      </c>
      <c r="Z821" s="113">
        <v>176060</v>
      </c>
      <c r="AA821" s="112">
        <v>17606</v>
      </c>
      <c r="AB821" s="112">
        <v>6510</v>
      </c>
      <c r="AC821" s="147">
        <v>303614.83998299995</v>
      </c>
    </row>
    <row r="822" spans="23:29">
      <c r="W822" s="111">
        <v>802</v>
      </c>
      <c r="X822" s="112">
        <v>7300</v>
      </c>
      <c r="Y822" s="113">
        <v>169041</v>
      </c>
      <c r="Z822" s="113">
        <v>176341</v>
      </c>
      <c r="AA822" s="112">
        <v>17634</v>
      </c>
      <c r="AB822" s="112">
        <v>6520</v>
      </c>
      <c r="AC822" s="147">
        <v>304094.22395099996</v>
      </c>
    </row>
    <row r="823" spans="23:29">
      <c r="W823" s="111">
        <v>803</v>
      </c>
      <c r="X823" s="112">
        <v>7300</v>
      </c>
      <c r="Y823" s="113">
        <v>169321</v>
      </c>
      <c r="Z823" s="113">
        <v>176621</v>
      </c>
      <c r="AA823" s="112">
        <v>17662</v>
      </c>
      <c r="AB823" s="112">
        <v>6530</v>
      </c>
      <c r="AC823" s="147">
        <v>304573.60791899997</v>
      </c>
    </row>
    <row r="824" spans="23:29">
      <c r="W824" s="111">
        <v>804</v>
      </c>
      <c r="X824" s="112">
        <v>7300</v>
      </c>
      <c r="Y824" s="113">
        <v>169602</v>
      </c>
      <c r="Z824" s="113">
        <v>176902</v>
      </c>
      <c r="AA824" s="112">
        <v>17690</v>
      </c>
      <c r="AB824" s="112">
        <v>6540</v>
      </c>
      <c r="AC824" s="147">
        <v>305052.99188699998</v>
      </c>
    </row>
    <row r="825" spans="23:29">
      <c r="W825" s="111">
        <v>805</v>
      </c>
      <c r="X825" s="112">
        <v>7300</v>
      </c>
      <c r="Y825" s="113">
        <v>169883</v>
      </c>
      <c r="Z825" s="113">
        <v>177183</v>
      </c>
      <c r="AA825" s="112">
        <v>17718</v>
      </c>
      <c r="AB825" s="112">
        <v>6550</v>
      </c>
      <c r="AC825" s="147">
        <v>305532.37585499999</v>
      </c>
    </row>
    <row r="826" spans="23:29">
      <c r="W826" s="111">
        <v>806</v>
      </c>
      <c r="X826" s="112">
        <v>7300</v>
      </c>
      <c r="Y826" s="113">
        <v>170163</v>
      </c>
      <c r="Z826" s="113">
        <v>177463</v>
      </c>
      <c r="AA826" s="112">
        <v>17746</v>
      </c>
      <c r="AB826" s="112">
        <v>6560</v>
      </c>
      <c r="AC826" s="147">
        <v>305996.77907399996</v>
      </c>
    </row>
    <row r="827" spans="23:29">
      <c r="W827" s="111">
        <v>807</v>
      </c>
      <c r="X827" s="112">
        <v>7300</v>
      </c>
      <c r="Y827" s="113">
        <v>170444</v>
      </c>
      <c r="Z827" s="113">
        <v>177744</v>
      </c>
      <c r="AA827" s="112">
        <v>17774</v>
      </c>
      <c r="AB827" s="112">
        <v>6570</v>
      </c>
      <c r="AC827" s="147">
        <v>306476.16304200003</v>
      </c>
    </row>
    <row r="828" spans="23:29">
      <c r="W828" s="111">
        <v>808</v>
      </c>
      <c r="X828" s="112">
        <v>7300</v>
      </c>
      <c r="Y828" s="113">
        <v>170724</v>
      </c>
      <c r="Z828" s="113">
        <v>178024</v>
      </c>
      <c r="AA828" s="112">
        <v>17802</v>
      </c>
      <c r="AB828" s="112">
        <v>6580</v>
      </c>
      <c r="AC828" s="147">
        <v>306955.54700999998</v>
      </c>
    </row>
    <row r="829" spans="23:29">
      <c r="W829" s="111">
        <v>809</v>
      </c>
      <c r="X829" s="112">
        <v>7300</v>
      </c>
      <c r="Y829" s="113">
        <v>171005</v>
      </c>
      <c r="Z829" s="113">
        <v>178305</v>
      </c>
      <c r="AA829" s="112">
        <v>17831</v>
      </c>
      <c r="AB829" s="112">
        <v>6590</v>
      </c>
      <c r="AC829" s="147">
        <v>307434.93097799999</v>
      </c>
    </row>
    <row r="830" spans="23:29">
      <c r="W830" s="111">
        <v>810</v>
      </c>
      <c r="X830" s="112">
        <v>7300</v>
      </c>
      <c r="Y830" s="113">
        <v>171286</v>
      </c>
      <c r="Z830" s="113">
        <v>178586</v>
      </c>
      <c r="AA830" s="112">
        <v>17859</v>
      </c>
      <c r="AB830" s="112">
        <v>6600</v>
      </c>
      <c r="AC830" s="147">
        <v>307914.314946</v>
      </c>
    </row>
    <row r="831" spans="23:29">
      <c r="W831" s="111">
        <v>811</v>
      </c>
      <c r="X831" s="112">
        <v>7300</v>
      </c>
      <c r="Y831" s="113">
        <v>171566</v>
      </c>
      <c r="Z831" s="113">
        <v>178866</v>
      </c>
      <c r="AA831" s="112">
        <v>17887</v>
      </c>
      <c r="AB831" s="112">
        <v>6610</v>
      </c>
      <c r="AC831" s="147">
        <v>308393.69891400001</v>
      </c>
    </row>
    <row r="832" spans="23:29">
      <c r="W832" s="111">
        <v>812</v>
      </c>
      <c r="X832" s="112">
        <v>7300</v>
      </c>
      <c r="Y832" s="113">
        <v>171847</v>
      </c>
      <c r="Z832" s="113">
        <v>179147</v>
      </c>
      <c r="AA832" s="112">
        <v>17915</v>
      </c>
      <c r="AB832" s="112">
        <v>6620</v>
      </c>
      <c r="AC832" s="147">
        <v>308873.08288200002</v>
      </c>
    </row>
    <row r="833" spans="23:29">
      <c r="W833" s="111">
        <v>813</v>
      </c>
      <c r="X833" s="112">
        <v>7300</v>
      </c>
      <c r="Y833" s="113">
        <v>172127</v>
      </c>
      <c r="Z833" s="113">
        <v>179427</v>
      </c>
      <c r="AA833" s="112">
        <v>17943</v>
      </c>
      <c r="AB833" s="112">
        <v>6630</v>
      </c>
      <c r="AC833" s="147">
        <v>309352.46685000003</v>
      </c>
    </row>
    <row r="834" spans="23:29">
      <c r="W834" s="111">
        <v>814</v>
      </c>
      <c r="X834" s="112">
        <v>7300</v>
      </c>
      <c r="Y834" s="113">
        <v>172408</v>
      </c>
      <c r="Z834" s="113">
        <v>179708</v>
      </c>
      <c r="AA834" s="112">
        <v>17971</v>
      </c>
      <c r="AB834" s="112">
        <v>6640</v>
      </c>
      <c r="AC834" s="147">
        <v>309816.870069</v>
      </c>
    </row>
    <row r="835" spans="23:29">
      <c r="W835" s="111">
        <v>815</v>
      </c>
      <c r="X835" s="112">
        <v>7300</v>
      </c>
      <c r="Y835" s="113">
        <v>172689</v>
      </c>
      <c r="Z835" s="113">
        <v>179989</v>
      </c>
      <c r="AA835" s="112">
        <v>17999</v>
      </c>
      <c r="AB835" s="112">
        <v>6650</v>
      </c>
      <c r="AC835" s="147">
        <v>310296.25403700001</v>
      </c>
    </row>
    <row r="836" spans="23:29">
      <c r="W836" s="111">
        <v>816</v>
      </c>
      <c r="X836" s="112">
        <v>7300</v>
      </c>
      <c r="Y836" s="113">
        <v>172969</v>
      </c>
      <c r="Z836" s="113">
        <v>180269</v>
      </c>
      <c r="AA836" s="112">
        <v>18027</v>
      </c>
      <c r="AB836" s="112">
        <v>6660</v>
      </c>
      <c r="AC836" s="147">
        <v>310775.63800500002</v>
      </c>
    </row>
    <row r="837" spans="23:29">
      <c r="W837" s="111">
        <v>817</v>
      </c>
      <c r="X837" s="112">
        <v>7300</v>
      </c>
      <c r="Y837" s="113">
        <v>173250</v>
      </c>
      <c r="Z837" s="113">
        <v>180550</v>
      </c>
      <c r="AA837" s="112">
        <v>18055</v>
      </c>
      <c r="AB837" s="112">
        <v>6680</v>
      </c>
      <c r="AC837" s="147">
        <v>311270.002722</v>
      </c>
    </row>
    <row r="838" spans="23:29">
      <c r="W838" s="111">
        <v>818</v>
      </c>
      <c r="X838" s="112">
        <v>7300</v>
      </c>
      <c r="Y838" s="113">
        <v>173530</v>
      </c>
      <c r="Z838" s="113">
        <v>180830</v>
      </c>
      <c r="AA838" s="112">
        <v>18083</v>
      </c>
      <c r="AB838" s="112">
        <v>6690</v>
      </c>
      <c r="AC838" s="147">
        <v>311749.38668999996</v>
      </c>
    </row>
    <row r="839" spans="23:29">
      <c r="W839" s="111">
        <v>819</v>
      </c>
      <c r="X839" s="112">
        <v>7300</v>
      </c>
      <c r="Y839" s="113">
        <v>173811</v>
      </c>
      <c r="Z839" s="113">
        <v>181111</v>
      </c>
      <c r="AA839" s="112">
        <v>18111</v>
      </c>
      <c r="AB839" s="112">
        <v>6700</v>
      </c>
      <c r="AC839" s="147">
        <v>312228.77065800002</v>
      </c>
    </row>
    <row r="840" spans="23:29">
      <c r="W840" s="111">
        <v>820</v>
      </c>
      <c r="X840" s="112">
        <v>7300</v>
      </c>
      <c r="Y840" s="113">
        <v>174092</v>
      </c>
      <c r="Z840" s="113">
        <v>181392</v>
      </c>
      <c r="AA840" s="112">
        <v>18139</v>
      </c>
      <c r="AB840" s="112">
        <v>6710</v>
      </c>
      <c r="AC840" s="147">
        <v>312708.15462599997</v>
      </c>
    </row>
    <row r="841" spans="23:29">
      <c r="W841" s="111">
        <v>821</v>
      </c>
      <c r="X841" s="112">
        <v>7300</v>
      </c>
      <c r="Y841" s="113">
        <v>174372</v>
      </c>
      <c r="Z841" s="113">
        <v>181672</v>
      </c>
      <c r="AA841" s="112">
        <v>18167</v>
      </c>
      <c r="AB841" s="112">
        <v>6720</v>
      </c>
      <c r="AC841" s="147">
        <v>313172.55784500006</v>
      </c>
    </row>
    <row r="842" spans="23:29">
      <c r="W842" s="111">
        <v>822</v>
      </c>
      <c r="X842" s="112">
        <v>7300</v>
      </c>
      <c r="Y842" s="113">
        <v>174653</v>
      </c>
      <c r="Z842" s="113">
        <v>181953</v>
      </c>
      <c r="AA842" s="112">
        <v>18195</v>
      </c>
      <c r="AB842" s="112">
        <v>6730</v>
      </c>
      <c r="AC842" s="147">
        <v>313651.94181299995</v>
      </c>
    </row>
    <row r="843" spans="23:29">
      <c r="W843" s="111">
        <v>823</v>
      </c>
      <c r="X843" s="112">
        <v>7300</v>
      </c>
      <c r="Y843" s="113">
        <v>174933</v>
      </c>
      <c r="Z843" s="113">
        <v>182233</v>
      </c>
      <c r="AA843" s="112">
        <v>18223</v>
      </c>
      <c r="AB843" s="112">
        <v>6740</v>
      </c>
      <c r="AC843" s="147">
        <v>314131.32578099996</v>
      </c>
    </row>
    <row r="844" spans="23:29">
      <c r="W844" s="111">
        <v>824</v>
      </c>
      <c r="X844" s="112">
        <v>7300</v>
      </c>
      <c r="Y844" s="113">
        <v>175214</v>
      </c>
      <c r="Z844" s="113">
        <v>182514</v>
      </c>
      <c r="AA844" s="112">
        <v>18251</v>
      </c>
      <c r="AB844" s="112">
        <v>6750</v>
      </c>
      <c r="AC844" s="147">
        <v>314610.70974899997</v>
      </c>
    </row>
    <row r="845" spans="23:29">
      <c r="W845" s="111">
        <v>825</v>
      </c>
      <c r="X845" s="112">
        <v>7300</v>
      </c>
      <c r="Y845" s="113">
        <v>175495</v>
      </c>
      <c r="Z845" s="113">
        <v>182795</v>
      </c>
      <c r="AA845" s="112">
        <v>18280</v>
      </c>
      <c r="AB845" s="112">
        <v>6760</v>
      </c>
      <c r="AC845" s="147">
        <v>315090.09371699998</v>
      </c>
    </row>
    <row r="846" spans="23:29">
      <c r="W846" s="111">
        <v>826</v>
      </c>
      <c r="X846" s="112">
        <v>7300</v>
      </c>
      <c r="Y846" s="113">
        <v>175775</v>
      </c>
      <c r="Z846" s="113">
        <v>183075</v>
      </c>
      <c r="AA846" s="112">
        <v>18308</v>
      </c>
      <c r="AB846" s="112">
        <v>6770</v>
      </c>
      <c r="AC846" s="147">
        <v>315569.47768499999</v>
      </c>
    </row>
    <row r="847" spans="23:29">
      <c r="W847" s="111">
        <v>827</v>
      </c>
      <c r="X847" s="112">
        <v>7300</v>
      </c>
      <c r="Y847" s="113">
        <v>176056</v>
      </c>
      <c r="Z847" s="113">
        <v>183356</v>
      </c>
      <c r="AA847" s="112">
        <v>18336</v>
      </c>
      <c r="AB847" s="112">
        <v>6780</v>
      </c>
      <c r="AC847" s="147">
        <v>316048.861653</v>
      </c>
    </row>
    <row r="848" spans="23:29">
      <c r="W848" s="111">
        <v>828</v>
      </c>
      <c r="X848" s="112">
        <v>7300</v>
      </c>
      <c r="Y848" s="113">
        <v>176336</v>
      </c>
      <c r="Z848" s="113">
        <v>183636</v>
      </c>
      <c r="AA848" s="112">
        <v>18364</v>
      </c>
      <c r="AB848" s="112">
        <v>6790</v>
      </c>
      <c r="AC848" s="147">
        <v>316528.24562100001</v>
      </c>
    </row>
    <row r="849" spans="23:29">
      <c r="W849" s="111">
        <v>829</v>
      </c>
      <c r="X849" s="112">
        <v>7300</v>
      </c>
      <c r="Y849" s="113">
        <v>176617</v>
      </c>
      <c r="Z849" s="113">
        <v>183917</v>
      </c>
      <c r="AA849" s="112">
        <v>18392</v>
      </c>
      <c r="AB849" s="112">
        <v>6800</v>
      </c>
      <c r="AC849" s="147">
        <v>316992.64883999998</v>
      </c>
    </row>
    <row r="850" spans="23:29">
      <c r="W850" s="111">
        <v>830</v>
      </c>
      <c r="X850" s="112">
        <v>7300</v>
      </c>
      <c r="Y850" s="113">
        <v>176898</v>
      </c>
      <c r="Z850" s="113">
        <v>184198</v>
      </c>
      <c r="AA850" s="112">
        <v>18420</v>
      </c>
      <c r="AB850" s="112">
        <v>6810</v>
      </c>
      <c r="AC850" s="147">
        <v>317472.03280799999</v>
      </c>
    </row>
    <row r="851" spans="23:29">
      <c r="W851" s="111">
        <v>831</v>
      </c>
      <c r="X851" s="112">
        <v>7300</v>
      </c>
      <c r="Y851" s="113">
        <v>177178</v>
      </c>
      <c r="Z851" s="113">
        <v>184478</v>
      </c>
      <c r="AA851" s="112">
        <v>18448</v>
      </c>
      <c r="AB851" s="112">
        <v>6820</v>
      </c>
      <c r="AC851" s="147">
        <v>317951.41677599994</v>
      </c>
    </row>
    <row r="852" spans="23:29">
      <c r="W852" s="111">
        <v>832</v>
      </c>
      <c r="X852" s="112">
        <v>7300</v>
      </c>
      <c r="Y852" s="113">
        <v>177459</v>
      </c>
      <c r="Z852" s="113">
        <v>184759</v>
      </c>
      <c r="AA852" s="112">
        <v>18476</v>
      </c>
      <c r="AB852" s="112">
        <v>6830</v>
      </c>
      <c r="AC852" s="147">
        <v>318430.80074400001</v>
      </c>
    </row>
    <row r="853" spans="23:29">
      <c r="W853" s="111">
        <v>833</v>
      </c>
      <c r="X853" s="112">
        <v>7300</v>
      </c>
      <c r="Y853" s="113">
        <v>177739</v>
      </c>
      <c r="Z853" s="113">
        <v>185039</v>
      </c>
      <c r="AA853" s="112">
        <v>18504</v>
      </c>
      <c r="AB853" s="112">
        <v>6840</v>
      </c>
      <c r="AC853" s="147">
        <v>318910.18471199996</v>
      </c>
    </row>
    <row r="854" spans="23:29">
      <c r="W854" s="111">
        <v>834</v>
      </c>
      <c r="X854" s="112">
        <v>7300</v>
      </c>
      <c r="Y854" s="113">
        <v>178020</v>
      </c>
      <c r="Z854" s="113">
        <v>185320</v>
      </c>
      <c r="AA854" s="112">
        <v>18532</v>
      </c>
      <c r="AB854" s="112">
        <v>6850</v>
      </c>
      <c r="AC854" s="147">
        <v>319389.56868000003</v>
      </c>
    </row>
    <row r="855" spans="23:29">
      <c r="W855" s="111">
        <v>835</v>
      </c>
      <c r="X855" s="112">
        <v>7300</v>
      </c>
      <c r="Y855" s="113">
        <v>178301</v>
      </c>
      <c r="Z855" s="113">
        <v>185601</v>
      </c>
      <c r="AA855" s="112">
        <v>18560</v>
      </c>
      <c r="AB855" s="112">
        <v>6860</v>
      </c>
      <c r="AC855" s="147">
        <v>319868.95264799998</v>
      </c>
    </row>
    <row r="856" spans="23:29">
      <c r="W856" s="111">
        <v>836</v>
      </c>
      <c r="X856" s="112">
        <v>7300</v>
      </c>
      <c r="Y856" s="113">
        <v>178581</v>
      </c>
      <c r="Z856" s="113">
        <v>185881</v>
      </c>
      <c r="AA856" s="112">
        <v>18588</v>
      </c>
      <c r="AB856" s="112">
        <v>6870</v>
      </c>
      <c r="AC856" s="147">
        <v>320333.35586700001</v>
      </c>
    </row>
    <row r="857" spans="23:29">
      <c r="W857" s="111">
        <v>837</v>
      </c>
      <c r="X857" s="112">
        <v>7300</v>
      </c>
      <c r="Y857" s="113">
        <v>178862</v>
      </c>
      <c r="Z857" s="113">
        <v>186162</v>
      </c>
      <c r="AA857" s="112">
        <v>18616</v>
      </c>
      <c r="AB857" s="112">
        <v>6880</v>
      </c>
      <c r="AC857" s="147">
        <v>320812.73983500001</v>
      </c>
    </row>
    <row r="858" spans="23:29">
      <c r="W858" s="111">
        <v>838</v>
      </c>
      <c r="X858" s="112">
        <v>7300</v>
      </c>
      <c r="Y858" s="113">
        <v>179142</v>
      </c>
      <c r="Z858" s="113">
        <v>186442</v>
      </c>
      <c r="AA858" s="112">
        <v>18644</v>
      </c>
      <c r="AB858" s="112">
        <v>6890</v>
      </c>
      <c r="AC858" s="147">
        <v>321292.12380299997</v>
      </c>
    </row>
    <row r="859" spans="23:29">
      <c r="W859" s="111">
        <v>839</v>
      </c>
      <c r="X859" s="112">
        <v>7300</v>
      </c>
      <c r="Y859" s="113">
        <v>179423</v>
      </c>
      <c r="Z859" s="113">
        <v>186723</v>
      </c>
      <c r="AA859" s="112">
        <v>18672</v>
      </c>
      <c r="AB859" s="112">
        <v>6900</v>
      </c>
      <c r="AC859" s="147">
        <v>321771.50777099998</v>
      </c>
    </row>
    <row r="860" spans="23:29">
      <c r="W860" s="111">
        <v>840</v>
      </c>
      <c r="X860" s="112">
        <v>7300</v>
      </c>
      <c r="Y860" s="113">
        <v>179704</v>
      </c>
      <c r="Z860" s="113">
        <v>187004</v>
      </c>
      <c r="AA860" s="112">
        <v>18700</v>
      </c>
      <c r="AB860" s="112">
        <v>6910</v>
      </c>
      <c r="AC860" s="147">
        <v>322250.89173899998</v>
      </c>
    </row>
    <row r="861" spans="23:29">
      <c r="W861" s="111">
        <v>841</v>
      </c>
      <c r="X861" s="112">
        <v>7300</v>
      </c>
      <c r="Y861" s="113">
        <v>179984</v>
      </c>
      <c r="Z861" s="113">
        <v>187284</v>
      </c>
      <c r="AA861" s="112">
        <v>18728</v>
      </c>
      <c r="AB861" s="112">
        <v>6920</v>
      </c>
      <c r="AC861" s="147">
        <v>322730.27570699999</v>
      </c>
    </row>
    <row r="862" spans="23:29">
      <c r="W862" s="111">
        <v>842</v>
      </c>
      <c r="X862" s="112">
        <v>7300</v>
      </c>
      <c r="Y862" s="113">
        <v>180265</v>
      </c>
      <c r="Z862" s="113">
        <v>187565</v>
      </c>
      <c r="AA862" s="112">
        <v>18757</v>
      </c>
      <c r="AB862" s="112">
        <v>6930</v>
      </c>
      <c r="AC862" s="147">
        <v>323209.659675</v>
      </c>
    </row>
    <row r="863" spans="23:29">
      <c r="W863" s="111">
        <v>843</v>
      </c>
      <c r="X863" s="112">
        <v>7300</v>
      </c>
      <c r="Y863" s="113">
        <v>180545</v>
      </c>
      <c r="Z863" s="113">
        <v>187845</v>
      </c>
      <c r="AA863" s="112">
        <v>18785</v>
      </c>
      <c r="AB863" s="112">
        <v>6950</v>
      </c>
      <c r="AC863" s="147">
        <v>323704.02439199999</v>
      </c>
    </row>
    <row r="864" spans="23:29">
      <c r="W864" s="111">
        <v>844</v>
      </c>
      <c r="X864" s="112">
        <v>7300</v>
      </c>
      <c r="Y864" s="113">
        <v>180826</v>
      </c>
      <c r="Z864" s="113">
        <v>188126</v>
      </c>
      <c r="AA864" s="112">
        <v>18813</v>
      </c>
      <c r="AB864" s="112">
        <v>6960</v>
      </c>
      <c r="AC864" s="147">
        <v>324168.42761099996</v>
      </c>
    </row>
    <row r="865" spans="23:29">
      <c r="W865" s="111">
        <v>845</v>
      </c>
      <c r="X865" s="112">
        <v>7300</v>
      </c>
      <c r="Y865" s="113">
        <v>181107</v>
      </c>
      <c r="Z865" s="113">
        <v>188407</v>
      </c>
      <c r="AA865" s="112">
        <v>18841</v>
      </c>
      <c r="AB865" s="112">
        <v>6970</v>
      </c>
      <c r="AC865" s="147">
        <v>324647.81157900003</v>
      </c>
    </row>
    <row r="866" spans="23:29">
      <c r="W866" s="111">
        <v>846</v>
      </c>
      <c r="X866" s="112">
        <v>7300</v>
      </c>
      <c r="Y866" s="113">
        <v>181387</v>
      </c>
      <c r="Z866" s="113">
        <v>188687</v>
      </c>
      <c r="AA866" s="112">
        <v>18869</v>
      </c>
      <c r="AB866" s="112">
        <v>6980</v>
      </c>
      <c r="AC866" s="147">
        <v>325127.19554699998</v>
      </c>
    </row>
    <row r="867" spans="23:29">
      <c r="W867" s="111">
        <v>847</v>
      </c>
      <c r="X867" s="112">
        <v>7300</v>
      </c>
      <c r="Y867" s="113">
        <v>181668</v>
      </c>
      <c r="Z867" s="113">
        <v>188968</v>
      </c>
      <c r="AA867" s="112">
        <v>18897</v>
      </c>
      <c r="AB867" s="112">
        <v>6990</v>
      </c>
      <c r="AC867" s="147">
        <v>325606.57951500005</v>
      </c>
    </row>
    <row r="868" spans="23:29">
      <c r="W868" s="111">
        <v>848</v>
      </c>
      <c r="X868" s="112">
        <v>7300</v>
      </c>
      <c r="Y868" s="113">
        <v>181948</v>
      </c>
      <c r="Z868" s="113">
        <v>189248</v>
      </c>
      <c r="AA868" s="112">
        <v>18925</v>
      </c>
      <c r="AB868" s="112">
        <v>7000</v>
      </c>
      <c r="AC868" s="147">
        <v>326085.96348299994</v>
      </c>
    </row>
    <row r="869" spans="23:29">
      <c r="W869" s="111">
        <v>849</v>
      </c>
      <c r="X869" s="112">
        <v>7300</v>
      </c>
      <c r="Y869" s="113">
        <v>182229</v>
      </c>
      <c r="Z869" s="113">
        <v>189529</v>
      </c>
      <c r="AA869" s="112">
        <v>18953</v>
      </c>
      <c r="AB869" s="112">
        <v>7010</v>
      </c>
      <c r="AC869" s="147">
        <v>326565.34745100001</v>
      </c>
    </row>
    <row r="870" spans="23:29">
      <c r="W870" s="111">
        <v>850</v>
      </c>
      <c r="X870" s="112">
        <v>7300</v>
      </c>
      <c r="Y870" s="113">
        <v>182510</v>
      </c>
      <c r="Z870" s="113">
        <v>189810</v>
      </c>
      <c r="AA870" s="112">
        <v>18981</v>
      </c>
      <c r="AB870" s="112">
        <v>7020</v>
      </c>
      <c r="AC870" s="147">
        <v>327044.73141899996</v>
      </c>
    </row>
    <row r="871" spans="23:29">
      <c r="W871" s="111">
        <v>851</v>
      </c>
      <c r="X871" s="112">
        <v>7300</v>
      </c>
      <c r="Y871" s="113">
        <v>182790</v>
      </c>
      <c r="Z871" s="113">
        <v>190090</v>
      </c>
      <c r="AA871" s="112">
        <v>19009</v>
      </c>
      <c r="AB871" s="112">
        <v>7030</v>
      </c>
      <c r="AC871" s="147">
        <v>327509.13463799993</v>
      </c>
    </row>
    <row r="872" spans="23:29">
      <c r="W872" s="111">
        <v>852</v>
      </c>
      <c r="X872" s="112">
        <v>7300</v>
      </c>
      <c r="Y872" s="113">
        <v>183071</v>
      </c>
      <c r="Z872" s="113">
        <v>190371</v>
      </c>
      <c r="AA872" s="112">
        <v>19037</v>
      </c>
      <c r="AB872" s="112">
        <v>7040</v>
      </c>
      <c r="AC872" s="147">
        <v>327988.51860599994</v>
      </c>
    </row>
    <row r="873" spans="23:29">
      <c r="W873" s="111">
        <v>853</v>
      </c>
      <c r="X873" s="112">
        <v>7300</v>
      </c>
      <c r="Y873" s="113">
        <v>183351</v>
      </c>
      <c r="Z873" s="113">
        <v>190651</v>
      </c>
      <c r="AA873" s="112">
        <v>19065</v>
      </c>
      <c r="AB873" s="112">
        <v>7050</v>
      </c>
      <c r="AC873" s="147">
        <v>328467.90257399995</v>
      </c>
    </row>
    <row r="874" spans="23:29">
      <c r="W874" s="111">
        <v>854</v>
      </c>
      <c r="X874" s="112">
        <v>7300</v>
      </c>
      <c r="Y874" s="113">
        <v>183632</v>
      </c>
      <c r="Z874" s="113">
        <v>190932</v>
      </c>
      <c r="AA874" s="112">
        <v>19093</v>
      </c>
      <c r="AB874" s="112">
        <v>7060</v>
      </c>
      <c r="AC874" s="147">
        <v>328947.28654199996</v>
      </c>
    </row>
    <row r="875" spans="23:29">
      <c r="W875" s="111">
        <v>855</v>
      </c>
      <c r="X875" s="112">
        <v>7300</v>
      </c>
      <c r="Y875" s="113">
        <v>183913</v>
      </c>
      <c r="Z875" s="113">
        <v>191213</v>
      </c>
      <c r="AA875" s="112">
        <v>19121</v>
      </c>
      <c r="AB875" s="112">
        <v>7070</v>
      </c>
      <c r="AC875" s="147">
        <v>329426.67050999997</v>
      </c>
    </row>
    <row r="876" spans="23:29">
      <c r="W876" s="111">
        <v>856</v>
      </c>
      <c r="X876" s="112">
        <v>7300</v>
      </c>
      <c r="Y876" s="113">
        <v>184193</v>
      </c>
      <c r="Z876" s="113">
        <v>191493</v>
      </c>
      <c r="AA876" s="112">
        <v>19149</v>
      </c>
      <c r="AB876" s="112">
        <v>7080</v>
      </c>
      <c r="AC876" s="147">
        <v>329906.05447799998</v>
      </c>
    </row>
    <row r="877" spans="23:29">
      <c r="W877" s="111">
        <v>857</v>
      </c>
      <c r="X877" s="112">
        <v>7300</v>
      </c>
      <c r="Y877" s="113">
        <v>184474</v>
      </c>
      <c r="Z877" s="113">
        <v>191774</v>
      </c>
      <c r="AA877" s="112">
        <v>19177</v>
      </c>
      <c r="AB877" s="112">
        <v>7090</v>
      </c>
      <c r="AC877" s="147">
        <v>330385.43844599999</v>
      </c>
    </row>
    <row r="878" spans="23:29">
      <c r="W878" s="111">
        <v>858</v>
      </c>
      <c r="X878" s="112">
        <v>7300</v>
      </c>
      <c r="Y878" s="113">
        <v>184754</v>
      </c>
      <c r="Z878" s="113">
        <v>192054</v>
      </c>
      <c r="AA878" s="112">
        <v>19205</v>
      </c>
      <c r="AB878" s="112">
        <v>7100</v>
      </c>
      <c r="AC878" s="147">
        <v>330849.84166500001</v>
      </c>
    </row>
    <row r="879" spans="23:29">
      <c r="W879" s="111">
        <v>859</v>
      </c>
      <c r="X879" s="112">
        <v>7300</v>
      </c>
      <c r="Y879" s="113">
        <v>185035</v>
      </c>
      <c r="Z879" s="113">
        <v>192335</v>
      </c>
      <c r="AA879" s="112">
        <v>19234</v>
      </c>
      <c r="AB879" s="112">
        <v>7110</v>
      </c>
      <c r="AC879" s="147">
        <v>331329.22563299997</v>
      </c>
    </row>
    <row r="880" spans="23:29">
      <c r="W880" s="111">
        <v>860</v>
      </c>
      <c r="X880" s="112">
        <v>7300</v>
      </c>
      <c r="Y880" s="113">
        <v>185316</v>
      </c>
      <c r="Z880" s="113">
        <v>192616</v>
      </c>
      <c r="AA880" s="112">
        <v>19262</v>
      </c>
      <c r="AB880" s="112">
        <v>7120</v>
      </c>
      <c r="AC880" s="147">
        <v>331808.60960099997</v>
      </c>
    </row>
    <row r="881" spans="23:29">
      <c r="W881" s="111">
        <v>861</v>
      </c>
      <c r="X881" s="112">
        <v>7300</v>
      </c>
      <c r="Y881" s="113">
        <v>185596</v>
      </c>
      <c r="Z881" s="113">
        <v>192896</v>
      </c>
      <c r="AA881" s="112">
        <v>19290</v>
      </c>
      <c r="AB881" s="112">
        <v>7130</v>
      </c>
      <c r="AC881" s="147">
        <v>332287.99356899998</v>
      </c>
    </row>
    <row r="882" spans="23:29">
      <c r="W882" s="111">
        <v>862</v>
      </c>
      <c r="X882" s="112">
        <v>7300</v>
      </c>
      <c r="Y882" s="113">
        <v>185877</v>
      </c>
      <c r="Z882" s="113">
        <v>193177</v>
      </c>
      <c r="AA882" s="112">
        <v>19318</v>
      </c>
      <c r="AB882" s="112">
        <v>7140</v>
      </c>
      <c r="AC882" s="147">
        <v>332767.37753699999</v>
      </c>
    </row>
    <row r="883" spans="23:29">
      <c r="W883" s="111">
        <v>863</v>
      </c>
      <c r="X883" s="112">
        <v>7300</v>
      </c>
      <c r="Y883" s="113">
        <v>186157</v>
      </c>
      <c r="Z883" s="113">
        <v>193457</v>
      </c>
      <c r="AA883" s="112">
        <v>19346</v>
      </c>
      <c r="AB883" s="112">
        <v>7150</v>
      </c>
      <c r="AC883" s="147">
        <v>333246.761505</v>
      </c>
    </row>
    <row r="884" spans="23:29">
      <c r="W884" s="111">
        <v>864</v>
      </c>
      <c r="X884" s="112">
        <v>7300</v>
      </c>
      <c r="Y884" s="113">
        <v>186438</v>
      </c>
      <c r="Z884" s="113">
        <v>193738</v>
      </c>
      <c r="AA884" s="112">
        <v>19374</v>
      </c>
      <c r="AB884" s="112">
        <v>7160</v>
      </c>
      <c r="AC884" s="147">
        <v>333726.14547300001</v>
      </c>
    </row>
    <row r="885" spans="23:29">
      <c r="W885" s="111">
        <v>865</v>
      </c>
      <c r="X885" s="112">
        <v>7300</v>
      </c>
      <c r="Y885" s="113">
        <v>186719</v>
      </c>
      <c r="Z885" s="113">
        <v>194019</v>
      </c>
      <c r="AA885" s="112">
        <v>19402</v>
      </c>
      <c r="AB885" s="112">
        <v>7170</v>
      </c>
      <c r="AC885" s="147">
        <v>334205.52944099996</v>
      </c>
    </row>
    <row r="886" spans="23:29">
      <c r="W886" s="111">
        <v>866</v>
      </c>
      <c r="X886" s="112">
        <v>7300</v>
      </c>
      <c r="Y886" s="113">
        <v>186999</v>
      </c>
      <c r="Z886" s="113">
        <v>194299</v>
      </c>
      <c r="AA886" s="112">
        <v>19430</v>
      </c>
      <c r="AB886" s="112">
        <v>7180</v>
      </c>
      <c r="AC886" s="147">
        <v>334669.93265999999</v>
      </c>
    </row>
    <row r="887" spans="23:29">
      <c r="W887" s="111">
        <v>867</v>
      </c>
      <c r="X887" s="112">
        <v>7300</v>
      </c>
      <c r="Y887" s="113">
        <v>187280</v>
      </c>
      <c r="Z887" s="113">
        <v>194580</v>
      </c>
      <c r="AA887" s="112">
        <v>19458</v>
      </c>
      <c r="AB887" s="112">
        <v>7190</v>
      </c>
      <c r="AC887" s="147">
        <v>335149.31662799994</v>
      </c>
    </row>
    <row r="888" spans="23:29">
      <c r="W888" s="111">
        <v>868</v>
      </c>
      <c r="X888" s="112">
        <v>7300</v>
      </c>
      <c r="Y888" s="113">
        <v>187560</v>
      </c>
      <c r="Z888" s="113">
        <v>194860</v>
      </c>
      <c r="AA888" s="112">
        <v>19486</v>
      </c>
      <c r="AB888" s="112">
        <v>7200</v>
      </c>
      <c r="AC888" s="147">
        <v>335628.70059600001</v>
      </c>
    </row>
    <row r="889" spans="23:29">
      <c r="W889" s="111">
        <v>869</v>
      </c>
      <c r="X889" s="112">
        <v>7300</v>
      </c>
      <c r="Y889" s="113">
        <v>187841</v>
      </c>
      <c r="Z889" s="113">
        <v>195141</v>
      </c>
      <c r="AA889" s="112">
        <v>19514</v>
      </c>
      <c r="AB889" s="112">
        <v>7220</v>
      </c>
      <c r="AC889" s="147">
        <v>336123.06531299994</v>
      </c>
    </row>
    <row r="890" spans="23:29">
      <c r="W890" s="111">
        <v>870</v>
      </c>
      <c r="X890" s="112">
        <v>7300</v>
      </c>
      <c r="Y890" s="113">
        <v>188122</v>
      </c>
      <c r="Z890" s="113">
        <v>195422</v>
      </c>
      <c r="AA890" s="112">
        <v>19542</v>
      </c>
      <c r="AB890" s="112">
        <v>7230</v>
      </c>
      <c r="AC890" s="147">
        <v>336602.44928100007</v>
      </c>
    </row>
    <row r="891" spans="23:29">
      <c r="W891" s="111">
        <v>871</v>
      </c>
      <c r="X891" s="112">
        <v>7300</v>
      </c>
      <c r="Y891" s="113">
        <v>188402</v>
      </c>
      <c r="Z891" s="113">
        <v>195702</v>
      </c>
      <c r="AA891" s="112">
        <v>19570</v>
      </c>
      <c r="AB891" s="112">
        <v>7240</v>
      </c>
      <c r="AC891" s="147">
        <v>337081.83324899996</v>
      </c>
    </row>
    <row r="892" spans="23:29">
      <c r="W892" s="111">
        <v>872</v>
      </c>
      <c r="X892" s="112">
        <v>7300</v>
      </c>
      <c r="Y892" s="113">
        <v>188683</v>
      </c>
      <c r="Z892" s="113">
        <v>195983</v>
      </c>
      <c r="AA892" s="112">
        <v>19598</v>
      </c>
      <c r="AB892" s="112">
        <v>7250</v>
      </c>
      <c r="AC892" s="147">
        <v>337561.21721699997</v>
      </c>
    </row>
    <row r="893" spans="23:29">
      <c r="W893" s="111">
        <v>873</v>
      </c>
      <c r="X893" s="112">
        <v>7300</v>
      </c>
      <c r="Y893" s="113">
        <v>188963</v>
      </c>
      <c r="Z893" s="113">
        <v>196263</v>
      </c>
      <c r="AA893" s="112">
        <v>19626</v>
      </c>
      <c r="AB893" s="112">
        <v>7260</v>
      </c>
      <c r="AC893" s="147">
        <v>338025.620436</v>
      </c>
    </row>
    <row r="894" spans="23:29">
      <c r="W894" s="111">
        <v>874</v>
      </c>
      <c r="X894" s="112">
        <v>7300</v>
      </c>
      <c r="Y894" s="113">
        <v>189244</v>
      </c>
      <c r="Z894" s="113">
        <v>196544</v>
      </c>
      <c r="AA894" s="112">
        <v>19654</v>
      </c>
      <c r="AB894" s="112">
        <v>7270</v>
      </c>
      <c r="AC894" s="147">
        <v>338505.00440400001</v>
      </c>
    </row>
    <row r="895" spans="23:29">
      <c r="W895" s="111">
        <v>875</v>
      </c>
      <c r="X895" s="112">
        <v>7300</v>
      </c>
      <c r="Y895" s="113">
        <v>189525</v>
      </c>
      <c r="Z895" s="113">
        <v>196825</v>
      </c>
      <c r="AA895" s="112">
        <v>19683</v>
      </c>
      <c r="AB895" s="112">
        <v>7280</v>
      </c>
      <c r="AC895" s="147">
        <v>338984.38837199996</v>
      </c>
    </row>
    <row r="896" spans="23:29">
      <c r="W896" s="111">
        <v>876</v>
      </c>
      <c r="X896" s="112">
        <v>7300</v>
      </c>
      <c r="Y896" s="113">
        <v>189805</v>
      </c>
      <c r="Z896" s="113">
        <v>197105</v>
      </c>
      <c r="AA896" s="112">
        <v>19711</v>
      </c>
      <c r="AB896" s="112">
        <v>7290</v>
      </c>
      <c r="AC896" s="147">
        <v>339463.77234000002</v>
      </c>
    </row>
    <row r="897" spans="23:29">
      <c r="W897" s="111">
        <v>877</v>
      </c>
      <c r="X897" s="112">
        <v>7300</v>
      </c>
      <c r="Y897" s="113">
        <v>190086</v>
      </c>
      <c r="Z897" s="113">
        <v>197386</v>
      </c>
      <c r="AA897" s="112">
        <v>19739</v>
      </c>
      <c r="AB897" s="112">
        <v>7300</v>
      </c>
      <c r="AC897" s="147">
        <v>339943.15630799998</v>
      </c>
    </row>
    <row r="898" spans="23:29">
      <c r="W898" s="111">
        <v>878</v>
      </c>
      <c r="X898" s="112">
        <v>7300</v>
      </c>
      <c r="Y898" s="113">
        <v>190366</v>
      </c>
      <c r="Z898" s="113">
        <v>197666</v>
      </c>
      <c r="AA898" s="112">
        <v>19767</v>
      </c>
      <c r="AB898" s="112">
        <v>7310</v>
      </c>
      <c r="AC898" s="147">
        <v>340422.54027600004</v>
      </c>
    </row>
    <row r="899" spans="23:29">
      <c r="W899" s="111">
        <v>879</v>
      </c>
      <c r="X899" s="112">
        <v>7300</v>
      </c>
      <c r="Y899" s="113">
        <v>190647</v>
      </c>
      <c r="Z899" s="113">
        <v>197947</v>
      </c>
      <c r="AA899" s="112">
        <v>19795</v>
      </c>
      <c r="AB899" s="112">
        <v>7320</v>
      </c>
      <c r="AC899" s="147">
        <v>340901.92424399999</v>
      </c>
    </row>
    <row r="900" spans="23:29">
      <c r="W900" s="111">
        <v>880</v>
      </c>
      <c r="X900" s="112">
        <v>7300</v>
      </c>
      <c r="Y900" s="113">
        <v>190928</v>
      </c>
      <c r="Z900" s="113">
        <v>198228</v>
      </c>
      <c r="AA900" s="112">
        <v>19823</v>
      </c>
      <c r="AB900" s="112">
        <v>7330</v>
      </c>
      <c r="AC900" s="147">
        <v>341381.308212</v>
      </c>
    </row>
    <row r="901" spans="23:29">
      <c r="W901" s="111">
        <v>881</v>
      </c>
      <c r="X901" s="112">
        <v>7300</v>
      </c>
      <c r="Y901" s="113">
        <v>191208</v>
      </c>
      <c r="Z901" s="113">
        <v>198508</v>
      </c>
      <c r="AA901" s="112">
        <v>19851</v>
      </c>
      <c r="AB901" s="112">
        <v>7340</v>
      </c>
      <c r="AC901" s="147">
        <v>341845.71143099997</v>
      </c>
    </row>
    <row r="902" spans="23:29">
      <c r="W902" s="111">
        <v>882</v>
      </c>
      <c r="X902" s="112">
        <v>7300</v>
      </c>
      <c r="Y902" s="113">
        <v>191489</v>
      </c>
      <c r="Z902" s="113">
        <v>198789</v>
      </c>
      <c r="AA902" s="112">
        <v>19879</v>
      </c>
      <c r="AB902" s="112">
        <v>7350</v>
      </c>
      <c r="AC902" s="147">
        <v>342325.09539900004</v>
      </c>
    </row>
    <row r="903" spans="23:29">
      <c r="W903" s="111">
        <v>883</v>
      </c>
      <c r="X903" s="112">
        <v>7300</v>
      </c>
      <c r="Y903" s="113">
        <v>191769</v>
      </c>
      <c r="Z903" s="113">
        <v>199069</v>
      </c>
      <c r="AA903" s="112">
        <v>19907</v>
      </c>
      <c r="AB903" s="112">
        <v>7360</v>
      </c>
      <c r="AC903" s="147">
        <v>342804.47936699993</v>
      </c>
    </row>
    <row r="904" spans="23:29">
      <c r="W904" s="111">
        <v>884</v>
      </c>
      <c r="X904" s="112">
        <v>7300</v>
      </c>
      <c r="Y904" s="113">
        <v>192050</v>
      </c>
      <c r="Z904" s="113">
        <v>199350</v>
      </c>
      <c r="AA904" s="112">
        <v>19935</v>
      </c>
      <c r="AB904" s="112">
        <v>7370</v>
      </c>
      <c r="AC904" s="147">
        <v>343283.86333500006</v>
      </c>
    </row>
    <row r="905" spans="23:29">
      <c r="W905" s="111">
        <v>885</v>
      </c>
      <c r="X905" s="112">
        <v>7300</v>
      </c>
      <c r="Y905" s="113">
        <v>192331</v>
      </c>
      <c r="Z905" s="113">
        <v>199631</v>
      </c>
      <c r="AA905" s="112">
        <v>19963</v>
      </c>
      <c r="AB905" s="112">
        <v>7380</v>
      </c>
      <c r="AC905" s="147">
        <v>343763.24730299995</v>
      </c>
    </row>
    <row r="906" spans="23:29">
      <c r="W906" s="111">
        <v>886</v>
      </c>
      <c r="X906" s="112">
        <v>7300</v>
      </c>
      <c r="Y906" s="113">
        <v>192611</v>
      </c>
      <c r="Z906" s="113">
        <v>199911</v>
      </c>
      <c r="AA906" s="112">
        <v>19991</v>
      </c>
      <c r="AB906" s="112">
        <v>7390</v>
      </c>
      <c r="AC906" s="147">
        <v>344242.63127100008</v>
      </c>
    </row>
    <row r="907" spans="23:29">
      <c r="W907" s="111">
        <v>887</v>
      </c>
      <c r="X907" s="112">
        <v>7300</v>
      </c>
      <c r="Y907" s="113">
        <v>192892</v>
      </c>
      <c r="Z907" s="113">
        <v>200192</v>
      </c>
      <c r="AA907" s="112">
        <v>20019</v>
      </c>
      <c r="AB907" s="112">
        <v>7400</v>
      </c>
      <c r="AC907" s="147">
        <v>344722.01523899997</v>
      </c>
    </row>
    <row r="908" spans="23:29">
      <c r="W908" s="111">
        <v>888</v>
      </c>
      <c r="X908" s="112">
        <v>7300</v>
      </c>
      <c r="Y908" s="113">
        <v>193172</v>
      </c>
      <c r="Z908" s="113">
        <v>200472</v>
      </c>
      <c r="AA908" s="112">
        <v>20047</v>
      </c>
      <c r="AB908" s="112">
        <v>7410</v>
      </c>
      <c r="AC908" s="147">
        <v>345186.418458</v>
      </c>
    </row>
    <row r="909" spans="23:29">
      <c r="W909" s="111">
        <v>889</v>
      </c>
      <c r="X909" s="112">
        <v>7300</v>
      </c>
      <c r="Y909" s="113">
        <v>193453</v>
      </c>
      <c r="Z909" s="113">
        <v>200753</v>
      </c>
      <c r="AA909" s="112">
        <v>20075</v>
      </c>
      <c r="AB909" s="112">
        <v>7420</v>
      </c>
      <c r="AC909" s="147">
        <v>345665.80242600001</v>
      </c>
    </row>
    <row r="910" spans="23:29">
      <c r="W910" s="111">
        <v>890</v>
      </c>
      <c r="X910" s="112">
        <v>7300</v>
      </c>
      <c r="Y910" s="113">
        <v>193734</v>
      </c>
      <c r="Z910" s="113">
        <v>201034</v>
      </c>
      <c r="AA910" s="112">
        <v>20103</v>
      </c>
      <c r="AB910" s="112">
        <v>7430</v>
      </c>
      <c r="AC910" s="147">
        <v>346145.18639399996</v>
      </c>
    </row>
    <row r="911" spans="23:29">
      <c r="W911" s="111">
        <v>891</v>
      </c>
      <c r="X911" s="112">
        <v>7300</v>
      </c>
      <c r="Y911" s="113">
        <v>194014</v>
      </c>
      <c r="Z911" s="113">
        <v>201314</v>
      </c>
      <c r="AA911" s="112">
        <v>20131</v>
      </c>
      <c r="AB911" s="112">
        <v>7440</v>
      </c>
      <c r="AC911" s="147">
        <v>346624.57036199997</v>
      </c>
    </row>
    <row r="912" spans="23:29">
      <c r="W912" s="111">
        <v>892</v>
      </c>
      <c r="X912" s="112">
        <v>7300</v>
      </c>
      <c r="Y912" s="113">
        <v>194295</v>
      </c>
      <c r="Z912" s="113">
        <v>201595</v>
      </c>
      <c r="AA912" s="112">
        <v>20160</v>
      </c>
      <c r="AB912" s="112">
        <v>7450</v>
      </c>
      <c r="AC912" s="147">
        <v>347103.95432999998</v>
      </c>
    </row>
    <row r="913" spans="23:29">
      <c r="W913" s="111">
        <v>893</v>
      </c>
      <c r="X913" s="112">
        <v>7300</v>
      </c>
      <c r="Y913" s="113">
        <v>194575</v>
      </c>
      <c r="Z913" s="113">
        <v>201875</v>
      </c>
      <c r="AA913" s="112">
        <v>20188</v>
      </c>
      <c r="AB913" s="112">
        <v>7460</v>
      </c>
      <c r="AC913" s="147">
        <v>347583.33829799999</v>
      </c>
    </row>
    <row r="914" spans="23:29">
      <c r="W914" s="111">
        <v>894</v>
      </c>
      <c r="X914" s="112">
        <v>7300</v>
      </c>
      <c r="Y914" s="113">
        <v>194856</v>
      </c>
      <c r="Z914" s="113">
        <v>202156</v>
      </c>
      <c r="AA914" s="112">
        <v>20216</v>
      </c>
      <c r="AB914" s="112">
        <v>7470</v>
      </c>
      <c r="AC914" s="147">
        <v>348062.722266</v>
      </c>
    </row>
    <row r="915" spans="23:29">
      <c r="W915" s="111">
        <v>895</v>
      </c>
      <c r="X915" s="112">
        <v>7300</v>
      </c>
      <c r="Y915" s="113">
        <v>195137</v>
      </c>
      <c r="Z915" s="113">
        <v>202437</v>
      </c>
      <c r="AA915" s="112">
        <v>20244</v>
      </c>
      <c r="AB915" s="112">
        <v>7490</v>
      </c>
      <c r="AC915" s="147">
        <v>348557.08698299999</v>
      </c>
    </row>
    <row r="916" spans="23:29">
      <c r="W916" s="111">
        <v>896</v>
      </c>
      <c r="X916" s="112">
        <v>7300</v>
      </c>
      <c r="Y916" s="113">
        <v>195417</v>
      </c>
      <c r="Z916" s="113">
        <v>202717</v>
      </c>
      <c r="AA916" s="112">
        <v>20272</v>
      </c>
      <c r="AB916" s="112">
        <v>7500</v>
      </c>
      <c r="AC916" s="147">
        <v>349021.4902019999</v>
      </c>
    </row>
    <row r="917" spans="23:29">
      <c r="W917" s="111">
        <v>897</v>
      </c>
      <c r="X917" s="112">
        <v>7300</v>
      </c>
      <c r="Y917" s="113">
        <v>195698</v>
      </c>
      <c r="Z917" s="113">
        <v>202998</v>
      </c>
      <c r="AA917" s="112">
        <v>20300</v>
      </c>
      <c r="AB917" s="112">
        <v>7510</v>
      </c>
      <c r="AC917" s="147">
        <v>349500.87417000002</v>
      </c>
    </row>
    <row r="918" spans="23:29">
      <c r="W918" s="111">
        <v>898</v>
      </c>
      <c r="X918" s="112">
        <v>7300</v>
      </c>
      <c r="Y918" s="113">
        <v>195978</v>
      </c>
      <c r="Z918" s="113">
        <v>203278</v>
      </c>
      <c r="AA918" s="112">
        <v>20328</v>
      </c>
      <c r="AB918" s="112">
        <v>7520</v>
      </c>
      <c r="AC918" s="147">
        <v>349980.25813799992</v>
      </c>
    </row>
    <row r="919" spans="23:29">
      <c r="W919" s="111">
        <v>899</v>
      </c>
      <c r="X919" s="112">
        <v>7300</v>
      </c>
      <c r="Y919" s="113">
        <v>196259</v>
      </c>
      <c r="Z919" s="113">
        <v>203559</v>
      </c>
      <c r="AA919" s="112">
        <v>20356</v>
      </c>
      <c r="AB919" s="112">
        <v>7530</v>
      </c>
      <c r="AC919" s="147">
        <v>350459.64210600004</v>
      </c>
    </row>
    <row r="920" spans="23:29">
      <c r="W920" s="111">
        <v>900</v>
      </c>
      <c r="X920" s="112">
        <v>7300</v>
      </c>
      <c r="Y920" s="113">
        <v>196540</v>
      </c>
      <c r="Z920" s="113">
        <v>203840</v>
      </c>
      <c r="AA920" s="112">
        <v>20384</v>
      </c>
      <c r="AB920" s="112">
        <v>7540</v>
      </c>
      <c r="AC920" s="147">
        <v>350939.02607399994</v>
      </c>
    </row>
    <row r="921" spans="23:29">
      <c r="W921" s="111">
        <v>901</v>
      </c>
      <c r="X921" s="112">
        <v>7300</v>
      </c>
      <c r="Y921" s="113">
        <v>196820</v>
      </c>
      <c r="Z921" s="113">
        <v>204120</v>
      </c>
      <c r="AA921" s="112">
        <v>20412</v>
      </c>
      <c r="AB921" s="112">
        <v>7550</v>
      </c>
      <c r="AC921" s="147">
        <v>351418.410042</v>
      </c>
    </row>
    <row r="922" spans="23:29">
      <c r="W922" s="111">
        <v>902</v>
      </c>
      <c r="X922" s="112">
        <v>7300</v>
      </c>
      <c r="Y922" s="113">
        <v>197101</v>
      </c>
      <c r="Z922" s="113">
        <v>204401</v>
      </c>
      <c r="AA922" s="112">
        <v>20440</v>
      </c>
      <c r="AB922" s="112">
        <v>7560</v>
      </c>
      <c r="AC922" s="147">
        <v>351897.79400999995</v>
      </c>
    </row>
    <row r="923" spans="23:29">
      <c r="W923" s="111">
        <v>903</v>
      </c>
      <c r="X923" s="112">
        <v>7300</v>
      </c>
      <c r="Y923" s="113">
        <v>197381</v>
      </c>
      <c r="Z923" s="113">
        <v>204681</v>
      </c>
      <c r="AA923" s="112">
        <v>20468</v>
      </c>
      <c r="AB923" s="112">
        <v>7570</v>
      </c>
      <c r="AC923" s="147">
        <v>352362.19722900004</v>
      </c>
    </row>
    <row r="924" spans="23:29">
      <c r="W924" s="111">
        <v>904</v>
      </c>
      <c r="X924" s="112">
        <v>7300</v>
      </c>
      <c r="Y924" s="113">
        <v>197662</v>
      </c>
      <c r="Z924" s="113">
        <v>204962</v>
      </c>
      <c r="AA924" s="112">
        <v>20496</v>
      </c>
      <c r="AB924" s="112">
        <v>7580</v>
      </c>
      <c r="AC924" s="147">
        <v>352841.58119699993</v>
      </c>
    </row>
    <row r="925" spans="23:29">
      <c r="W925" s="111">
        <v>905</v>
      </c>
      <c r="X925" s="112">
        <v>7300</v>
      </c>
      <c r="Y925" s="113">
        <v>197943</v>
      </c>
      <c r="Z925" s="113">
        <v>205243</v>
      </c>
      <c r="AA925" s="112">
        <v>20524</v>
      </c>
      <c r="AB925" s="112">
        <v>7590</v>
      </c>
      <c r="AC925" s="147">
        <v>353320.96516500006</v>
      </c>
    </row>
    <row r="926" spans="23:29">
      <c r="W926" s="111">
        <v>906</v>
      </c>
      <c r="X926" s="112">
        <v>7300</v>
      </c>
      <c r="Y926" s="113">
        <v>198223</v>
      </c>
      <c r="Z926" s="113">
        <v>205523</v>
      </c>
      <c r="AA926" s="112">
        <v>20552</v>
      </c>
      <c r="AB926" s="112">
        <v>7600</v>
      </c>
      <c r="AC926" s="147">
        <v>353800.34913299995</v>
      </c>
    </row>
    <row r="927" spans="23:29">
      <c r="W927" s="111">
        <v>907</v>
      </c>
      <c r="X927" s="112">
        <v>7300</v>
      </c>
      <c r="Y927" s="113">
        <v>198504</v>
      </c>
      <c r="Z927" s="113">
        <v>205804</v>
      </c>
      <c r="AA927" s="112">
        <v>20580</v>
      </c>
      <c r="AB927" s="112">
        <v>7610</v>
      </c>
      <c r="AC927" s="147">
        <v>354279.73310100008</v>
      </c>
    </row>
    <row r="928" spans="23:29">
      <c r="W928" s="111">
        <v>908</v>
      </c>
      <c r="X928" s="112">
        <v>7300</v>
      </c>
      <c r="Y928" s="113">
        <v>198784</v>
      </c>
      <c r="Z928" s="113">
        <v>206084</v>
      </c>
      <c r="AA928" s="112">
        <v>20608</v>
      </c>
      <c r="AB928" s="112">
        <v>7620</v>
      </c>
      <c r="AC928" s="147">
        <v>354759.11706899997</v>
      </c>
    </row>
    <row r="929" spans="23:29">
      <c r="W929" s="111">
        <v>909</v>
      </c>
      <c r="X929" s="112">
        <v>7300</v>
      </c>
      <c r="Y929" s="113">
        <v>199065</v>
      </c>
      <c r="Z929" s="113">
        <v>206365</v>
      </c>
      <c r="AA929" s="112">
        <v>20637</v>
      </c>
      <c r="AB929" s="112">
        <v>7630</v>
      </c>
      <c r="AC929" s="147">
        <v>355238.50103699992</v>
      </c>
    </row>
    <row r="930" spans="23:29">
      <c r="W930" s="111">
        <v>910</v>
      </c>
      <c r="X930" s="112">
        <v>7300</v>
      </c>
      <c r="Y930" s="113">
        <v>199346</v>
      </c>
      <c r="Z930" s="113">
        <v>206646</v>
      </c>
      <c r="AA930" s="112">
        <v>20665</v>
      </c>
      <c r="AB930" s="112">
        <v>7640</v>
      </c>
      <c r="AC930" s="147">
        <v>355717.88500499999</v>
      </c>
    </row>
    <row r="931" spans="23:29">
      <c r="W931" s="111">
        <v>911</v>
      </c>
      <c r="X931" s="112">
        <v>7300</v>
      </c>
      <c r="Y931" s="113">
        <v>199626</v>
      </c>
      <c r="Z931" s="113">
        <v>206926</v>
      </c>
      <c r="AA931" s="112">
        <v>20693</v>
      </c>
      <c r="AB931" s="112">
        <v>7650</v>
      </c>
      <c r="AC931" s="147">
        <v>356182.28822399996</v>
      </c>
    </row>
    <row r="932" spans="23:29">
      <c r="W932" s="111">
        <v>912</v>
      </c>
      <c r="X932" s="112">
        <v>7300</v>
      </c>
      <c r="Y932" s="113">
        <v>199907</v>
      </c>
      <c r="Z932" s="113">
        <v>207207</v>
      </c>
      <c r="AA932" s="112">
        <v>20721</v>
      </c>
      <c r="AB932" s="112">
        <v>7660</v>
      </c>
      <c r="AC932" s="147">
        <v>356661.67219199997</v>
      </c>
    </row>
    <row r="933" spans="23:29">
      <c r="W933" s="111">
        <v>913</v>
      </c>
      <c r="X933" s="112">
        <v>7300</v>
      </c>
      <c r="Y933" s="113">
        <v>200187</v>
      </c>
      <c r="Z933" s="113">
        <v>207487</v>
      </c>
      <c r="AA933" s="112">
        <v>20749</v>
      </c>
      <c r="AB933" s="112">
        <v>7670</v>
      </c>
      <c r="AC933" s="147">
        <v>357141.05615999998</v>
      </c>
    </row>
    <row r="934" spans="23:29">
      <c r="W934" s="111">
        <v>914</v>
      </c>
      <c r="X934" s="112">
        <v>7300</v>
      </c>
      <c r="Y934" s="113">
        <v>200468</v>
      </c>
      <c r="Z934" s="113">
        <v>207768</v>
      </c>
      <c r="AA934" s="112">
        <v>20777</v>
      </c>
      <c r="AB934" s="112">
        <v>7680</v>
      </c>
      <c r="AC934" s="147">
        <v>357620.44012799999</v>
      </c>
    </row>
    <row r="935" spans="23:29">
      <c r="W935" s="111">
        <v>915</v>
      </c>
      <c r="X935" s="112">
        <v>7300</v>
      </c>
      <c r="Y935" s="113">
        <v>200749</v>
      </c>
      <c r="Z935" s="113">
        <v>208049</v>
      </c>
      <c r="AA935" s="112">
        <v>20805</v>
      </c>
      <c r="AB935" s="112">
        <v>7690</v>
      </c>
      <c r="AC935" s="147">
        <v>358099.824096</v>
      </c>
    </row>
    <row r="936" spans="23:29">
      <c r="W936" s="111">
        <v>916</v>
      </c>
      <c r="X936" s="112">
        <v>7300</v>
      </c>
      <c r="Y936" s="113">
        <v>201029</v>
      </c>
      <c r="Z936" s="113">
        <v>208329</v>
      </c>
      <c r="AA936" s="112">
        <v>20833</v>
      </c>
      <c r="AB936" s="112">
        <v>7700</v>
      </c>
      <c r="AC936" s="147">
        <v>358579.20806400001</v>
      </c>
    </row>
    <row r="937" spans="23:29">
      <c r="W937" s="111">
        <v>917</v>
      </c>
      <c r="X937" s="112">
        <v>7300</v>
      </c>
      <c r="Y937" s="113">
        <v>201310</v>
      </c>
      <c r="Z937" s="113">
        <v>208610</v>
      </c>
      <c r="AA937" s="112">
        <v>20861</v>
      </c>
      <c r="AB937" s="112">
        <v>7710</v>
      </c>
      <c r="AC937" s="147">
        <v>359058.59203199996</v>
      </c>
    </row>
    <row r="938" spans="23:29">
      <c r="W938" s="111">
        <v>918</v>
      </c>
      <c r="X938" s="112">
        <v>7300</v>
      </c>
      <c r="Y938" s="113">
        <v>201590</v>
      </c>
      <c r="Z938" s="113">
        <v>208890</v>
      </c>
      <c r="AA938" s="112">
        <v>20889</v>
      </c>
      <c r="AB938" s="112">
        <v>7720</v>
      </c>
      <c r="AC938" s="147">
        <v>359522.99525099999</v>
      </c>
    </row>
    <row r="939" spans="23:29">
      <c r="W939" s="111">
        <v>919</v>
      </c>
      <c r="X939" s="112">
        <v>7300</v>
      </c>
      <c r="Y939" s="113">
        <v>201871</v>
      </c>
      <c r="Z939" s="113">
        <v>209171</v>
      </c>
      <c r="AA939" s="112">
        <v>20917</v>
      </c>
      <c r="AB939" s="112">
        <v>7730</v>
      </c>
      <c r="AC939" s="147">
        <v>360002.37921899999</v>
      </c>
    </row>
    <row r="940" spans="23:29">
      <c r="W940" s="111">
        <v>920</v>
      </c>
      <c r="X940" s="112">
        <v>7300</v>
      </c>
      <c r="Y940" s="113">
        <v>202152</v>
      </c>
      <c r="Z940" s="113">
        <v>209452</v>
      </c>
      <c r="AA940" s="112">
        <v>20945</v>
      </c>
      <c r="AB940" s="112">
        <v>7740</v>
      </c>
      <c r="AC940" s="147">
        <v>360481.76318699995</v>
      </c>
    </row>
    <row r="941" spans="23:29">
      <c r="W941" s="111">
        <v>921</v>
      </c>
      <c r="X941" s="112">
        <v>7300</v>
      </c>
      <c r="Y941" s="113">
        <v>202432</v>
      </c>
      <c r="Z941" s="113">
        <v>209732</v>
      </c>
      <c r="AA941" s="112">
        <v>20973</v>
      </c>
      <c r="AB941" s="112">
        <v>7760</v>
      </c>
      <c r="AC941" s="147">
        <v>360976.12790399999</v>
      </c>
    </row>
    <row r="942" spans="23:29">
      <c r="W942" s="111">
        <v>922</v>
      </c>
      <c r="X942" s="112">
        <v>7300</v>
      </c>
      <c r="Y942" s="113">
        <v>202713</v>
      </c>
      <c r="Z942" s="113">
        <v>210013</v>
      </c>
      <c r="AA942" s="112">
        <v>21001</v>
      </c>
      <c r="AB942" s="112">
        <v>7770</v>
      </c>
      <c r="AC942" s="147">
        <v>361455.51187199994</v>
      </c>
    </row>
    <row r="943" spans="23:29">
      <c r="W943" s="111">
        <v>923</v>
      </c>
      <c r="X943" s="112">
        <v>7300</v>
      </c>
      <c r="Y943" s="113">
        <v>202993</v>
      </c>
      <c r="Z943" s="113">
        <v>210293</v>
      </c>
      <c r="AA943" s="112">
        <v>21029</v>
      </c>
      <c r="AB943" s="112">
        <v>7780</v>
      </c>
      <c r="AC943" s="147">
        <v>361934.89584000001</v>
      </c>
    </row>
    <row r="944" spans="23:29">
      <c r="W944" s="111">
        <v>924</v>
      </c>
      <c r="X944" s="112">
        <v>7300</v>
      </c>
      <c r="Y944" s="113">
        <v>203274</v>
      </c>
      <c r="Z944" s="113">
        <v>210574</v>
      </c>
      <c r="AA944" s="112">
        <v>21057</v>
      </c>
      <c r="AB944" s="112">
        <v>7790</v>
      </c>
      <c r="AC944" s="147">
        <v>362414.27980799996</v>
      </c>
    </row>
    <row r="945" spans="23:29">
      <c r="W945" s="111">
        <v>925</v>
      </c>
      <c r="X945" s="112">
        <v>7300</v>
      </c>
      <c r="Y945" s="113">
        <v>203555</v>
      </c>
      <c r="Z945" s="113">
        <v>210855</v>
      </c>
      <c r="AA945" s="112">
        <v>21086</v>
      </c>
      <c r="AB945" s="112">
        <v>7800</v>
      </c>
      <c r="AC945" s="147">
        <v>362893.66377600003</v>
      </c>
    </row>
    <row r="946" spans="23:29">
      <c r="W946" s="111">
        <v>926</v>
      </c>
      <c r="X946" s="112">
        <v>7300</v>
      </c>
      <c r="Y946" s="113">
        <v>203835</v>
      </c>
      <c r="Z946" s="113">
        <v>211135</v>
      </c>
      <c r="AA946" s="112">
        <v>21114</v>
      </c>
      <c r="AB946" s="112">
        <v>7810</v>
      </c>
      <c r="AC946" s="147">
        <v>363358.066995</v>
      </c>
    </row>
    <row r="947" spans="23:29">
      <c r="W947" s="111">
        <v>927</v>
      </c>
      <c r="X947" s="112">
        <v>7300</v>
      </c>
      <c r="Y947" s="113">
        <v>204116</v>
      </c>
      <c r="Z947" s="113">
        <v>211416</v>
      </c>
      <c r="AA947" s="112">
        <v>21142</v>
      </c>
      <c r="AB947" s="112">
        <v>7820</v>
      </c>
      <c r="AC947" s="147">
        <v>363837.45096300001</v>
      </c>
    </row>
    <row r="948" spans="23:29">
      <c r="W948" s="111">
        <v>928</v>
      </c>
      <c r="X948" s="112">
        <v>7300</v>
      </c>
      <c r="Y948" s="113">
        <v>204396</v>
      </c>
      <c r="Z948" s="113">
        <v>211696</v>
      </c>
      <c r="AA948" s="112">
        <v>21170</v>
      </c>
      <c r="AB948" s="112">
        <v>7830</v>
      </c>
      <c r="AC948" s="147">
        <v>364316.83493100002</v>
      </c>
    </row>
    <row r="949" spans="23:29">
      <c r="W949" s="111">
        <v>929</v>
      </c>
      <c r="X949" s="112">
        <v>7300</v>
      </c>
      <c r="Y949" s="113">
        <v>204677</v>
      </c>
      <c r="Z949" s="113">
        <v>211977</v>
      </c>
      <c r="AA949" s="112">
        <v>21198</v>
      </c>
      <c r="AB949" s="112">
        <v>7840</v>
      </c>
      <c r="AC949" s="147">
        <v>364796.21889900003</v>
      </c>
    </row>
    <row r="950" spans="23:29">
      <c r="W950" s="111">
        <v>930</v>
      </c>
      <c r="X950" s="112">
        <v>7300</v>
      </c>
      <c r="Y950" s="113">
        <v>204958</v>
      </c>
      <c r="Z950" s="113">
        <v>212258</v>
      </c>
      <c r="AA950" s="112">
        <v>21226</v>
      </c>
      <c r="AB950" s="112">
        <v>7850</v>
      </c>
      <c r="AC950" s="147">
        <v>365275.60286699992</v>
      </c>
    </row>
    <row r="951" spans="23:29">
      <c r="W951" s="111">
        <v>931</v>
      </c>
      <c r="X951" s="112">
        <v>7300</v>
      </c>
      <c r="Y951" s="113">
        <v>205238</v>
      </c>
      <c r="Z951" s="113">
        <v>212538</v>
      </c>
      <c r="AA951" s="112">
        <v>21254</v>
      </c>
      <c r="AB951" s="112">
        <v>7860</v>
      </c>
      <c r="AC951" s="147">
        <v>365754.98683500005</v>
      </c>
    </row>
    <row r="952" spans="23:29">
      <c r="W952" s="111">
        <v>932</v>
      </c>
      <c r="X952" s="112">
        <v>7300</v>
      </c>
      <c r="Y952" s="113">
        <v>205519</v>
      </c>
      <c r="Z952" s="113">
        <v>212819</v>
      </c>
      <c r="AA952" s="112">
        <v>21282</v>
      </c>
      <c r="AB952" s="112">
        <v>7870</v>
      </c>
      <c r="AC952" s="147">
        <v>366234.37080299994</v>
      </c>
    </row>
    <row r="953" spans="23:29">
      <c r="W953" s="111">
        <v>933</v>
      </c>
      <c r="X953" s="112">
        <v>7300</v>
      </c>
      <c r="Y953" s="113">
        <v>205799</v>
      </c>
      <c r="Z953" s="113">
        <v>213099</v>
      </c>
      <c r="AA953" s="112">
        <v>21310</v>
      </c>
      <c r="AB953" s="112">
        <v>7880</v>
      </c>
      <c r="AC953" s="147">
        <v>366698.77402199997</v>
      </c>
    </row>
    <row r="954" spans="23:29">
      <c r="W954" s="111">
        <v>934</v>
      </c>
      <c r="X954" s="112">
        <v>7300</v>
      </c>
      <c r="Y954" s="113">
        <v>206080</v>
      </c>
      <c r="Z954" s="113">
        <v>213380</v>
      </c>
      <c r="AA954" s="112">
        <v>21338</v>
      </c>
      <c r="AB954" s="112">
        <v>7890</v>
      </c>
      <c r="AC954" s="147">
        <v>367178.15798999998</v>
      </c>
    </row>
    <row r="955" spans="23:29">
      <c r="W955" s="111">
        <v>935</v>
      </c>
      <c r="X955" s="112">
        <v>7300</v>
      </c>
      <c r="Y955" s="113">
        <v>206361</v>
      </c>
      <c r="Z955" s="113">
        <v>213661</v>
      </c>
      <c r="AA955" s="112">
        <v>21366</v>
      </c>
      <c r="AB955" s="112">
        <v>7900</v>
      </c>
      <c r="AC955" s="147">
        <v>367657.54195799999</v>
      </c>
    </row>
    <row r="956" spans="23:29">
      <c r="W956" s="111">
        <v>936</v>
      </c>
      <c r="X956" s="112">
        <v>7300</v>
      </c>
      <c r="Y956" s="113">
        <v>206641</v>
      </c>
      <c r="Z956" s="113">
        <v>213941</v>
      </c>
      <c r="AA956" s="112">
        <v>21394</v>
      </c>
      <c r="AB956" s="112">
        <v>7910</v>
      </c>
      <c r="AC956" s="147">
        <v>368136.925926</v>
      </c>
    </row>
    <row r="957" spans="23:29">
      <c r="W957" s="111">
        <v>937</v>
      </c>
      <c r="X957" s="112">
        <v>7300</v>
      </c>
      <c r="Y957" s="113">
        <v>206922</v>
      </c>
      <c r="Z957" s="113">
        <v>214222</v>
      </c>
      <c r="AA957" s="112">
        <v>21422</v>
      </c>
      <c r="AB957" s="112">
        <v>7920</v>
      </c>
      <c r="AC957" s="147">
        <v>368616.30989400001</v>
      </c>
    </row>
    <row r="958" spans="23:29">
      <c r="W958" s="111">
        <v>938</v>
      </c>
      <c r="X958" s="112">
        <v>7300</v>
      </c>
      <c r="Y958" s="113">
        <v>207202</v>
      </c>
      <c r="Z958" s="113">
        <v>214502</v>
      </c>
      <c r="AA958" s="112">
        <v>21450</v>
      </c>
      <c r="AB958" s="112">
        <v>7930</v>
      </c>
      <c r="AC958" s="147">
        <v>369095.69386199996</v>
      </c>
    </row>
    <row r="959" spans="23:29">
      <c r="W959" s="111">
        <v>939</v>
      </c>
      <c r="X959" s="112">
        <v>7300</v>
      </c>
      <c r="Y959" s="113">
        <v>207483</v>
      </c>
      <c r="Z959" s="113">
        <v>214783</v>
      </c>
      <c r="AA959" s="112">
        <v>21478</v>
      </c>
      <c r="AB959" s="112">
        <v>7940</v>
      </c>
      <c r="AC959" s="147">
        <v>369575.07783000002</v>
      </c>
    </row>
    <row r="960" spans="23:29">
      <c r="W960" s="111">
        <v>940</v>
      </c>
      <c r="X960" s="112">
        <v>7300</v>
      </c>
      <c r="Y960" s="113">
        <v>207764</v>
      </c>
      <c r="Z960" s="113">
        <v>215064</v>
      </c>
      <c r="AA960" s="112">
        <v>21506</v>
      </c>
      <c r="AB960" s="112">
        <v>7950</v>
      </c>
      <c r="AC960" s="147">
        <v>370054.46179799997</v>
      </c>
    </row>
    <row r="961" spans="23:29">
      <c r="W961" s="111">
        <v>941</v>
      </c>
      <c r="X961" s="112">
        <v>7300</v>
      </c>
      <c r="Y961" s="113">
        <v>208044</v>
      </c>
      <c r="Z961" s="113">
        <v>215344</v>
      </c>
      <c r="AA961" s="112">
        <v>21534</v>
      </c>
      <c r="AB961" s="112">
        <v>7960</v>
      </c>
      <c r="AC961" s="147">
        <v>370518.865017</v>
      </c>
    </row>
    <row r="962" spans="23:29">
      <c r="W962" s="111">
        <v>942</v>
      </c>
      <c r="X962" s="112">
        <v>7300</v>
      </c>
      <c r="Y962" s="113">
        <v>208325</v>
      </c>
      <c r="Z962" s="113">
        <v>215625</v>
      </c>
      <c r="AA962" s="112">
        <v>21563</v>
      </c>
      <c r="AB962" s="112">
        <v>7970</v>
      </c>
      <c r="AC962" s="147">
        <v>370998.24898499995</v>
      </c>
    </row>
    <row r="963" spans="23:29">
      <c r="W963" s="111">
        <v>943</v>
      </c>
      <c r="X963" s="112">
        <v>7300</v>
      </c>
      <c r="Y963" s="113">
        <v>208605</v>
      </c>
      <c r="Z963" s="113">
        <v>215905</v>
      </c>
      <c r="AA963" s="112">
        <v>21591</v>
      </c>
      <c r="AB963" s="112">
        <v>7980</v>
      </c>
      <c r="AC963" s="147">
        <v>371477.63295300002</v>
      </c>
    </row>
    <row r="964" spans="23:29">
      <c r="W964" s="111">
        <v>944</v>
      </c>
      <c r="X964" s="112">
        <v>7300</v>
      </c>
      <c r="Y964" s="113">
        <v>208886</v>
      </c>
      <c r="Z964" s="113">
        <v>216186</v>
      </c>
      <c r="AA964" s="112">
        <v>21619</v>
      </c>
      <c r="AB964" s="112">
        <v>7990</v>
      </c>
      <c r="AC964" s="147">
        <v>371957.01692099997</v>
      </c>
    </row>
    <row r="965" spans="23:29">
      <c r="W965" s="111">
        <v>945</v>
      </c>
      <c r="X965" s="112">
        <v>7300</v>
      </c>
      <c r="Y965" s="113">
        <v>209167</v>
      </c>
      <c r="Z965" s="113">
        <v>216467</v>
      </c>
      <c r="AA965" s="112">
        <v>21647</v>
      </c>
      <c r="AB965" s="112">
        <v>8000</v>
      </c>
      <c r="AC965" s="147">
        <v>372436.40088900004</v>
      </c>
    </row>
    <row r="966" spans="23:29">
      <c r="W966" s="111">
        <v>946</v>
      </c>
      <c r="X966" s="112">
        <v>7300</v>
      </c>
      <c r="Y966" s="113">
        <v>209447</v>
      </c>
      <c r="Z966" s="113">
        <v>216747</v>
      </c>
      <c r="AA966" s="112">
        <v>21675</v>
      </c>
      <c r="AB966" s="112">
        <v>8010</v>
      </c>
      <c r="AC966" s="147">
        <v>372915.78485699993</v>
      </c>
    </row>
    <row r="967" spans="23:29">
      <c r="W967" s="111">
        <v>947</v>
      </c>
      <c r="X967" s="112">
        <v>7300</v>
      </c>
      <c r="Y967" s="113">
        <v>209728</v>
      </c>
      <c r="Z967" s="113">
        <v>217028</v>
      </c>
      <c r="AA967" s="112">
        <v>21703</v>
      </c>
      <c r="AB967" s="112">
        <v>8030</v>
      </c>
      <c r="AC967" s="147">
        <v>373410.14957399992</v>
      </c>
    </row>
    <row r="968" spans="23:29">
      <c r="W968" s="111">
        <v>948</v>
      </c>
      <c r="X968" s="112">
        <v>7300</v>
      </c>
      <c r="Y968" s="113">
        <v>210008</v>
      </c>
      <c r="Z968" s="113">
        <v>217308</v>
      </c>
      <c r="AA968" s="112">
        <v>21731</v>
      </c>
      <c r="AB968" s="112">
        <v>8040</v>
      </c>
      <c r="AC968" s="147">
        <v>373874.55279299995</v>
      </c>
    </row>
    <row r="969" spans="23:29">
      <c r="W969" s="111">
        <v>949</v>
      </c>
      <c r="X969" s="112">
        <v>7300</v>
      </c>
      <c r="Y969" s="113">
        <v>210289</v>
      </c>
      <c r="Z969" s="113">
        <v>217589</v>
      </c>
      <c r="AA969" s="112">
        <v>21759</v>
      </c>
      <c r="AB969" s="112">
        <v>8050</v>
      </c>
      <c r="AC969" s="147">
        <v>374353.93676100008</v>
      </c>
    </row>
    <row r="970" spans="23:29">
      <c r="W970" s="111">
        <v>950</v>
      </c>
      <c r="X970" s="112">
        <v>7300</v>
      </c>
      <c r="Y970" s="113">
        <v>210570</v>
      </c>
      <c r="Z970" s="113">
        <v>217870</v>
      </c>
      <c r="AA970" s="112">
        <v>21787</v>
      </c>
      <c r="AB970" s="112">
        <v>8060</v>
      </c>
      <c r="AC970" s="147">
        <v>374833.32072899997</v>
      </c>
    </row>
    <row r="971" spans="23:29">
      <c r="W971" s="111">
        <v>951</v>
      </c>
      <c r="X971" s="112">
        <v>7300</v>
      </c>
      <c r="Y971" s="113">
        <v>210850</v>
      </c>
      <c r="Z971" s="113">
        <v>218150</v>
      </c>
      <c r="AA971" s="112">
        <v>21815</v>
      </c>
      <c r="AB971" s="112">
        <v>8070</v>
      </c>
      <c r="AC971" s="147">
        <v>375312.70469699992</v>
      </c>
    </row>
    <row r="972" spans="23:29">
      <c r="W972" s="111">
        <v>952</v>
      </c>
      <c r="X972" s="112">
        <v>7300</v>
      </c>
      <c r="Y972" s="113">
        <v>211131</v>
      </c>
      <c r="Z972" s="113">
        <v>218431</v>
      </c>
      <c r="AA972" s="112">
        <v>21843</v>
      </c>
      <c r="AB972" s="112">
        <v>8080</v>
      </c>
      <c r="AC972" s="147">
        <v>375792.08866499999</v>
      </c>
    </row>
    <row r="973" spans="23:29">
      <c r="W973" s="111">
        <v>953</v>
      </c>
      <c r="X973" s="112">
        <v>7300</v>
      </c>
      <c r="Y973" s="113">
        <v>211411</v>
      </c>
      <c r="Z973" s="113">
        <v>218711</v>
      </c>
      <c r="AA973" s="112">
        <v>21871</v>
      </c>
      <c r="AB973" s="112">
        <v>8090</v>
      </c>
      <c r="AC973" s="147">
        <v>376271.47263299994</v>
      </c>
    </row>
    <row r="974" spans="23:29">
      <c r="W974" s="111">
        <v>954</v>
      </c>
      <c r="X974" s="112">
        <v>7300</v>
      </c>
      <c r="Y974" s="113">
        <v>211692</v>
      </c>
      <c r="Z974" s="113">
        <v>218992</v>
      </c>
      <c r="AA974" s="112">
        <v>21899</v>
      </c>
      <c r="AB974" s="112">
        <v>8100</v>
      </c>
      <c r="AC974" s="147">
        <v>376750.85660100001</v>
      </c>
    </row>
    <row r="975" spans="23:29">
      <c r="W975" s="111">
        <v>955</v>
      </c>
      <c r="X975" s="112">
        <v>7300</v>
      </c>
      <c r="Y975" s="113">
        <v>211973</v>
      </c>
      <c r="Z975" s="113">
        <v>219273</v>
      </c>
      <c r="AA975" s="112">
        <v>21927</v>
      </c>
      <c r="AB975" s="112">
        <v>8110</v>
      </c>
      <c r="AC975" s="147">
        <v>377230.24056899996</v>
      </c>
    </row>
    <row r="976" spans="23:29">
      <c r="W976" s="111">
        <v>956</v>
      </c>
      <c r="X976" s="112">
        <v>7300</v>
      </c>
      <c r="Y976" s="113">
        <v>212253</v>
      </c>
      <c r="Z976" s="113">
        <v>219553</v>
      </c>
      <c r="AA976" s="112">
        <v>21955</v>
      </c>
      <c r="AB976" s="112">
        <v>8120</v>
      </c>
      <c r="AC976" s="147">
        <v>377694.64378799999</v>
      </c>
    </row>
    <row r="977" spans="23:29">
      <c r="W977" s="111">
        <v>957</v>
      </c>
      <c r="X977" s="112">
        <v>7300</v>
      </c>
      <c r="Y977" s="113">
        <v>212534</v>
      </c>
      <c r="Z977" s="113">
        <v>219834</v>
      </c>
      <c r="AA977" s="112">
        <v>21983</v>
      </c>
      <c r="AB977" s="112">
        <v>8130</v>
      </c>
      <c r="AC977" s="147">
        <v>378174.027756</v>
      </c>
    </row>
    <row r="978" spans="23:29">
      <c r="W978" s="111">
        <v>958</v>
      </c>
      <c r="X978" s="112">
        <v>7300</v>
      </c>
      <c r="Y978" s="113">
        <v>212814</v>
      </c>
      <c r="Z978" s="113">
        <v>220114</v>
      </c>
      <c r="AA978" s="112">
        <v>22011</v>
      </c>
      <c r="AB978" s="112">
        <v>8140</v>
      </c>
      <c r="AC978" s="147">
        <v>378653.41172400001</v>
      </c>
    </row>
    <row r="979" spans="23:29">
      <c r="W979" s="111">
        <v>959</v>
      </c>
      <c r="X979" s="112">
        <v>7300</v>
      </c>
      <c r="Y979" s="113">
        <v>213095</v>
      </c>
      <c r="Z979" s="113">
        <v>220395</v>
      </c>
      <c r="AA979" s="112">
        <v>22040</v>
      </c>
      <c r="AB979" s="112">
        <v>8150</v>
      </c>
      <c r="AC979" s="147">
        <v>379132.7956919999</v>
      </c>
    </row>
    <row r="980" spans="23:29">
      <c r="W980" s="111">
        <v>960</v>
      </c>
      <c r="X980" s="112">
        <v>7300</v>
      </c>
      <c r="Y980" s="113">
        <v>213376</v>
      </c>
      <c r="Z980" s="113">
        <v>220676</v>
      </c>
      <c r="AA980" s="112">
        <v>22068</v>
      </c>
      <c r="AB980" s="112">
        <v>8160</v>
      </c>
      <c r="AC980" s="147">
        <v>379612.17966000002</v>
      </c>
    </row>
    <row r="981" spans="23:29">
      <c r="W981" s="111">
        <v>961</v>
      </c>
      <c r="X981" s="112">
        <v>7300</v>
      </c>
      <c r="Y981" s="113">
        <v>213656</v>
      </c>
      <c r="Z981" s="113">
        <v>220956</v>
      </c>
      <c r="AA981" s="112">
        <v>22096</v>
      </c>
      <c r="AB981" s="112">
        <v>8170</v>
      </c>
      <c r="AC981" s="147">
        <v>380091.56362799992</v>
      </c>
    </row>
    <row r="982" spans="23:29">
      <c r="W982" s="111">
        <v>962</v>
      </c>
      <c r="X982" s="112">
        <v>7300</v>
      </c>
      <c r="Y982" s="113">
        <v>213937</v>
      </c>
      <c r="Z982" s="113">
        <v>221237</v>
      </c>
      <c r="AA982" s="112">
        <v>22124</v>
      </c>
      <c r="AB982" s="112">
        <v>8180</v>
      </c>
      <c r="AC982" s="147">
        <v>380570.94759600004</v>
      </c>
    </row>
    <row r="983" spans="23:29">
      <c r="W983" s="111">
        <v>963</v>
      </c>
      <c r="X983" s="112">
        <v>7300</v>
      </c>
      <c r="Y983" s="113">
        <v>214217</v>
      </c>
      <c r="Z983" s="113">
        <v>221517</v>
      </c>
      <c r="AA983" s="112">
        <v>22152</v>
      </c>
      <c r="AB983" s="112">
        <v>8190</v>
      </c>
      <c r="AC983" s="147">
        <v>381035.35081499995</v>
      </c>
    </row>
    <row r="984" spans="23:29">
      <c r="W984" s="111">
        <v>964</v>
      </c>
      <c r="X984" s="112">
        <v>7300</v>
      </c>
      <c r="Y984" s="113">
        <v>214498</v>
      </c>
      <c r="Z984" s="113">
        <v>221798</v>
      </c>
      <c r="AA984" s="112">
        <v>22180</v>
      </c>
      <c r="AB984" s="112">
        <v>8200</v>
      </c>
      <c r="AC984" s="147">
        <v>381514.73478300002</v>
      </c>
    </row>
    <row r="985" spans="23:29">
      <c r="W985" s="111">
        <v>965</v>
      </c>
      <c r="X985" s="112">
        <v>7300</v>
      </c>
      <c r="Y985" s="113">
        <v>214779</v>
      </c>
      <c r="Z985" s="113">
        <v>222079</v>
      </c>
      <c r="AA985" s="112">
        <v>22208</v>
      </c>
      <c r="AB985" s="112">
        <v>8210</v>
      </c>
      <c r="AC985" s="147">
        <v>381994.11875099997</v>
      </c>
    </row>
    <row r="986" spans="23:29">
      <c r="W986" s="111">
        <v>966</v>
      </c>
      <c r="X986" s="112">
        <v>7300</v>
      </c>
      <c r="Y986" s="113">
        <v>215059</v>
      </c>
      <c r="Z986" s="113">
        <v>222359</v>
      </c>
      <c r="AA986" s="112">
        <v>22236</v>
      </c>
      <c r="AB986" s="112">
        <v>8220</v>
      </c>
      <c r="AC986" s="147">
        <v>382473.50271900004</v>
      </c>
    </row>
    <row r="987" spans="23:29">
      <c r="W987" s="111">
        <v>967</v>
      </c>
      <c r="X987" s="112">
        <v>7300</v>
      </c>
      <c r="Y987" s="113">
        <v>215340</v>
      </c>
      <c r="Z987" s="113">
        <v>222640</v>
      </c>
      <c r="AA987" s="112">
        <v>22264</v>
      </c>
      <c r="AB987" s="112">
        <v>8230</v>
      </c>
      <c r="AC987" s="147">
        <v>382952.88668699993</v>
      </c>
    </row>
    <row r="988" spans="23:29">
      <c r="W988" s="111">
        <v>968</v>
      </c>
      <c r="X988" s="112">
        <v>7300</v>
      </c>
      <c r="Y988" s="113">
        <v>215620</v>
      </c>
      <c r="Z988" s="113">
        <v>222920</v>
      </c>
      <c r="AA988" s="112">
        <v>22292</v>
      </c>
      <c r="AB988" s="112">
        <v>8240</v>
      </c>
      <c r="AC988" s="147">
        <v>383432.27065500006</v>
      </c>
    </row>
    <row r="989" spans="23:29">
      <c r="W989" s="111">
        <v>969</v>
      </c>
      <c r="X989" s="112">
        <v>7300</v>
      </c>
      <c r="Y989" s="113">
        <v>215901</v>
      </c>
      <c r="Z989" s="113">
        <v>223201</v>
      </c>
      <c r="AA989" s="112">
        <v>22320</v>
      </c>
      <c r="AB989" s="112">
        <v>8250</v>
      </c>
      <c r="AC989" s="147">
        <v>383911.65462299995</v>
      </c>
    </row>
    <row r="990" spans="23:29">
      <c r="W990" s="111">
        <v>970</v>
      </c>
      <c r="X990" s="112">
        <v>7300</v>
      </c>
      <c r="Y990" s="113">
        <v>216182</v>
      </c>
      <c r="Z990" s="113">
        <v>223482</v>
      </c>
      <c r="AA990" s="112">
        <v>22348</v>
      </c>
      <c r="AB990" s="112">
        <v>8260</v>
      </c>
      <c r="AC990" s="147">
        <v>384391.03859100008</v>
      </c>
    </row>
    <row r="991" spans="23:29">
      <c r="W991" s="111">
        <v>971</v>
      </c>
      <c r="X991" s="112">
        <v>7300</v>
      </c>
      <c r="Y991" s="113">
        <v>216462</v>
      </c>
      <c r="Z991" s="113">
        <v>223762</v>
      </c>
      <c r="AA991" s="112">
        <v>22376</v>
      </c>
      <c r="AB991" s="112">
        <v>8270</v>
      </c>
      <c r="AC991" s="147">
        <v>384855.44180999999</v>
      </c>
    </row>
    <row r="992" spans="23:29">
      <c r="W992" s="111">
        <v>972</v>
      </c>
      <c r="X992" s="112">
        <v>7300</v>
      </c>
      <c r="Y992" s="113">
        <v>216743</v>
      </c>
      <c r="Z992" s="113">
        <v>224043</v>
      </c>
      <c r="AA992" s="112">
        <v>22404</v>
      </c>
      <c r="AB992" s="112">
        <v>8280</v>
      </c>
      <c r="AC992" s="147">
        <v>385334.825778</v>
      </c>
    </row>
    <row r="993" spans="23:29">
      <c r="W993" s="111">
        <v>973</v>
      </c>
      <c r="X993" s="112">
        <v>7300</v>
      </c>
      <c r="Y993" s="113">
        <v>217023</v>
      </c>
      <c r="Z993" s="113">
        <v>224323</v>
      </c>
      <c r="AA993" s="112">
        <v>22432</v>
      </c>
      <c r="AB993" s="112">
        <v>8290</v>
      </c>
      <c r="AC993" s="147">
        <v>385814.20974600001</v>
      </c>
    </row>
    <row r="994" spans="23:29">
      <c r="W994" s="111">
        <v>974</v>
      </c>
      <c r="X994" s="112">
        <v>7300</v>
      </c>
      <c r="Y994" s="113">
        <v>217304</v>
      </c>
      <c r="Z994" s="113">
        <v>224604</v>
      </c>
      <c r="AA994" s="112">
        <v>22460</v>
      </c>
      <c r="AB994" s="112">
        <v>8310</v>
      </c>
      <c r="AC994" s="147">
        <v>386308.574463</v>
      </c>
    </row>
    <row r="995" spans="23:29">
      <c r="W995" s="111">
        <v>975</v>
      </c>
      <c r="X995" s="112">
        <v>7300</v>
      </c>
      <c r="Y995" s="113">
        <v>217585</v>
      </c>
      <c r="Z995" s="113">
        <v>224885</v>
      </c>
      <c r="AA995" s="112">
        <v>22489</v>
      </c>
      <c r="AB995" s="112">
        <v>8320</v>
      </c>
      <c r="AC995" s="147">
        <v>386787.95843100001</v>
      </c>
    </row>
    <row r="996" spans="23:29">
      <c r="W996" s="111">
        <v>976</v>
      </c>
      <c r="X996" s="112">
        <v>7300</v>
      </c>
      <c r="Y996" s="113">
        <v>217865</v>
      </c>
      <c r="Z996" s="113">
        <v>225165</v>
      </c>
      <c r="AA996" s="112">
        <v>22517</v>
      </c>
      <c r="AB996" s="112">
        <v>8330</v>
      </c>
      <c r="AC996" s="147">
        <v>387267.34239900002</v>
      </c>
    </row>
    <row r="997" spans="23:29">
      <c r="W997" s="111">
        <v>977</v>
      </c>
      <c r="X997" s="112">
        <v>7300</v>
      </c>
      <c r="Y997" s="113">
        <v>218146</v>
      </c>
      <c r="Z997" s="113">
        <v>225446</v>
      </c>
      <c r="AA997" s="112">
        <v>22545</v>
      </c>
      <c r="AB997" s="112">
        <v>8340</v>
      </c>
      <c r="AC997" s="147">
        <v>387746.72636699997</v>
      </c>
    </row>
    <row r="998" spans="23:29">
      <c r="W998" s="111">
        <v>978</v>
      </c>
      <c r="X998" s="112">
        <v>7300</v>
      </c>
      <c r="Y998" s="113">
        <v>218426</v>
      </c>
      <c r="Z998" s="113">
        <v>225726</v>
      </c>
      <c r="AA998" s="112">
        <v>22573</v>
      </c>
      <c r="AB998" s="112">
        <v>8350</v>
      </c>
      <c r="AC998" s="147">
        <v>388211.129586</v>
      </c>
    </row>
    <row r="999" spans="23:29">
      <c r="W999" s="111">
        <v>979</v>
      </c>
      <c r="X999" s="112">
        <v>7300</v>
      </c>
      <c r="Y999" s="113">
        <v>218707</v>
      </c>
      <c r="Z999" s="113">
        <v>226007</v>
      </c>
      <c r="AA999" s="112">
        <v>22601</v>
      </c>
      <c r="AB999" s="112">
        <v>8360</v>
      </c>
      <c r="AC999" s="147">
        <v>388690.513554</v>
      </c>
    </row>
    <row r="1000" spans="23:29">
      <c r="W1000" s="111">
        <v>980</v>
      </c>
      <c r="X1000" s="112">
        <v>7300</v>
      </c>
      <c r="Y1000" s="113">
        <v>218988</v>
      </c>
      <c r="Z1000" s="113">
        <v>226288</v>
      </c>
      <c r="AA1000" s="112">
        <v>22629</v>
      </c>
      <c r="AB1000" s="112">
        <v>8370</v>
      </c>
      <c r="AC1000" s="147">
        <v>389169.89752199996</v>
      </c>
    </row>
    <row r="1001" spans="23:29">
      <c r="W1001" s="111">
        <v>981</v>
      </c>
      <c r="X1001" s="112">
        <v>7300</v>
      </c>
      <c r="Y1001" s="113">
        <v>219268</v>
      </c>
      <c r="Z1001" s="113">
        <v>226568</v>
      </c>
      <c r="AA1001" s="112">
        <v>22657</v>
      </c>
      <c r="AB1001" s="112">
        <v>8380</v>
      </c>
      <c r="AC1001" s="147">
        <v>389649.28149000002</v>
      </c>
    </row>
    <row r="1002" spans="23:29">
      <c r="W1002" s="111">
        <v>982</v>
      </c>
      <c r="X1002" s="112">
        <v>7300</v>
      </c>
      <c r="Y1002" s="113">
        <v>219549</v>
      </c>
      <c r="Z1002" s="113">
        <v>226849</v>
      </c>
      <c r="AA1002" s="112">
        <v>22685</v>
      </c>
      <c r="AB1002" s="112">
        <v>8390</v>
      </c>
      <c r="AC1002" s="147">
        <v>390128.66545799997</v>
      </c>
    </row>
    <row r="1003" spans="23:29">
      <c r="W1003" s="111">
        <v>983</v>
      </c>
      <c r="X1003" s="112">
        <v>7300</v>
      </c>
      <c r="Y1003" s="113">
        <v>219829</v>
      </c>
      <c r="Z1003" s="113">
        <v>227129</v>
      </c>
      <c r="AA1003" s="112">
        <v>22713</v>
      </c>
      <c r="AB1003" s="112">
        <v>8400</v>
      </c>
      <c r="AC1003" s="147">
        <v>390608.04942600004</v>
      </c>
    </row>
    <row r="1004" spans="23:29">
      <c r="W1004" s="111">
        <v>984</v>
      </c>
      <c r="X1004" s="112">
        <v>7300</v>
      </c>
      <c r="Y1004" s="113">
        <v>220110</v>
      </c>
      <c r="Z1004" s="113">
        <v>227410</v>
      </c>
      <c r="AA1004" s="112">
        <v>22741</v>
      </c>
      <c r="AB1004" s="112">
        <v>8410</v>
      </c>
      <c r="AC1004" s="147">
        <v>391087.43339399999</v>
      </c>
    </row>
    <row r="1005" spans="23:29">
      <c r="W1005" s="111">
        <v>985</v>
      </c>
      <c r="X1005" s="112">
        <v>7300</v>
      </c>
      <c r="Y1005" s="113">
        <v>220391</v>
      </c>
      <c r="Z1005" s="113">
        <v>227691</v>
      </c>
      <c r="AA1005" s="112">
        <v>22769</v>
      </c>
      <c r="AB1005" s="112">
        <v>8420</v>
      </c>
      <c r="AC1005" s="147">
        <v>391566.817362</v>
      </c>
    </row>
    <row r="1006" spans="23:29">
      <c r="W1006" s="111">
        <v>986</v>
      </c>
      <c r="X1006" s="112">
        <v>7300</v>
      </c>
      <c r="Y1006" s="113">
        <v>220671</v>
      </c>
      <c r="Z1006" s="113">
        <v>227971</v>
      </c>
      <c r="AA1006" s="112">
        <v>22797</v>
      </c>
      <c r="AB1006" s="112">
        <v>8430</v>
      </c>
      <c r="AC1006" s="147">
        <v>392031.22058100003</v>
      </c>
    </row>
    <row r="1007" spans="23:29">
      <c r="W1007" s="111">
        <v>987</v>
      </c>
      <c r="X1007" s="112">
        <v>7300</v>
      </c>
      <c r="Y1007" s="113">
        <v>220952</v>
      </c>
      <c r="Z1007" s="113">
        <v>228252</v>
      </c>
      <c r="AA1007" s="112">
        <v>22825</v>
      </c>
      <c r="AB1007" s="112">
        <v>8440</v>
      </c>
      <c r="AC1007" s="147">
        <v>392510.60454899998</v>
      </c>
    </row>
    <row r="1008" spans="23:29">
      <c r="W1008" s="111">
        <v>988</v>
      </c>
      <c r="X1008" s="112">
        <v>7300</v>
      </c>
      <c r="Y1008" s="113">
        <v>221232</v>
      </c>
      <c r="Z1008" s="113">
        <v>228532</v>
      </c>
      <c r="AA1008" s="112">
        <v>22853</v>
      </c>
      <c r="AB1008" s="112">
        <v>8450</v>
      </c>
      <c r="AC1008" s="147">
        <v>392989.98851699999</v>
      </c>
    </row>
    <row r="1009" spans="23:29">
      <c r="W1009" s="111">
        <v>989</v>
      </c>
      <c r="X1009" s="112">
        <v>7300</v>
      </c>
      <c r="Y1009" s="113">
        <v>221513</v>
      </c>
      <c r="Z1009" s="113">
        <v>228813</v>
      </c>
      <c r="AA1009" s="112">
        <v>22881</v>
      </c>
      <c r="AB1009" s="112">
        <v>8460</v>
      </c>
      <c r="AC1009" s="147">
        <v>393469.372485</v>
      </c>
    </row>
    <row r="1010" spans="23:29">
      <c r="W1010" s="111">
        <v>990</v>
      </c>
      <c r="X1010" s="112">
        <v>7300</v>
      </c>
      <c r="Y1010" s="113">
        <v>221794</v>
      </c>
      <c r="Z1010" s="113">
        <v>229094</v>
      </c>
      <c r="AA1010" s="112">
        <v>22909</v>
      </c>
      <c r="AB1010" s="112">
        <v>8470</v>
      </c>
      <c r="AC1010" s="147">
        <v>393948.75645300001</v>
      </c>
    </row>
    <row r="1011" spans="23:29">
      <c r="W1011" s="111">
        <v>991</v>
      </c>
      <c r="X1011" s="112">
        <v>7300</v>
      </c>
      <c r="Y1011" s="113">
        <v>222074</v>
      </c>
      <c r="Z1011" s="113">
        <v>229374</v>
      </c>
      <c r="AA1011" s="112">
        <v>22937</v>
      </c>
      <c r="AB1011" s="112">
        <v>8480</v>
      </c>
      <c r="AC1011" s="147">
        <v>394428.14042100002</v>
      </c>
    </row>
    <row r="1012" spans="23:29">
      <c r="W1012" s="111">
        <v>992</v>
      </c>
      <c r="X1012" s="112">
        <v>7300</v>
      </c>
      <c r="Y1012" s="113">
        <v>222355</v>
      </c>
      <c r="Z1012" s="113">
        <v>229655</v>
      </c>
      <c r="AA1012" s="112">
        <v>22966</v>
      </c>
      <c r="AB1012" s="112">
        <v>8490</v>
      </c>
      <c r="AC1012" s="147">
        <v>394907.52438900003</v>
      </c>
    </row>
    <row r="1013" spans="23:29">
      <c r="W1013" s="111">
        <v>993</v>
      </c>
      <c r="X1013" s="112">
        <v>7300</v>
      </c>
      <c r="Y1013" s="113">
        <v>222635</v>
      </c>
      <c r="Z1013" s="113">
        <v>229935</v>
      </c>
      <c r="AA1013" s="112">
        <v>22994</v>
      </c>
      <c r="AB1013" s="112">
        <v>8500</v>
      </c>
      <c r="AC1013" s="147">
        <v>395371.927608</v>
      </c>
    </row>
    <row r="1014" spans="23:29">
      <c r="W1014" s="111">
        <v>994</v>
      </c>
      <c r="X1014" s="112">
        <v>7300</v>
      </c>
      <c r="Y1014" s="113">
        <v>222916</v>
      </c>
      <c r="Z1014" s="113">
        <v>230216</v>
      </c>
      <c r="AA1014" s="112">
        <v>23022</v>
      </c>
      <c r="AB1014" s="112">
        <v>8510</v>
      </c>
      <c r="AC1014" s="147">
        <v>395851.31157600007</v>
      </c>
    </row>
    <row r="1015" spans="23:29">
      <c r="W1015" s="111">
        <v>995</v>
      </c>
      <c r="X1015" s="112">
        <v>7300</v>
      </c>
      <c r="Y1015" s="113">
        <v>223197</v>
      </c>
      <c r="Z1015" s="113">
        <v>230497</v>
      </c>
      <c r="AA1015" s="112">
        <v>23050</v>
      </c>
      <c r="AB1015" s="112">
        <v>8520</v>
      </c>
      <c r="AC1015" s="147">
        <v>396330.69554399996</v>
      </c>
    </row>
    <row r="1016" spans="23:29">
      <c r="W1016" s="111">
        <v>996</v>
      </c>
      <c r="X1016" s="112">
        <v>7300</v>
      </c>
      <c r="Y1016" s="113">
        <v>223477</v>
      </c>
      <c r="Z1016" s="113">
        <v>230777</v>
      </c>
      <c r="AA1016" s="112">
        <v>23078</v>
      </c>
      <c r="AB1016" s="112">
        <v>8530</v>
      </c>
      <c r="AC1016" s="147">
        <v>396810.07951199991</v>
      </c>
    </row>
    <row r="1017" spans="23:29">
      <c r="W1017" s="111">
        <v>997</v>
      </c>
      <c r="X1017" s="112">
        <v>7300</v>
      </c>
      <c r="Y1017" s="113">
        <v>223758</v>
      </c>
      <c r="Z1017" s="113">
        <v>231058</v>
      </c>
      <c r="AA1017" s="112">
        <v>23106</v>
      </c>
      <c r="AB1017" s="112">
        <v>8540</v>
      </c>
      <c r="AC1017" s="147">
        <v>397289.46347999998</v>
      </c>
    </row>
    <row r="1018" spans="23:29">
      <c r="W1018" s="111">
        <v>998</v>
      </c>
      <c r="X1018" s="112">
        <v>7300</v>
      </c>
      <c r="Y1018" s="113">
        <v>224038</v>
      </c>
      <c r="Z1018" s="113">
        <v>231338</v>
      </c>
      <c r="AA1018" s="112">
        <v>23134</v>
      </c>
      <c r="AB1018" s="112">
        <v>8550</v>
      </c>
      <c r="AC1018" s="147">
        <v>397768.84744799993</v>
      </c>
    </row>
    <row r="1019" spans="23:29">
      <c r="W1019" s="111">
        <v>999</v>
      </c>
      <c r="X1019" s="112">
        <v>7300</v>
      </c>
      <c r="Y1019" s="113">
        <v>224319</v>
      </c>
      <c r="Z1019" s="113">
        <v>231619</v>
      </c>
      <c r="AA1019" s="112">
        <v>23162</v>
      </c>
      <c r="AB1019" s="112">
        <v>8560</v>
      </c>
      <c r="AC1019" s="147">
        <v>398248.231416</v>
      </c>
    </row>
    <row r="1020" spans="23:29">
      <c r="W1020" s="111">
        <v>1000</v>
      </c>
      <c r="X1020" s="112">
        <v>7300</v>
      </c>
      <c r="Y1020" s="113">
        <v>224600</v>
      </c>
      <c r="Z1020" s="113">
        <v>231900</v>
      </c>
      <c r="AA1020" s="112">
        <v>23190</v>
      </c>
      <c r="AB1020" s="112">
        <v>8580</v>
      </c>
      <c r="AC1020" s="147">
        <v>398742.59613299998</v>
      </c>
    </row>
    <row r="1021" spans="23:29">
      <c r="W1021" s="111">
        <v>1001</v>
      </c>
      <c r="X1021" s="112">
        <v>7300</v>
      </c>
      <c r="Y1021" s="113">
        <v>224880.26666666701</v>
      </c>
      <c r="Z1021" s="113">
        <v>232180.26666666701</v>
      </c>
      <c r="AA1021" s="112">
        <v>23218</v>
      </c>
      <c r="AB1021" s="112">
        <v>8586.6666666666697</v>
      </c>
      <c r="AC1021" s="147">
        <v>399216.98651800049</v>
      </c>
    </row>
    <row r="1022" spans="23:29">
      <c r="W1022" s="111">
        <v>1002</v>
      </c>
      <c r="X1022" s="112">
        <v>7300</v>
      </c>
      <c r="Y1022" s="113">
        <v>225160.86666666699</v>
      </c>
      <c r="Z1022" s="113">
        <v>232460.86666666699</v>
      </c>
      <c r="AA1022" s="112">
        <v>23246</v>
      </c>
      <c r="AB1022" s="112">
        <v>8598.0952380952403</v>
      </c>
      <c r="AC1022" s="147">
        <v>399698.51059299958</v>
      </c>
    </row>
    <row r="1023" spans="23:29">
      <c r="W1023" s="111">
        <v>1003</v>
      </c>
      <c r="X1023" s="112">
        <v>7300</v>
      </c>
      <c r="Y1023" s="113">
        <v>225441.46666666699</v>
      </c>
      <c r="Z1023" s="113">
        <v>232741.46666666699</v>
      </c>
      <c r="AA1023" s="112">
        <v>23274</v>
      </c>
      <c r="AB1023" s="112">
        <v>8609.5238095238092</v>
      </c>
      <c r="AC1023" s="147">
        <v>400180.03466800024</v>
      </c>
    </row>
    <row r="1024" spans="23:29">
      <c r="W1024" s="111">
        <v>1004</v>
      </c>
      <c r="X1024" s="112">
        <v>7300</v>
      </c>
      <c r="Y1024" s="113">
        <v>225722.066666667</v>
      </c>
      <c r="Z1024" s="113">
        <v>233022.066666667</v>
      </c>
      <c r="AA1024" s="112">
        <v>23302</v>
      </c>
      <c r="AB1024" s="112">
        <v>8620.9523809523798</v>
      </c>
      <c r="AC1024" s="147">
        <v>400661.55874299939</v>
      </c>
    </row>
    <row r="1025" spans="23:29">
      <c r="W1025" s="111">
        <v>1005</v>
      </c>
      <c r="X1025" s="112">
        <v>7300</v>
      </c>
      <c r="Y1025" s="113">
        <v>226002.66666666701</v>
      </c>
      <c r="Z1025" s="113">
        <v>233302.66666666701</v>
      </c>
      <c r="AA1025" s="112">
        <v>23330</v>
      </c>
      <c r="AB1025" s="112">
        <v>8632.3809523809505</v>
      </c>
      <c r="AC1025" s="147">
        <v>401143.08281800005</v>
      </c>
    </row>
    <row r="1026" spans="23:29">
      <c r="W1026" s="111">
        <v>1006</v>
      </c>
      <c r="X1026" s="112">
        <v>7300</v>
      </c>
      <c r="Y1026" s="113">
        <v>226283.26666666701</v>
      </c>
      <c r="Z1026" s="113">
        <v>233583.26666666701</v>
      </c>
      <c r="AA1026" s="112">
        <v>23358</v>
      </c>
      <c r="AB1026" s="112">
        <v>8643.8095238095193</v>
      </c>
      <c r="AC1026" s="147">
        <v>401624.60689300066</v>
      </c>
    </row>
    <row r="1027" spans="23:29">
      <c r="W1027" s="111">
        <v>1007</v>
      </c>
      <c r="X1027" s="112">
        <v>7300</v>
      </c>
      <c r="Y1027" s="113">
        <v>226563.86666666699</v>
      </c>
      <c r="Z1027" s="113">
        <v>233863.86666666699</v>
      </c>
      <c r="AA1027" s="112">
        <v>23386</v>
      </c>
      <c r="AB1027" s="112">
        <v>8655.23809523809</v>
      </c>
      <c r="AC1027" s="147">
        <v>402106.13096799981</v>
      </c>
    </row>
    <row r="1028" spans="23:29">
      <c r="W1028" s="111">
        <v>1008</v>
      </c>
      <c r="X1028" s="112">
        <v>7300</v>
      </c>
      <c r="Y1028" s="113">
        <v>226844.46666666699</v>
      </c>
      <c r="Z1028" s="113">
        <v>234144.46666666699</v>
      </c>
      <c r="AA1028" s="112">
        <v>23414</v>
      </c>
      <c r="AB1028" s="112">
        <v>8666.6666666666697</v>
      </c>
      <c r="AC1028" s="147">
        <v>402587.65504300041</v>
      </c>
    </row>
    <row r="1029" spans="23:29">
      <c r="W1029" s="111">
        <v>1009</v>
      </c>
      <c r="X1029" s="112">
        <v>7300</v>
      </c>
      <c r="Y1029" s="113">
        <v>227125.066666667</v>
      </c>
      <c r="Z1029" s="113">
        <v>234425.066666667</v>
      </c>
      <c r="AA1029" s="112">
        <v>23442</v>
      </c>
      <c r="AB1029" s="112">
        <v>8678.0952380952403</v>
      </c>
      <c r="AC1029" s="147">
        <v>403069.17911799956</v>
      </c>
    </row>
    <row r="1030" spans="23:29">
      <c r="W1030" s="111">
        <v>1010</v>
      </c>
      <c r="X1030" s="112">
        <v>7300</v>
      </c>
      <c r="Y1030" s="113">
        <v>227405.66666666701</v>
      </c>
      <c r="Z1030" s="113">
        <v>234705.66666666701</v>
      </c>
      <c r="AA1030" s="112">
        <v>23470</v>
      </c>
      <c r="AB1030" s="112">
        <v>8689.5238095238092</v>
      </c>
      <c r="AC1030" s="147">
        <v>403550.70319300023</v>
      </c>
    </row>
    <row r="1031" spans="23:29">
      <c r="W1031" s="111">
        <v>1011</v>
      </c>
      <c r="X1031" s="112">
        <v>7300</v>
      </c>
      <c r="Y1031" s="113">
        <v>227686.26666666701</v>
      </c>
      <c r="Z1031" s="113">
        <v>234986.26666666701</v>
      </c>
      <c r="AA1031" s="112">
        <v>23498</v>
      </c>
      <c r="AB1031" s="112">
        <v>8700.9523809523798</v>
      </c>
      <c r="AC1031" s="147">
        <v>404032.22726799949</v>
      </c>
    </row>
    <row r="1032" spans="23:29">
      <c r="W1032" s="111">
        <v>1012</v>
      </c>
      <c r="X1032" s="112">
        <v>7300</v>
      </c>
      <c r="Y1032" s="113">
        <v>227966.86666666699</v>
      </c>
      <c r="Z1032" s="113">
        <v>235266.86666666699</v>
      </c>
      <c r="AA1032" s="112">
        <v>23526</v>
      </c>
      <c r="AB1032" s="112">
        <v>8712.3809523809505</v>
      </c>
      <c r="AC1032" s="147">
        <v>404513.7513430001</v>
      </c>
    </row>
    <row r="1033" spans="23:29">
      <c r="W1033" s="111">
        <v>1013</v>
      </c>
      <c r="X1033" s="112">
        <v>7300</v>
      </c>
      <c r="Y1033" s="113">
        <v>228247.46666666699</v>
      </c>
      <c r="Z1033" s="113">
        <v>235547.46666666699</v>
      </c>
      <c r="AA1033" s="112">
        <v>23554</v>
      </c>
      <c r="AB1033" s="112">
        <v>8723.8095238095193</v>
      </c>
      <c r="AC1033" s="147">
        <v>404995.27541800065</v>
      </c>
    </row>
    <row r="1034" spans="23:29">
      <c r="W1034" s="111">
        <v>1014</v>
      </c>
      <c r="X1034" s="112">
        <v>7300</v>
      </c>
      <c r="Y1034" s="113">
        <v>228528.066666667</v>
      </c>
      <c r="Z1034" s="113">
        <v>235828.066666667</v>
      </c>
      <c r="AA1034" s="112">
        <v>23582</v>
      </c>
      <c r="AB1034" s="112">
        <v>8735.23809523809</v>
      </c>
      <c r="AC1034" s="147">
        <v>405476.79949299985</v>
      </c>
    </row>
    <row r="1035" spans="23:29">
      <c r="W1035" s="111">
        <v>1015</v>
      </c>
      <c r="X1035" s="112">
        <v>7300</v>
      </c>
      <c r="Y1035" s="113">
        <v>228808.66666666701</v>
      </c>
      <c r="Z1035" s="113">
        <v>236108.66666666701</v>
      </c>
      <c r="AA1035" s="112">
        <v>23610</v>
      </c>
      <c r="AB1035" s="112">
        <v>8746.6666666666697</v>
      </c>
      <c r="AC1035" s="147">
        <v>405958.32356800046</v>
      </c>
    </row>
    <row r="1036" spans="23:29">
      <c r="W1036" s="111">
        <v>1016</v>
      </c>
      <c r="X1036" s="112">
        <v>7300</v>
      </c>
      <c r="Y1036" s="113">
        <v>229089.26666666701</v>
      </c>
      <c r="Z1036" s="113">
        <v>236389.26666666701</v>
      </c>
      <c r="AA1036" s="112">
        <v>23638</v>
      </c>
      <c r="AB1036" s="112">
        <v>8758.0952380952403</v>
      </c>
      <c r="AC1036" s="147">
        <v>406439.84764299955</v>
      </c>
    </row>
    <row r="1037" spans="23:29">
      <c r="W1037" s="111">
        <v>1017</v>
      </c>
      <c r="X1037" s="112">
        <v>7300</v>
      </c>
      <c r="Y1037" s="113">
        <v>229369.86666666699</v>
      </c>
      <c r="Z1037" s="113">
        <v>236669.86666666699</v>
      </c>
      <c r="AA1037" s="112">
        <v>23666</v>
      </c>
      <c r="AB1037" s="112">
        <v>8769.5238095238092</v>
      </c>
      <c r="AC1037" s="147">
        <v>406921.37171800033</v>
      </c>
    </row>
    <row r="1038" spans="23:29">
      <c r="W1038" s="111">
        <v>1018</v>
      </c>
      <c r="X1038" s="112">
        <v>7300</v>
      </c>
      <c r="Y1038" s="113">
        <v>229650.46666666699</v>
      </c>
      <c r="Z1038" s="113">
        <v>236950.46666666699</v>
      </c>
      <c r="AA1038" s="112">
        <v>23694</v>
      </c>
      <c r="AB1038" s="112">
        <v>8780.9523809523798</v>
      </c>
      <c r="AC1038" s="147">
        <v>407402.89579299942</v>
      </c>
    </row>
    <row r="1039" spans="23:29">
      <c r="W1039" s="111">
        <v>1019</v>
      </c>
      <c r="X1039" s="112">
        <v>7300</v>
      </c>
      <c r="Y1039" s="113">
        <v>229931.066666667</v>
      </c>
      <c r="Z1039" s="113">
        <v>237231.066666667</v>
      </c>
      <c r="AA1039" s="112">
        <v>23722</v>
      </c>
      <c r="AB1039" s="112">
        <v>8792.3809523809505</v>
      </c>
      <c r="AC1039" s="147">
        <v>407884.41986800003</v>
      </c>
    </row>
    <row r="1040" spans="23:29">
      <c r="W1040" s="111">
        <v>1020</v>
      </c>
      <c r="X1040" s="112">
        <v>7300</v>
      </c>
      <c r="Y1040" s="113">
        <v>230211.66666666701</v>
      </c>
      <c r="Z1040" s="113">
        <v>237511.66666666701</v>
      </c>
      <c r="AA1040" s="112">
        <v>23750</v>
      </c>
      <c r="AB1040" s="112">
        <v>8803.8095238095193</v>
      </c>
      <c r="AC1040" s="147">
        <v>408365.94394300069</v>
      </c>
    </row>
    <row r="1041" spans="23:29">
      <c r="W1041" s="111">
        <v>1021</v>
      </c>
      <c r="X1041" s="112">
        <v>7300</v>
      </c>
      <c r="Y1041" s="113">
        <v>230492.26666666701</v>
      </c>
      <c r="Z1041" s="113">
        <v>237792.26666666701</v>
      </c>
      <c r="AA1041" s="112">
        <v>23778</v>
      </c>
      <c r="AB1041" s="112">
        <v>8815.23809523809</v>
      </c>
      <c r="AC1041" s="147">
        <v>408847.46801799978</v>
      </c>
    </row>
    <row r="1042" spans="23:29">
      <c r="W1042" s="111">
        <v>1022</v>
      </c>
      <c r="X1042" s="112">
        <v>7300</v>
      </c>
      <c r="Y1042" s="113">
        <v>230772.86666666699</v>
      </c>
      <c r="Z1042" s="113">
        <v>238072.86666666699</v>
      </c>
      <c r="AA1042" s="112">
        <v>23806</v>
      </c>
      <c r="AB1042" s="112">
        <v>8826.6666666666697</v>
      </c>
      <c r="AC1042" s="147">
        <v>409328.99209300044</v>
      </c>
    </row>
    <row r="1043" spans="23:29">
      <c r="W1043" s="111">
        <v>1023</v>
      </c>
      <c r="X1043" s="112">
        <v>7300</v>
      </c>
      <c r="Y1043" s="113">
        <v>231053.46666666699</v>
      </c>
      <c r="Z1043" s="113">
        <v>238353.46666666699</v>
      </c>
      <c r="AA1043" s="112">
        <v>23834</v>
      </c>
      <c r="AB1043" s="112">
        <v>8838.0952380952403</v>
      </c>
      <c r="AC1043" s="147">
        <v>409810.51616799959</v>
      </c>
    </row>
    <row r="1044" spans="23:29">
      <c r="W1044" s="111">
        <v>1024</v>
      </c>
      <c r="X1044" s="112">
        <v>7300</v>
      </c>
      <c r="Y1044" s="113">
        <v>231334.066666667</v>
      </c>
      <c r="Z1044" s="113">
        <v>238634.066666667</v>
      </c>
      <c r="AA1044" s="112">
        <v>23862</v>
      </c>
      <c r="AB1044" s="112">
        <v>8849.5238095238092</v>
      </c>
      <c r="AC1044" s="147">
        <v>410292.04024300026</v>
      </c>
    </row>
    <row r="1045" spans="23:29">
      <c r="W1045" s="111">
        <v>1025</v>
      </c>
      <c r="X1045" s="112">
        <v>7300</v>
      </c>
      <c r="Y1045" s="113">
        <v>231614.66666666701</v>
      </c>
      <c r="Z1045" s="113">
        <v>238914.66666666701</v>
      </c>
      <c r="AA1045" s="112">
        <v>23890</v>
      </c>
      <c r="AB1045" s="112">
        <v>8860.9523809523798</v>
      </c>
      <c r="AC1045" s="147">
        <v>410773.56431799947</v>
      </c>
    </row>
    <row r="1046" spans="23:29">
      <c r="W1046" s="111">
        <v>1026</v>
      </c>
      <c r="X1046" s="112">
        <v>7300</v>
      </c>
      <c r="Y1046" s="113">
        <v>231895.26666666701</v>
      </c>
      <c r="Z1046" s="113">
        <v>239195.26666666701</v>
      </c>
      <c r="AA1046" s="112">
        <v>23918</v>
      </c>
      <c r="AB1046" s="112">
        <v>8872.3809523809505</v>
      </c>
      <c r="AC1046" s="147">
        <v>411255.08839300001</v>
      </c>
    </row>
    <row r="1047" spans="23:29">
      <c r="W1047" s="111">
        <v>1027</v>
      </c>
      <c r="X1047" s="112">
        <v>7300</v>
      </c>
      <c r="Y1047" s="113">
        <v>232175.86666666699</v>
      </c>
      <c r="Z1047" s="113">
        <v>239475.86666666699</v>
      </c>
      <c r="AA1047" s="112">
        <v>23946</v>
      </c>
      <c r="AB1047" s="112">
        <v>8883.8095238095193</v>
      </c>
      <c r="AC1047" s="147">
        <v>411736.61246800062</v>
      </c>
    </row>
    <row r="1048" spans="23:29">
      <c r="W1048" s="111">
        <v>1028</v>
      </c>
      <c r="X1048" s="112">
        <v>7300</v>
      </c>
      <c r="Y1048" s="113">
        <v>232456.46666666699</v>
      </c>
      <c r="Z1048" s="113">
        <v>239756.46666666699</v>
      </c>
      <c r="AA1048" s="112">
        <v>23974</v>
      </c>
      <c r="AB1048" s="112">
        <v>8895.23809523809</v>
      </c>
      <c r="AC1048" s="147">
        <v>412218.13654299988</v>
      </c>
    </row>
    <row r="1049" spans="23:29">
      <c r="W1049" s="111">
        <v>1029</v>
      </c>
      <c r="X1049" s="112">
        <v>7300</v>
      </c>
      <c r="Y1049" s="113">
        <v>232737.066666667</v>
      </c>
      <c r="Z1049" s="113">
        <v>240037.066666667</v>
      </c>
      <c r="AA1049" s="112">
        <v>24002</v>
      </c>
      <c r="AB1049" s="112">
        <v>8906.6666666666697</v>
      </c>
      <c r="AC1049" s="147">
        <v>412699.66061800043</v>
      </c>
    </row>
    <row r="1050" spans="23:29">
      <c r="W1050" s="111">
        <v>1030</v>
      </c>
      <c r="X1050" s="112">
        <v>7300</v>
      </c>
      <c r="Y1050" s="113">
        <v>233017.66666666701</v>
      </c>
      <c r="Z1050" s="113">
        <v>240317.66666666701</v>
      </c>
      <c r="AA1050" s="112">
        <v>24030</v>
      </c>
      <c r="AB1050" s="112">
        <v>8918.0952380952403</v>
      </c>
      <c r="AC1050" s="147">
        <v>413181.18469299964</v>
      </c>
    </row>
    <row r="1051" spans="23:29">
      <c r="W1051" s="111">
        <v>1031</v>
      </c>
      <c r="X1051" s="112">
        <v>7300</v>
      </c>
      <c r="Y1051" s="113">
        <v>233298.26666666701</v>
      </c>
      <c r="Z1051" s="113">
        <v>240598.26666666701</v>
      </c>
      <c r="AA1051" s="112">
        <v>24058</v>
      </c>
      <c r="AB1051" s="112">
        <v>8929.5238095238092</v>
      </c>
      <c r="AC1051" s="147">
        <v>413662.7087680003</v>
      </c>
    </row>
    <row r="1052" spans="23:29">
      <c r="W1052" s="111">
        <v>1032</v>
      </c>
      <c r="X1052" s="112">
        <v>7300</v>
      </c>
      <c r="Y1052" s="113">
        <v>233578.86666666699</v>
      </c>
      <c r="Z1052" s="113">
        <v>240878.86666666699</v>
      </c>
      <c r="AA1052" s="112">
        <v>24086</v>
      </c>
      <c r="AB1052" s="112">
        <v>8940.9523809523798</v>
      </c>
      <c r="AC1052" s="147">
        <v>414144.23284299939</v>
      </c>
    </row>
    <row r="1053" spans="23:29">
      <c r="W1053" s="111">
        <v>1033</v>
      </c>
      <c r="X1053" s="112">
        <v>7300</v>
      </c>
      <c r="Y1053" s="113">
        <v>233859.46666666699</v>
      </c>
      <c r="Z1053" s="113">
        <v>241159.46666666699</v>
      </c>
      <c r="AA1053" s="112">
        <v>24114</v>
      </c>
      <c r="AB1053" s="112">
        <v>8952.3809523809505</v>
      </c>
      <c r="AC1053" s="147">
        <v>414625.75691800006</v>
      </c>
    </row>
    <row r="1054" spans="23:29">
      <c r="W1054" s="111">
        <v>1034</v>
      </c>
      <c r="X1054" s="112">
        <v>7300</v>
      </c>
      <c r="Y1054" s="113">
        <v>234140.066666667</v>
      </c>
      <c r="Z1054" s="113">
        <v>241440.066666667</v>
      </c>
      <c r="AA1054" s="112">
        <v>24142</v>
      </c>
      <c r="AB1054" s="112">
        <v>8963.8095238095193</v>
      </c>
      <c r="AC1054" s="147">
        <v>415107.28099300072</v>
      </c>
    </row>
    <row r="1055" spans="23:29">
      <c r="W1055" s="111">
        <v>1035</v>
      </c>
      <c r="X1055" s="112">
        <v>7300</v>
      </c>
      <c r="Y1055" s="113">
        <v>234420.66666666701</v>
      </c>
      <c r="Z1055" s="113">
        <v>241720.66666666701</v>
      </c>
      <c r="AA1055" s="112">
        <v>24170</v>
      </c>
      <c r="AB1055" s="112">
        <v>8975.23809523809</v>
      </c>
      <c r="AC1055" s="147">
        <v>415588.80506799981</v>
      </c>
    </row>
    <row r="1056" spans="23:29">
      <c r="W1056" s="111">
        <v>1036</v>
      </c>
      <c r="X1056" s="112">
        <v>7300</v>
      </c>
      <c r="Y1056" s="113">
        <v>234701.26666666701</v>
      </c>
      <c r="Z1056" s="113">
        <v>242001.26666666701</v>
      </c>
      <c r="AA1056" s="112">
        <v>24198</v>
      </c>
      <c r="AB1056" s="112">
        <v>8986.6666666666697</v>
      </c>
      <c r="AC1056" s="147">
        <v>416070.32914300048</v>
      </c>
    </row>
    <row r="1057" spans="23:29">
      <c r="W1057" s="111">
        <v>1037</v>
      </c>
      <c r="X1057" s="112">
        <v>7300</v>
      </c>
      <c r="Y1057" s="113">
        <v>234981.86666666699</v>
      </c>
      <c r="Z1057" s="113">
        <v>242281.86666666699</v>
      </c>
      <c r="AA1057" s="112">
        <v>24226</v>
      </c>
      <c r="AB1057" s="112">
        <v>8998.0952380952403</v>
      </c>
      <c r="AC1057" s="147">
        <v>416551.85321799957</v>
      </c>
    </row>
    <row r="1058" spans="23:29">
      <c r="W1058" s="111">
        <v>1038</v>
      </c>
      <c r="X1058" s="112">
        <v>7300</v>
      </c>
      <c r="Y1058" s="113">
        <v>235262.46666666699</v>
      </c>
      <c r="Z1058" s="113">
        <v>242562.46666666699</v>
      </c>
      <c r="AA1058" s="112">
        <v>24254</v>
      </c>
      <c r="AB1058" s="112">
        <v>9009.5238095238092</v>
      </c>
      <c r="AC1058" s="147">
        <v>417033.37729300029</v>
      </c>
    </row>
    <row r="1059" spans="23:29">
      <c r="W1059" s="111">
        <v>1039</v>
      </c>
      <c r="X1059" s="112">
        <v>7300</v>
      </c>
      <c r="Y1059" s="113">
        <v>235543.066666667</v>
      </c>
      <c r="Z1059" s="113">
        <v>242843.066666667</v>
      </c>
      <c r="AA1059" s="112">
        <v>24282</v>
      </c>
      <c r="AB1059" s="112">
        <v>9020.9523809523798</v>
      </c>
      <c r="AC1059" s="147">
        <v>417514.90136799938</v>
      </c>
    </row>
    <row r="1060" spans="23:29">
      <c r="W1060" s="111">
        <v>1040</v>
      </c>
      <c r="X1060" s="112">
        <v>7300</v>
      </c>
      <c r="Y1060" s="113">
        <v>235823.66666666701</v>
      </c>
      <c r="Z1060" s="113">
        <v>243123.66666666701</v>
      </c>
      <c r="AA1060" s="112">
        <v>24310</v>
      </c>
      <c r="AB1060" s="112">
        <v>9032.3809523809505</v>
      </c>
      <c r="AC1060" s="147">
        <v>417996.42544300004</v>
      </c>
    </row>
    <row r="1061" spans="23:29">
      <c r="W1061" s="111">
        <v>1041</v>
      </c>
      <c r="X1061" s="112">
        <v>7300</v>
      </c>
      <c r="Y1061" s="113">
        <v>236104.26666666701</v>
      </c>
      <c r="Z1061" s="113">
        <v>243404.26666666701</v>
      </c>
      <c r="AA1061" s="112">
        <v>24338</v>
      </c>
      <c r="AB1061" s="112">
        <v>9043.8095238095193</v>
      </c>
      <c r="AC1061" s="147">
        <v>418477.94951800071</v>
      </c>
    </row>
    <row r="1062" spans="23:29">
      <c r="W1062" s="111">
        <v>1042</v>
      </c>
      <c r="X1062" s="112">
        <v>7300</v>
      </c>
      <c r="Y1062" s="113">
        <v>236384.86666666699</v>
      </c>
      <c r="Z1062" s="113">
        <v>243684.86666666699</v>
      </c>
      <c r="AA1062" s="112">
        <v>24366</v>
      </c>
      <c r="AB1062" s="112">
        <v>9055.23809523809</v>
      </c>
      <c r="AC1062" s="147">
        <v>418959.4735929998</v>
      </c>
    </row>
    <row r="1063" spans="23:29">
      <c r="W1063" s="111">
        <v>1043</v>
      </c>
      <c r="X1063" s="112">
        <v>7300</v>
      </c>
      <c r="Y1063" s="113">
        <v>236665.46666666699</v>
      </c>
      <c r="Z1063" s="113">
        <v>243965.46666666699</v>
      </c>
      <c r="AA1063" s="112">
        <v>24394</v>
      </c>
      <c r="AB1063" s="112">
        <v>9066.6666666666697</v>
      </c>
      <c r="AC1063" s="147">
        <v>419440.9976680004</v>
      </c>
    </row>
    <row r="1064" spans="23:29">
      <c r="W1064" s="111">
        <v>1044</v>
      </c>
      <c r="X1064" s="112">
        <v>7300</v>
      </c>
      <c r="Y1064" s="113">
        <v>236946.066666667</v>
      </c>
      <c r="Z1064" s="113">
        <v>244246.066666667</v>
      </c>
      <c r="AA1064" s="112">
        <v>24422</v>
      </c>
      <c r="AB1064" s="112">
        <v>9078.0952380952403</v>
      </c>
      <c r="AC1064" s="147">
        <v>419922.52174299961</v>
      </c>
    </row>
    <row r="1065" spans="23:29">
      <c r="W1065" s="111">
        <v>1045</v>
      </c>
      <c r="X1065" s="112">
        <v>7300</v>
      </c>
      <c r="Y1065" s="113">
        <v>237226.66666666701</v>
      </c>
      <c r="Z1065" s="113">
        <v>244526.66666666701</v>
      </c>
      <c r="AA1065" s="112">
        <v>24450</v>
      </c>
      <c r="AB1065" s="112">
        <v>9089.5238095238092</v>
      </c>
      <c r="AC1065" s="147">
        <v>420404.04581800028</v>
      </c>
    </row>
    <row r="1066" spans="23:29">
      <c r="W1066" s="111">
        <v>1046</v>
      </c>
      <c r="X1066" s="112">
        <v>7300</v>
      </c>
      <c r="Y1066" s="113">
        <v>237507.26666666701</v>
      </c>
      <c r="Z1066" s="113">
        <v>244807.26666666701</v>
      </c>
      <c r="AA1066" s="112">
        <v>24478</v>
      </c>
      <c r="AB1066" s="112">
        <v>9100.9523809523798</v>
      </c>
      <c r="AC1066" s="147">
        <v>420885.56989299948</v>
      </c>
    </row>
    <row r="1067" spans="23:29">
      <c r="W1067" s="111">
        <v>1047</v>
      </c>
      <c r="X1067" s="112">
        <v>7300</v>
      </c>
      <c r="Y1067" s="113">
        <v>237787.86666666699</v>
      </c>
      <c r="Z1067" s="113">
        <v>245087.86666666699</v>
      </c>
      <c r="AA1067" s="112">
        <v>24506</v>
      </c>
      <c r="AB1067" s="112">
        <v>9112.3809523809505</v>
      </c>
      <c r="AC1067" s="147">
        <v>421367.09396800009</v>
      </c>
    </row>
    <row r="1068" spans="23:29">
      <c r="W1068" s="111">
        <v>1048</v>
      </c>
      <c r="X1068" s="112">
        <v>7300</v>
      </c>
      <c r="Y1068" s="113">
        <v>238068.46666666699</v>
      </c>
      <c r="Z1068" s="113">
        <v>245368.46666666699</v>
      </c>
      <c r="AA1068" s="112">
        <v>24534</v>
      </c>
      <c r="AB1068" s="112">
        <v>9123.8095238095193</v>
      </c>
      <c r="AC1068" s="147">
        <v>421848.61804300064</v>
      </c>
    </row>
    <row r="1069" spans="23:29">
      <c r="W1069" s="111">
        <v>1049</v>
      </c>
      <c r="X1069" s="112">
        <v>7300</v>
      </c>
      <c r="Y1069" s="113">
        <v>238349.066666667</v>
      </c>
      <c r="Z1069" s="113">
        <v>245649.066666667</v>
      </c>
      <c r="AA1069" s="112">
        <v>24562</v>
      </c>
      <c r="AB1069" s="112">
        <v>9135.23809523809</v>
      </c>
      <c r="AC1069" s="147">
        <v>422330.14211799984</v>
      </c>
    </row>
    <row r="1070" spans="23:29">
      <c r="W1070" s="111">
        <v>1050</v>
      </c>
      <c r="X1070" s="112">
        <v>7300</v>
      </c>
      <c r="Y1070" s="113">
        <v>238629.66666666701</v>
      </c>
      <c r="Z1070" s="113">
        <v>245929.66666666701</v>
      </c>
      <c r="AA1070" s="112">
        <v>24590</v>
      </c>
      <c r="AB1070" s="112">
        <v>9146.6666666666697</v>
      </c>
      <c r="AC1070" s="147">
        <v>422811.66619300045</v>
      </c>
    </row>
    <row r="1071" spans="23:29">
      <c r="W1071" s="111">
        <v>1051</v>
      </c>
      <c r="X1071" s="112">
        <v>7300</v>
      </c>
      <c r="Y1071" s="113">
        <v>238910.26666666701</v>
      </c>
      <c r="Z1071" s="113">
        <v>246210.26666666701</v>
      </c>
      <c r="AA1071" s="112">
        <v>24618</v>
      </c>
      <c r="AB1071" s="112">
        <v>9158.0952380952403</v>
      </c>
      <c r="AC1071" s="147">
        <v>423293.19026799954</v>
      </c>
    </row>
    <row r="1072" spans="23:29">
      <c r="W1072" s="111">
        <v>1052</v>
      </c>
      <c r="X1072" s="112">
        <v>7300</v>
      </c>
      <c r="Y1072" s="113">
        <v>239190.86666666699</v>
      </c>
      <c r="Z1072" s="113">
        <v>246490.86666666699</v>
      </c>
      <c r="AA1072" s="112">
        <v>24646</v>
      </c>
      <c r="AB1072" s="112">
        <v>9169.5238095238092</v>
      </c>
      <c r="AC1072" s="147">
        <v>423774.71434300032</v>
      </c>
    </row>
    <row r="1073" spans="23:29">
      <c r="W1073" s="111">
        <v>1053</v>
      </c>
      <c r="X1073" s="112">
        <v>7300</v>
      </c>
      <c r="Y1073" s="113">
        <v>239471.46666666699</v>
      </c>
      <c r="Z1073" s="113">
        <v>246771.46666666699</v>
      </c>
      <c r="AA1073" s="112">
        <v>24674</v>
      </c>
      <c r="AB1073" s="112">
        <v>9180.9523809523798</v>
      </c>
      <c r="AC1073" s="147">
        <v>424256.23841799941</v>
      </c>
    </row>
    <row r="1074" spans="23:29">
      <c r="W1074" s="111">
        <v>1054</v>
      </c>
      <c r="X1074" s="112">
        <v>7300</v>
      </c>
      <c r="Y1074" s="113">
        <v>239752.066666667</v>
      </c>
      <c r="Z1074" s="113">
        <v>247052.066666667</v>
      </c>
      <c r="AA1074" s="112">
        <v>24702</v>
      </c>
      <c r="AB1074" s="112">
        <v>9192.3809523809505</v>
      </c>
      <c r="AC1074" s="147">
        <v>424737.76249300007</v>
      </c>
    </row>
    <row r="1075" spans="23:29">
      <c r="W1075" s="111">
        <v>1055</v>
      </c>
      <c r="X1075" s="112">
        <v>7300</v>
      </c>
      <c r="Y1075" s="113">
        <v>240032.66666666701</v>
      </c>
      <c r="Z1075" s="113">
        <v>247332.66666666701</v>
      </c>
      <c r="AA1075" s="112">
        <v>24730</v>
      </c>
      <c r="AB1075" s="112">
        <v>9203.8095238095193</v>
      </c>
      <c r="AC1075" s="147">
        <v>425219.28656800068</v>
      </c>
    </row>
    <row r="1076" spans="23:29">
      <c r="W1076" s="111">
        <v>1056</v>
      </c>
      <c r="X1076" s="112">
        <v>7300</v>
      </c>
      <c r="Y1076" s="113">
        <v>240313.26666666701</v>
      </c>
      <c r="Z1076" s="113">
        <v>247613.26666666701</v>
      </c>
      <c r="AA1076" s="112">
        <v>24758</v>
      </c>
      <c r="AB1076" s="112">
        <v>9215.23809523809</v>
      </c>
      <c r="AC1076" s="147">
        <v>425700.81064299977</v>
      </c>
    </row>
    <row r="1077" spans="23:29">
      <c r="W1077" s="111">
        <v>1057</v>
      </c>
      <c r="X1077" s="112">
        <v>7300</v>
      </c>
      <c r="Y1077" s="113">
        <v>240593.86666666699</v>
      </c>
      <c r="Z1077" s="113">
        <v>247893.86666666699</v>
      </c>
      <c r="AA1077" s="112">
        <v>24786</v>
      </c>
      <c r="AB1077" s="112">
        <v>9226.6666666666697</v>
      </c>
      <c r="AC1077" s="147">
        <v>426182.33471800049</v>
      </c>
    </row>
    <row r="1078" spans="23:29">
      <c r="W1078" s="111">
        <v>1058</v>
      </c>
      <c r="X1078" s="112">
        <v>7300</v>
      </c>
      <c r="Y1078" s="113">
        <v>240874.46666666699</v>
      </c>
      <c r="Z1078" s="113">
        <v>248174.46666666699</v>
      </c>
      <c r="AA1078" s="112">
        <v>24814</v>
      </c>
      <c r="AB1078" s="112">
        <v>9238.0952380952403</v>
      </c>
      <c r="AC1078" s="147">
        <v>426663.85879299958</v>
      </c>
    </row>
    <row r="1079" spans="23:29">
      <c r="W1079" s="111">
        <v>1059</v>
      </c>
      <c r="X1079" s="112">
        <v>7300</v>
      </c>
      <c r="Y1079" s="113">
        <v>241155.066666667</v>
      </c>
      <c r="Z1079" s="113">
        <v>248455.066666667</v>
      </c>
      <c r="AA1079" s="112">
        <v>24842</v>
      </c>
      <c r="AB1079" s="112">
        <v>9249.5238095238092</v>
      </c>
      <c r="AC1079" s="147">
        <v>427145.38286800025</v>
      </c>
    </row>
    <row r="1080" spans="23:29">
      <c r="W1080" s="111">
        <v>1060</v>
      </c>
      <c r="X1080" s="112">
        <v>7300</v>
      </c>
      <c r="Y1080" s="113">
        <v>241435.66666666701</v>
      </c>
      <c r="Z1080" s="113">
        <v>248735.66666666701</v>
      </c>
      <c r="AA1080" s="112">
        <v>24870</v>
      </c>
      <c r="AB1080" s="112">
        <v>9260.9523809523798</v>
      </c>
      <c r="AC1080" s="147">
        <v>427626.90694299946</v>
      </c>
    </row>
    <row r="1081" spans="23:29">
      <c r="W1081" s="111">
        <v>1061</v>
      </c>
      <c r="X1081" s="112">
        <v>7300</v>
      </c>
      <c r="Y1081" s="113">
        <v>241716.26666666701</v>
      </c>
      <c r="Z1081" s="113">
        <v>249016.26666666701</v>
      </c>
      <c r="AA1081" s="112">
        <v>24898</v>
      </c>
      <c r="AB1081" s="112">
        <v>9272.3809523809505</v>
      </c>
      <c r="AC1081" s="147">
        <v>428108.431018</v>
      </c>
    </row>
    <row r="1082" spans="23:29">
      <c r="W1082" s="111">
        <v>1062</v>
      </c>
      <c r="X1082" s="112">
        <v>7300</v>
      </c>
      <c r="Y1082" s="113">
        <v>241996.86666666699</v>
      </c>
      <c r="Z1082" s="113">
        <v>249296.86666666699</v>
      </c>
      <c r="AA1082" s="112">
        <v>24926</v>
      </c>
      <c r="AB1082" s="112">
        <v>9283.8095238095193</v>
      </c>
      <c r="AC1082" s="147">
        <v>428589.95509300061</v>
      </c>
    </row>
    <row r="1083" spans="23:29">
      <c r="W1083" s="111">
        <v>1063</v>
      </c>
      <c r="X1083" s="112">
        <v>7300</v>
      </c>
      <c r="Y1083" s="113">
        <v>242277.46666666699</v>
      </c>
      <c r="Z1083" s="113">
        <v>249577.46666666699</v>
      </c>
      <c r="AA1083" s="112">
        <v>24954</v>
      </c>
      <c r="AB1083" s="112">
        <v>9295.23809523809</v>
      </c>
      <c r="AC1083" s="147">
        <v>429071.47916799987</v>
      </c>
    </row>
    <row r="1084" spans="23:29">
      <c r="W1084" s="111">
        <v>1064</v>
      </c>
      <c r="X1084" s="112">
        <v>7300</v>
      </c>
      <c r="Y1084" s="113">
        <v>242558.066666667</v>
      </c>
      <c r="Z1084" s="113">
        <v>249858.066666667</v>
      </c>
      <c r="AA1084" s="112">
        <v>24982</v>
      </c>
      <c r="AB1084" s="112">
        <v>9306.6666666666697</v>
      </c>
      <c r="AC1084" s="147">
        <v>429553.00324300042</v>
      </c>
    </row>
    <row r="1085" spans="23:29">
      <c r="W1085" s="111">
        <v>1065</v>
      </c>
      <c r="X1085" s="112">
        <v>7300</v>
      </c>
      <c r="Y1085" s="113">
        <v>242838.66666666701</v>
      </c>
      <c r="Z1085" s="113">
        <v>250138.66666666701</v>
      </c>
      <c r="AA1085" s="112">
        <v>25010</v>
      </c>
      <c r="AB1085" s="112">
        <v>9318.0952380952403</v>
      </c>
      <c r="AC1085" s="147">
        <v>430034.52731799963</v>
      </c>
    </row>
    <row r="1086" spans="23:29">
      <c r="W1086" s="111">
        <v>1066</v>
      </c>
      <c r="X1086" s="112">
        <v>7300</v>
      </c>
      <c r="Y1086" s="113">
        <v>243119.26666666701</v>
      </c>
      <c r="Z1086" s="113">
        <v>250419.26666666701</v>
      </c>
      <c r="AA1086" s="112">
        <v>25038</v>
      </c>
      <c r="AB1086" s="112">
        <v>9329.5238095238092</v>
      </c>
      <c r="AC1086" s="147">
        <v>430516.05139300029</v>
      </c>
    </row>
    <row r="1087" spans="23:29">
      <c r="W1087" s="111">
        <v>1067</v>
      </c>
      <c r="X1087" s="112">
        <v>7300</v>
      </c>
      <c r="Y1087" s="113">
        <v>243399.86666666699</v>
      </c>
      <c r="Z1087" s="113">
        <v>250699.86666666699</v>
      </c>
      <c r="AA1087" s="112">
        <v>25066</v>
      </c>
      <c r="AB1087" s="112">
        <v>9340.9523809523798</v>
      </c>
      <c r="AC1087" s="147">
        <v>430997.57546799944</v>
      </c>
    </row>
    <row r="1088" spans="23:29">
      <c r="W1088" s="111">
        <v>1068</v>
      </c>
      <c r="X1088" s="112">
        <v>7300</v>
      </c>
      <c r="Y1088" s="113">
        <v>243680.46666666699</v>
      </c>
      <c r="Z1088" s="113">
        <v>250980.46666666699</v>
      </c>
      <c r="AA1088" s="112">
        <v>25094</v>
      </c>
      <c r="AB1088" s="112">
        <v>9352.3809523809505</v>
      </c>
      <c r="AC1088" s="147">
        <v>431479.09954300005</v>
      </c>
    </row>
    <row r="1089" spans="23:29">
      <c r="W1089" s="111">
        <v>1069</v>
      </c>
      <c r="X1089" s="112">
        <v>7300</v>
      </c>
      <c r="Y1089" s="113">
        <v>243961.066666667</v>
      </c>
      <c r="Z1089" s="113">
        <v>251261.066666667</v>
      </c>
      <c r="AA1089" s="112">
        <v>25122</v>
      </c>
      <c r="AB1089" s="112">
        <v>9363.8095238095193</v>
      </c>
      <c r="AC1089" s="147">
        <v>431960.62361800071</v>
      </c>
    </row>
    <row r="1090" spans="23:29">
      <c r="W1090" s="111">
        <v>1070</v>
      </c>
      <c r="X1090" s="112">
        <v>7300</v>
      </c>
      <c r="Y1090" s="113">
        <v>244241.66666666701</v>
      </c>
      <c r="Z1090" s="113">
        <v>251541.66666666701</v>
      </c>
      <c r="AA1090" s="112">
        <v>25150</v>
      </c>
      <c r="AB1090" s="112">
        <v>9375.23809523809</v>
      </c>
      <c r="AC1090" s="147">
        <v>432442.14769299986</v>
      </c>
    </row>
    <row r="1091" spans="23:29">
      <c r="W1091" s="111">
        <v>1071</v>
      </c>
      <c r="X1091" s="112">
        <v>7300</v>
      </c>
      <c r="Y1091" s="113">
        <v>244522.26666666701</v>
      </c>
      <c r="Z1091" s="113">
        <v>251822.26666666701</v>
      </c>
      <c r="AA1091" s="112">
        <v>25178</v>
      </c>
      <c r="AB1091" s="112">
        <v>9386.6666666666697</v>
      </c>
      <c r="AC1091" s="147">
        <v>432923.67176800047</v>
      </c>
    </row>
    <row r="1092" spans="23:29">
      <c r="W1092" s="111">
        <v>1072</v>
      </c>
      <c r="X1092" s="112">
        <v>7300</v>
      </c>
      <c r="Y1092" s="113">
        <v>244802.86666666699</v>
      </c>
      <c r="Z1092" s="113">
        <v>252102.86666666699</v>
      </c>
      <c r="AA1092" s="112">
        <v>25206</v>
      </c>
      <c r="AB1092" s="112">
        <v>9398.0952380952403</v>
      </c>
      <c r="AC1092" s="147">
        <v>433405.19584299956</v>
      </c>
    </row>
    <row r="1093" spans="23:29">
      <c r="W1093" s="111">
        <v>1073</v>
      </c>
      <c r="X1093" s="112">
        <v>7300</v>
      </c>
      <c r="Y1093" s="113">
        <v>245083.46666666699</v>
      </c>
      <c r="Z1093" s="113">
        <v>252383.46666666699</v>
      </c>
      <c r="AA1093" s="112">
        <v>25234</v>
      </c>
      <c r="AB1093" s="112">
        <v>9409.5238095238092</v>
      </c>
      <c r="AC1093" s="147">
        <v>433886.71991800028</v>
      </c>
    </row>
    <row r="1094" spans="23:29">
      <c r="W1094" s="111">
        <v>1074</v>
      </c>
      <c r="X1094" s="112">
        <v>7300</v>
      </c>
      <c r="Y1094" s="113">
        <v>245364.066666667</v>
      </c>
      <c r="Z1094" s="113">
        <v>252664.066666667</v>
      </c>
      <c r="AA1094" s="112">
        <v>25262</v>
      </c>
      <c r="AB1094" s="112">
        <v>9420.9523809523798</v>
      </c>
      <c r="AC1094" s="147">
        <v>434368.24399299937</v>
      </c>
    </row>
    <row r="1095" spans="23:29">
      <c r="W1095" s="111">
        <v>1075</v>
      </c>
      <c r="X1095" s="112">
        <v>7300</v>
      </c>
      <c r="Y1095" s="113">
        <v>245644.66666666701</v>
      </c>
      <c r="Z1095" s="113">
        <v>252944.66666666701</v>
      </c>
      <c r="AA1095" s="112">
        <v>25290</v>
      </c>
      <c r="AB1095" s="112">
        <v>9432.3809523809505</v>
      </c>
      <c r="AC1095" s="147">
        <v>434849.76806800003</v>
      </c>
    </row>
    <row r="1096" spans="23:29">
      <c r="W1096" s="111">
        <v>1076</v>
      </c>
      <c r="X1096" s="112">
        <v>7300</v>
      </c>
      <c r="Y1096" s="113">
        <v>245925.26666666701</v>
      </c>
      <c r="Z1096" s="113">
        <v>253225.26666666701</v>
      </c>
      <c r="AA1096" s="112">
        <v>25318</v>
      </c>
      <c r="AB1096" s="112">
        <v>9443.8095238095193</v>
      </c>
      <c r="AC1096" s="147">
        <v>435331.2921430007</v>
      </c>
    </row>
    <row r="1097" spans="23:29">
      <c r="W1097" s="111">
        <v>1077</v>
      </c>
      <c r="X1097" s="112">
        <v>7300</v>
      </c>
      <c r="Y1097" s="113">
        <v>246205.86666666699</v>
      </c>
      <c r="Z1097" s="113">
        <v>253505.86666666699</v>
      </c>
      <c r="AA1097" s="112">
        <v>25346</v>
      </c>
      <c r="AB1097" s="112">
        <v>9455.23809523809</v>
      </c>
      <c r="AC1097" s="147">
        <v>435812.81621799979</v>
      </c>
    </row>
    <row r="1098" spans="23:29">
      <c r="W1098" s="111">
        <v>1078</v>
      </c>
      <c r="X1098" s="112">
        <v>7300</v>
      </c>
      <c r="Y1098" s="113">
        <v>246486.46666666699</v>
      </c>
      <c r="Z1098" s="113">
        <v>253786.46666666699</v>
      </c>
      <c r="AA1098" s="112">
        <v>25374</v>
      </c>
      <c r="AB1098" s="112">
        <v>9466.6666666666697</v>
      </c>
      <c r="AC1098" s="147">
        <v>436294.34029300039</v>
      </c>
    </row>
    <row r="1099" spans="23:29">
      <c r="W1099" s="111">
        <v>1079</v>
      </c>
      <c r="X1099" s="112">
        <v>7300</v>
      </c>
      <c r="Y1099" s="113">
        <v>246767.066666667</v>
      </c>
      <c r="Z1099" s="113">
        <v>254067.066666667</v>
      </c>
      <c r="AA1099" s="112">
        <v>25402</v>
      </c>
      <c r="AB1099" s="112">
        <v>9478.0952380952403</v>
      </c>
      <c r="AC1099" s="147">
        <v>436775.8643679996</v>
      </c>
    </row>
    <row r="1100" spans="23:29">
      <c r="W1100" s="111">
        <v>1080</v>
      </c>
      <c r="X1100" s="112">
        <v>7300</v>
      </c>
      <c r="Y1100" s="113">
        <v>247047.66666666701</v>
      </c>
      <c r="Z1100" s="113">
        <v>254347.66666666701</v>
      </c>
      <c r="AA1100" s="112">
        <v>25430</v>
      </c>
      <c r="AB1100" s="112">
        <v>9489.5238095238092</v>
      </c>
      <c r="AC1100" s="147">
        <v>437257.38844300027</v>
      </c>
    </row>
    <row r="1101" spans="23:29">
      <c r="W1101" s="111">
        <v>1081</v>
      </c>
      <c r="X1101" s="112">
        <v>7300</v>
      </c>
      <c r="Y1101" s="113">
        <v>247328.26666666701</v>
      </c>
      <c r="Z1101" s="113">
        <v>254628.26666666701</v>
      </c>
      <c r="AA1101" s="112">
        <v>25458</v>
      </c>
      <c r="AB1101" s="112">
        <v>9500.9523809523798</v>
      </c>
      <c r="AC1101" s="147">
        <v>437738.91251799947</v>
      </c>
    </row>
    <row r="1102" spans="23:29">
      <c r="W1102" s="111">
        <v>1082</v>
      </c>
      <c r="X1102" s="112">
        <v>7300</v>
      </c>
      <c r="Y1102" s="113">
        <v>247608.86666666699</v>
      </c>
      <c r="Z1102" s="113">
        <v>254908.86666666699</v>
      </c>
      <c r="AA1102" s="112">
        <v>25486</v>
      </c>
      <c r="AB1102" s="112">
        <v>9512.3809523809505</v>
      </c>
      <c r="AC1102" s="147">
        <v>438220.43659300008</v>
      </c>
    </row>
  </sheetData>
  <mergeCells count="118">
    <mergeCell ref="P2:R2"/>
    <mergeCell ref="B3:D3"/>
    <mergeCell ref="K2:M2"/>
    <mergeCell ref="H10:J10"/>
    <mergeCell ref="B23:J23"/>
    <mergeCell ref="B24:M24"/>
    <mergeCell ref="K4:M4"/>
    <mergeCell ref="C5:D5"/>
    <mergeCell ref="F5:G5"/>
    <mergeCell ref="H5:I5"/>
    <mergeCell ref="J5:M5"/>
    <mergeCell ref="D2:F2"/>
    <mergeCell ref="G2:H2"/>
    <mergeCell ref="I2:J2"/>
    <mergeCell ref="B6:D6"/>
    <mergeCell ref="C7:D7"/>
    <mergeCell ref="F7:G7"/>
    <mergeCell ref="H7:I7"/>
    <mergeCell ref="C9:D9"/>
    <mergeCell ref="B4:D4"/>
    <mergeCell ref="E4:G4"/>
    <mergeCell ref="H4:J4"/>
    <mergeCell ref="K9:L9"/>
    <mergeCell ref="K10:L10"/>
    <mergeCell ref="B12:C12"/>
    <mergeCell ref="D12:E12"/>
    <mergeCell ref="B14:D14"/>
    <mergeCell ref="E14:G14"/>
    <mergeCell ref="H14:J14"/>
    <mergeCell ref="K14:M14"/>
    <mergeCell ref="K19:M19"/>
    <mergeCell ref="B15:J15"/>
    <mergeCell ref="K15:M15"/>
    <mergeCell ref="B16:J16"/>
    <mergeCell ref="K16:M16"/>
    <mergeCell ref="B17:D17"/>
    <mergeCell ref="E17:G17"/>
    <mergeCell ref="H17:J17"/>
    <mergeCell ref="K17:M17"/>
    <mergeCell ref="B22:D22"/>
    <mergeCell ref="E22:G22"/>
    <mergeCell ref="H22:J22"/>
    <mergeCell ref="K22:M22"/>
    <mergeCell ref="P15:Q15"/>
    <mergeCell ref="K23:M23"/>
    <mergeCell ref="B20:D20"/>
    <mergeCell ref="E20:G20"/>
    <mergeCell ref="H20:J20"/>
    <mergeCell ref="K20:M20"/>
    <mergeCell ref="B21:D21"/>
    <mergeCell ref="E21:G21"/>
    <mergeCell ref="H21:J21"/>
    <mergeCell ref="K21:M21"/>
    <mergeCell ref="B18:D18"/>
    <mergeCell ref="E18:G18"/>
    <mergeCell ref="H18:J18"/>
    <mergeCell ref="K18:M18"/>
    <mergeCell ref="B19:D19"/>
    <mergeCell ref="E19:G19"/>
    <mergeCell ref="H19:J19"/>
    <mergeCell ref="B25:J25"/>
    <mergeCell ref="K25:M25"/>
    <mergeCell ref="B26:J26"/>
    <mergeCell ref="K26:M26"/>
    <mergeCell ref="B27:J27"/>
    <mergeCell ref="K27:M27"/>
    <mergeCell ref="L30:M30"/>
    <mergeCell ref="B31:D31"/>
    <mergeCell ref="B32:J32"/>
    <mergeCell ref="K32:M32"/>
    <mergeCell ref="B33:J33"/>
    <mergeCell ref="K33:M33"/>
    <mergeCell ref="B28:J28"/>
    <mergeCell ref="K28:M28"/>
    <mergeCell ref="B29:D29"/>
    <mergeCell ref="B30:C30"/>
    <mergeCell ref="D30:E30"/>
    <mergeCell ref="F30:G30"/>
    <mergeCell ref="H30:I30"/>
    <mergeCell ref="J30:K30"/>
    <mergeCell ref="K37:M37"/>
    <mergeCell ref="B38:J38"/>
    <mergeCell ref="K38:M38"/>
    <mergeCell ref="B39:D39"/>
    <mergeCell ref="B40:D40"/>
    <mergeCell ref="F40:G40"/>
    <mergeCell ref="H40:J40"/>
    <mergeCell ref="L40:M40"/>
    <mergeCell ref="B34:J34"/>
    <mergeCell ref="K34:M34"/>
    <mergeCell ref="B35:J35"/>
    <mergeCell ref="K35:M35"/>
    <mergeCell ref="B36:J36"/>
    <mergeCell ref="K36:M36"/>
    <mergeCell ref="T2:U2"/>
    <mergeCell ref="B45:D45"/>
    <mergeCell ref="F45:G45"/>
    <mergeCell ref="H45:J45"/>
    <mergeCell ref="L45:M45"/>
    <mergeCell ref="W17:Z19"/>
    <mergeCell ref="T3:U3"/>
    <mergeCell ref="T4:U36"/>
    <mergeCell ref="B43:D43"/>
    <mergeCell ref="F43:G43"/>
    <mergeCell ref="H43:J43"/>
    <mergeCell ref="L43:M43"/>
    <mergeCell ref="B44:D44"/>
    <mergeCell ref="F44:G44"/>
    <mergeCell ref="L44:M44"/>
    <mergeCell ref="B41:D41"/>
    <mergeCell ref="F41:G41"/>
    <mergeCell ref="H41:J41"/>
    <mergeCell ref="L41:M41"/>
    <mergeCell ref="B42:D42"/>
    <mergeCell ref="F42:G42"/>
    <mergeCell ref="H42:J42"/>
    <mergeCell ref="L42:M42"/>
    <mergeCell ref="B37:J37"/>
  </mergeCells>
  <phoneticPr fontId="2" type="noConversion"/>
  <conditionalFormatting sqref="B15:N22 K23:N23 B23:B24 B25:N27">
    <cfRule type="cellIs" dxfId="5" priority="2" operator="lessThan">
      <formula>0</formula>
    </cfRule>
  </conditionalFormatting>
  <conditionalFormatting sqref="K2">
    <cfRule type="containsText" dxfId="4" priority="1" operator="containsText" text="만기전">
      <formula>NOT(ISERROR(SEARCH("만기전",K2)))</formula>
    </cfRule>
  </conditionalFormatting>
  <dataValidations count="1">
    <dataValidation type="list" allowBlank="1" showInputMessage="1" showErrorMessage="1" sqref="D2:F2" xr:uid="{0F7F31B2-1763-44F7-8EEF-21A921C94283}">
      <formula1>관리건물_목록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D0E2-4EAE-4ACD-AC58-FA03882506BF}">
  <dimension ref="A1:W41"/>
  <sheetViews>
    <sheetView zoomScale="85" zoomScaleNormal="85" workbookViewId="0">
      <pane ySplit="2" topLeftCell="A26" activePane="bottomLeft" state="frozen"/>
      <selection pane="bottomLeft" activeCell="D35" sqref="D35"/>
      <selection activeCell="H1" sqref="H1"/>
    </sheetView>
  </sheetViews>
  <sheetFormatPr defaultRowHeight="16.5"/>
  <cols>
    <col min="1" max="1" width="9" style="179"/>
    <col min="2" max="2" width="16.125" style="179" customWidth="1"/>
    <col min="3" max="3" width="13" style="179" customWidth="1"/>
    <col min="4" max="4" width="13.375" style="357" customWidth="1"/>
    <col min="5" max="5" width="14.125" style="179" customWidth="1"/>
    <col min="6" max="7" width="11" style="179" customWidth="1"/>
    <col min="8" max="8" width="14.25" style="179" customWidth="1"/>
    <col min="9" max="9" width="15.375" style="179" customWidth="1"/>
    <col min="10" max="10" width="18" style="179" customWidth="1"/>
    <col min="11" max="11" width="9" style="179" customWidth="1"/>
    <col min="12" max="12" width="16.25" style="179" customWidth="1"/>
    <col min="13" max="13" width="14.25" style="179" customWidth="1"/>
    <col min="14" max="14" width="56.875" style="179" customWidth="1"/>
    <col min="15" max="15" width="25.375" style="179" customWidth="1"/>
    <col min="16" max="16" width="40.625" style="179" customWidth="1"/>
    <col min="17" max="17" width="9.875" customWidth="1"/>
    <col min="18" max="18" width="9.125" customWidth="1"/>
    <col min="19" max="19" width="9.875" customWidth="1"/>
    <col min="20" max="20" width="11.25" customWidth="1"/>
    <col min="21" max="21" width="21.5" customWidth="1"/>
    <col min="22" max="22" width="10.5" style="179" bestFit="1" customWidth="1"/>
    <col min="23" max="23" width="15.875" style="179" customWidth="1"/>
  </cols>
  <sheetData>
    <row r="1" spans="1:23">
      <c r="A1" s="533" t="s">
        <v>2526</v>
      </c>
      <c r="B1" s="533" t="s">
        <v>0</v>
      </c>
      <c r="C1" s="533" t="s">
        <v>2797</v>
      </c>
      <c r="D1" s="535" t="s">
        <v>2798</v>
      </c>
      <c r="E1" s="533" t="s">
        <v>2799</v>
      </c>
      <c r="F1" s="533" t="s">
        <v>2800</v>
      </c>
      <c r="G1" s="533" t="s">
        <v>2801</v>
      </c>
      <c r="H1" s="537" t="s">
        <v>2802</v>
      </c>
      <c r="I1" s="537"/>
      <c r="J1" s="537"/>
      <c r="K1" s="537" t="s">
        <v>2803</v>
      </c>
      <c r="L1" s="537"/>
      <c r="M1" s="537"/>
      <c r="N1" s="405" t="s">
        <v>2804</v>
      </c>
      <c r="O1" s="405" t="s">
        <v>2805</v>
      </c>
      <c r="P1" s="405" t="s">
        <v>2806</v>
      </c>
      <c r="Q1" s="537" t="s">
        <v>2807</v>
      </c>
      <c r="R1" s="537"/>
      <c r="S1" s="537"/>
      <c r="T1" s="537"/>
      <c r="U1" s="405" t="s">
        <v>2808</v>
      </c>
      <c r="V1" s="533" t="s">
        <v>2809</v>
      </c>
      <c r="W1" s="533" t="s">
        <v>2810</v>
      </c>
    </row>
    <row r="2" spans="1:23" ht="25.5" customHeight="1">
      <c r="A2" s="534"/>
      <c r="B2" s="534"/>
      <c r="C2" s="534"/>
      <c r="D2" s="536"/>
      <c r="E2" s="534"/>
      <c r="F2" s="534"/>
      <c r="G2" s="534"/>
      <c r="H2" s="405" t="s">
        <v>2532</v>
      </c>
      <c r="I2" s="405" t="s">
        <v>2811</v>
      </c>
      <c r="J2" s="405" t="s">
        <v>2812</v>
      </c>
      <c r="K2" s="405" t="s">
        <v>2532</v>
      </c>
      <c r="L2" s="405" t="s">
        <v>2811</v>
      </c>
      <c r="M2" s="405" t="s">
        <v>2812</v>
      </c>
      <c r="N2" s="405"/>
      <c r="O2" s="405"/>
      <c r="P2" s="405"/>
      <c r="Q2" s="405" t="s">
        <v>2813</v>
      </c>
      <c r="R2" s="405" t="s">
        <v>2814</v>
      </c>
      <c r="S2" s="405" t="s">
        <v>31</v>
      </c>
      <c r="T2" s="405" t="s">
        <v>2815</v>
      </c>
      <c r="U2" s="266"/>
      <c r="V2" s="534"/>
      <c r="W2" s="534"/>
    </row>
    <row r="3" spans="1:23" ht="27.75" customHeight="1">
      <c r="A3" s="405">
        <v>1</v>
      </c>
      <c r="B3" s="405" t="s">
        <v>2816</v>
      </c>
      <c r="C3" s="267">
        <v>41138</v>
      </c>
      <c r="D3" s="346">
        <v>0</v>
      </c>
      <c r="E3" s="269"/>
      <c r="F3" s="269"/>
      <c r="G3" s="269"/>
      <c r="H3" s="405" t="s">
        <v>2817</v>
      </c>
      <c r="I3" s="405" t="s">
        <v>2818</v>
      </c>
      <c r="J3" s="405" t="s">
        <v>2819</v>
      </c>
      <c r="K3" s="405"/>
      <c r="L3" s="405"/>
      <c r="M3" s="405"/>
      <c r="N3" s="405"/>
      <c r="O3" s="405"/>
      <c r="P3" s="405" t="s">
        <v>2820</v>
      </c>
      <c r="Q3" s="270">
        <v>36000</v>
      </c>
      <c r="R3" s="270">
        <v>25000</v>
      </c>
      <c r="S3" s="270">
        <v>61000</v>
      </c>
      <c r="T3" s="271"/>
      <c r="U3" s="266"/>
      <c r="V3" s="405" t="s">
        <v>2821</v>
      </c>
      <c r="W3" s="405" t="s">
        <v>2822</v>
      </c>
    </row>
    <row r="4" spans="1:23" ht="27.75" customHeight="1">
      <c r="A4" s="405">
        <v>2</v>
      </c>
      <c r="B4" s="405" t="s">
        <v>2823</v>
      </c>
      <c r="C4" s="267">
        <v>41290</v>
      </c>
      <c r="D4" s="346">
        <v>0.05</v>
      </c>
      <c r="E4" s="269"/>
      <c r="F4" s="269"/>
      <c r="G4" s="269"/>
      <c r="H4" s="405" t="s">
        <v>2824</v>
      </c>
      <c r="I4" s="405"/>
      <c r="J4" s="405" t="s">
        <v>2825</v>
      </c>
      <c r="K4" s="405" t="s">
        <v>2826</v>
      </c>
      <c r="L4" s="405" t="s">
        <v>2827</v>
      </c>
      <c r="M4" s="405" t="s">
        <v>2828</v>
      </c>
      <c r="N4" s="405" t="s">
        <v>2829</v>
      </c>
      <c r="O4" s="405"/>
      <c r="P4" s="405" t="s">
        <v>2830</v>
      </c>
      <c r="Q4" s="270">
        <v>80000</v>
      </c>
      <c r="R4" s="270">
        <v>70000</v>
      </c>
      <c r="S4" s="270">
        <v>150000</v>
      </c>
      <c r="T4" s="271"/>
      <c r="U4" s="266"/>
      <c r="V4" s="405"/>
      <c r="W4" s="405" t="s">
        <v>2831</v>
      </c>
    </row>
    <row r="5" spans="1:23" ht="27.75" customHeight="1">
      <c r="A5" s="405">
        <v>3</v>
      </c>
      <c r="B5" s="405" t="s">
        <v>2832</v>
      </c>
      <c r="C5" s="267">
        <v>41306</v>
      </c>
      <c r="D5" s="346">
        <v>0.05</v>
      </c>
      <c r="E5" s="269" t="s">
        <v>2833</v>
      </c>
      <c r="F5" s="269"/>
      <c r="G5" s="269"/>
      <c r="H5" s="405" t="s">
        <v>2834</v>
      </c>
      <c r="I5" s="405" t="s">
        <v>2835</v>
      </c>
      <c r="J5" s="405" t="s">
        <v>2836</v>
      </c>
      <c r="K5" s="405" t="s">
        <v>2837</v>
      </c>
      <c r="L5" s="405" t="s">
        <v>2838</v>
      </c>
      <c r="M5" s="405"/>
      <c r="N5" s="405" t="s">
        <v>2839</v>
      </c>
      <c r="O5" s="405" t="s">
        <v>2840</v>
      </c>
      <c r="P5" s="405" t="s">
        <v>2841</v>
      </c>
      <c r="Q5" s="270">
        <v>55000</v>
      </c>
      <c r="R5" s="270">
        <v>50000</v>
      </c>
      <c r="S5" s="270">
        <v>105000</v>
      </c>
      <c r="T5" s="271"/>
      <c r="U5" s="266"/>
      <c r="V5" s="405" t="s">
        <v>2821</v>
      </c>
      <c r="W5" s="405" t="s">
        <v>2842</v>
      </c>
    </row>
    <row r="6" spans="1:23" ht="27.75" customHeight="1">
      <c r="A6" s="405">
        <v>4</v>
      </c>
      <c r="B6" s="272" t="s">
        <v>2843</v>
      </c>
      <c r="C6" s="267">
        <v>41493</v>
      </c>
      <c r="D6" s="346">
        <v>0.1</v>
      </c>
      <c r="E6" s="269"/>
      <c r="F6" s="269" t="s">
        <v>2844</v>
      </c>
      <c r="G6" s="269"/>
      <c r="H6" s="405" t="s">
        <v>2845</v>
      </c>
      <c r="I6" s="405" t="s">
        <v>2846</v>
      </c>
      <c r="J6" s="405" t="s">
        <v>2847</v>
      </c>
      <c r="K6" s="405"/>
      <c r="L6" s="405"/>
      <c r="M6" s="405"/>
      <c r="N6" s="405" t="s">
        <v>2848</v>
      </c>
      <c r="O6" s="405" t="s">
        <v>2849</v>
      </c>
      <c r="P6" s="273" t="s">
        <v>2850</v>
      </c>
      <c r="Q6" s="270"/>
      <c r="R6" s="270"/>
      <c r="S6" s="270"/>
      <c r="T6" s="271"/>
      <c r="U6" s="405" t="s">
        <v>2851</v>
      </c>
      <c r="V6" s="405" t="s">
        <v>2852</v>
      </c>
      <c r="W6" s="274" t="s">
        <v>2853</v>
      </c>
    </row>
    <row r="7" spans="1:23" ht="27.75" customHeight="1">
      <c r="A7" s="405">
        <v>5</v>
      </c>
      <c r="B7" s="272" t="s">
        <v>2854</v>
      </c>
      <c r="C7" s="267">
        <v>41848</v>
      </c>
      <c r="D7" s="346">
        <v>0.06</v>
      </c>
      <c r="E7" s="269"/>
      <c r="F7" s="269" t="s">
        <v>2844</v>
      </c>
      <c r="G7" s="269" t="s">
        <v>2855</v>
      </c>
      <c r="H7" s="405" t="s">
        <v>2856</v>
      </c>
      <c r="I7" s="405" t="s">
        <v>2857</v>
      </c>
      <c r="J7" s="405" t="s">
        <v>2858</v>
      </c>
      <c r="K7" s="405" t="s">
        <v>2859</v>
      </c>
      <c r="L7" s="405" t="s">
        <v>2860</v>
      </c>
      <c r="M7" s="405" t="s">
        <v>2861</v>
      </c>
      <c r="N7" s="405" t="s">
        <v>2862</v>
      </c>
      <c r="O7" s="273" t="s">
        <v>2863</v>
      </c>
      <c r="P7" s="273" t="s">
        <v>2864</v>
      </c>
      <c r="Q7" s="270"/>
      <c r="R7" s="270"/>
      <c r="S7" s="270"/>
      <c r="T7" s="271"/>
      <c r="U7" s="266"/>
      <c r="V7" s="405"/>
      <c r="W7" s="274" t="s">
        <v>2865</v>
      </c>
    </row>
    <row r="8" spans="1:23" ht="27.75" customHeight="1">
      <c r="A8" s="405">
        <v>6</v>
      </c>
      <c r="B8" s="405" t="s">
        <v>2866</v>
      </c>
      <c r="C8" s="267">
        <v>42566</v>
      </c>
      <c r="D8" s="346">
        <v>0.06</v>
      </c>
      <c r="E8" s="269"/>
      <c r="F8" s="269" t="s">
        <v>2844</v>
      </c>
      <c r="G8" s="269" t="s">
        <v>2844</v>
      </c>
      <c r="H8" s="405" t="s">
        <v>2867</v>
      </c>
      <c r="I8" s="405" t="s">
        <v>2868</v>
      </c>
      <c r="J8" s="405" t="s">
        <v>2869</v>
      </c>
      <c r="K8" s="405" t="s">
        <v>2870</v>
      </c>
      <c r="L8" s="405"/>
      <c r="M8" s="405" t="s">
        <v>2871</v>
      </c>
      <c r="N8" s="405" t="s">
        <v>2872</v>
      </c>
      <c r="O8" s="405" t="s">
        <v>2873</v>
      </c>
      <c r="P8" s="273" t="s">
        <v>2874</v>
      </c>
      <c r="Q8" s="270"/>
      <c r="R8" s="270"/>
      <c r="S8" s="270"/>
      <c r="T8" s="271"/>
      <c r="U8" s="266"/>
      <c r="V8" s="405"/>
      <c r="W8" s="405" t="s">
        <v>2875</v>
      </c>
    </row>
    <row r="9" spans="1:23" ht="27.75" customHeight="1">
      <c r="A9" s="405">
        <v>7</v>
      </c>
      <c r="B9" s="405" t="s">
        <v>2876</v>
      </c>
      <c r="C9" s="267">
        <v>42718</v>
      </c>
      <c r="D9" s="346">
        <v>0.1</v>
      </c>
      <c r="E9" s="269"/>
      <c r="F9" s="269" t="s">
        <v>2844</v>
      </c>
      <c r="G9" s="269"/>
      <c r="H9" s="405" t="s">
        <v>2877</v>
      </c>
      <c r="I9" s="405" t="s">
        <v>2878</v>
      </c>
      <c r="J9" s="405" t="s">
        <v>2879</v>
      </c>
      <c r="K9" s="405"/>
      <c r="L9" s="405"/>
      <c r="M9" s="405"/>
      <c r="N9" s="405" t="s">
        <v>2880</v>
      </c>
      <c r="O9" s="405" t="s">
        <v>2881</v>
      </c>
      <c r="P9" s="405" t="s">
        <v>2882</v>
      </c>
      <c r="Q9" s="270"/>
      <c r="R9" s="270"/>
      <c r="S9" s="270"/>
      <c r="T9" s="271"/>
      <c r="U9" s="266"/>
      <c r="V9" s="405"/>
      <c r="W9" s="405" t="s">
        <v>2883</v>
      </c>
    </row>
    <row r="10" spans="1:23" ht="27.75" customHeight="1">
      <c r="A10" s="405">
        <v>8</v>
      </c>
      <c r="B10" s="405" t="s">
        <v>2884</v>
      </c>
      <c r="C10" s="267">
        <v>42704</v>
      </c>
      <c r="D10" s="346">
        <v>0.06</v>
      </c>
      <c r="E10" s="269" t="s">
        <v>2833</v>
      </c>
      <c r="F10" s="269"/>
      <c r="G10" s="269" t="s">
        <v>2844</v>
      </c>
      <c r="H10" s="405" t="s">
        <v>2885</v>
      </c>
      <c r="I10" s="405" t="s">
        <v>2886</v>
      </c>
      <c r="J10" s="405" t="s">
        <v>2887</v>
      </c>
      <c r="K10" s="405"/>
      <c r="L10" s="405"/>
      <c r="M10" s="405"/>
      <c r="N10" s="405" t="s">
        <v>2888</v>
      </c>
      <c r="O10" s="405" t="s">
        <v>2889</v>
      </c>
      <c r="P10" s="405" t="s">
        <v>2890</v>
      </c>
      <c r="Q10" s="270"/>
      <c r="R10" s="270"/>
      <c r="S10" s="270"/>
      <c r="T10" s="271"/>
      <c r="U10" s="266"/>
      <c r="V10" s="405"/>
      <c r="W10" s="405" t="s">
        <v>2891</v>
      </c>
    </row>
    <row r="11" spans="1:23" ht="27.75" customHeight="1">
      <c r="A11" s="405">
        <v>9</v>
      </c>
      <c r="B11" s="405" t="s">
        <v>2892</v>
      </c>
      <c r="C11" s="267">
        <v>42767</v>
      </c>
      <c r="D11" s="346">
        <v>5.7299999999999997E-2</v>
      </c>
      <c r="E11" s="275" t="s">
        <v>2833</v>
      </c>
      <c r="F11" s="275" t="s">
        <v>2844</v>
      </c>
      <c r="G11" s="275" t="s">
        <v>2844</v>
      </c>
      <c r="H11" s="405" t="s">
        <v>2893</v>
      </c>
      <c r="I11" s="405" t="s">
        <v>2894</v>
      </c>
      <c r="J11" s="405" t="s">
        <v>2895</v>
      </c>
      <c r="K11" s="405" t="s">
        <v>2896</v>
      </c>
      <c r="L11" s="405"/>
      <c r="M11" s="405" t="s">
        <v>2897</v>
      </c>
      <c r="N11" s="405" t="s">
        <v>2898</v>
      </c>
      <c r="O11" s="405" t="s">
        <v>2899</v>
      </c>
      <c r="P11" s="405" t="s">
        <v>2900</v>
      </c>
      <c r="Q11" s="270"/>
      <c r="R11" s="270"/>
      <c r="S11" s="270"/>
      <c r="T11" s="271"/>
      <c r="U11" s="266"/>
      <c r="V11" s="405"/>
      <c r="W11" s="405" t="s">
        <v>2901</v>
      </c>
    </row>
    <row r="12" spans="1:23" ht="27.75" customHeight="1">
      <c r="A12" s="405">
        <v>10</v>
      </c>
      <c r="B12" s="405" t="s">
        <v>2902</v>
      </c>
      <c r="C12" s="267">
        <v>42822</v>
      </c>
      <c r="D12" s="346">
        <v>0.05</v>
      </c>
      <c r="E12" s="269"/>
      <c r="F12" s="269"/>
      <c r="G12" s="269"/>
      <c r="H12" s="405" t="s">
        <v>2903</v>
      </c>
      <c r="I12" s="405" t="s">
        <v>2904</v>
      </c>
      <c r="J12" s="405" t="s">
        <v>2905</v>
      </c>
      <c r="K12" s="405"/>
      <c r="L12" s="405"/>
      <c r="M12" s="405"/>
      <c r="N12" s="405" t="s">
        <v>2906</v>
      </c>
      <c r="O12" s="179" t="s">
        <v>2907</v>
      </c>
      <c r="P12" s="405" t="s">
        <v>2908</v>
      </c>
      <c r="Q12" s="270"/>
      <c r="R12" s="270"/>
      <c r="S12" s="270"/>
      <c r="T12" s="271"/>
      <c r="U12" s="266"/>
      <c r="V12" s="405"/>
      <c r="W12" s="405" t="s">
        <v>2909</v>
      </c>
    </row>
    <row r="13" spans="1:23" ht="27.75" customHeight="1">
      <c r="A13" s="405">
        <v>11</v>
      </c>
      <c r="B13" s="405" t="s">
        <v>2910</v>
      </c>
      <c r="C13" s="267">
        <v>42881</v>
      </c>
      <c r="D13" s="346">
        <v>0.06</v>
      </c>
      <c r="E13" s="269"/>
      <c r="F13" s="269"/>
      <c r="G13" s="269"/>
      <c r="H13" s="405" t="s">
        <v>2911</v>
      </c>
      <c r="I13" s="405" t="s">
        <v>2912</v>
      </c>
      <c r="J13" s="405" t="s">
        <v>2913</v>
      </c>
      <c r="K13" s="405" t="s">
        <v>2914</v>
      </c>
      <c r="L13" s="405"/>
      <c r="M13" s="405" t="s">
        <v>2915</v>
      </c>
      <c r="N13" s="405" t="s">
        <v>2916</v>
      </c>
      <c r="O13" s="405" t="s">
        <v>2917</v>
      </c>
      <c r="P13" s="273" t="s">
        <v>2918</v>
      </c>
      <c r="Q13" s="270"/>
      <c r="R13" s="270"/>
      <c r="S13" s="270"/>
      <c r="T13" s="271"/>
      <c r="U13" s="266"/>
      <c r="V13" s="405"/>
      <c r="W13" s="405" t="s">
        <v>2919</v>
      </c>
    </row>
    <row r="14" spans="1:23" ht="27.75" customHeight="1">
      <c r="A14" s="405">
        <v>12</v>
      </c>
      <c r="B14" s="405" t="s">
        <v>2920</v>
      </c>
      <c r="C14" s="267">
        <v>43053</v>
      </c>
      <c r="D14" s="346">
        <v>0.05</v>
      </c>
      <c r="E14" s="269"/>
      <c r="F14" s="269"/>
      <c r="G14" s="269"/>
      <c r="H14" s="405" t="s">
        <v>2921</v>
      </c>
      <c r="I14" s="405" t="s">
        <v>2922</v>
      </c>
      <c r="J14" s="405" t="s">
        <v>2923</v>
      </c>
      <c r="K14" s="405" t="s">
        <v>2924</v>
      </c>
      <c r="L14" s="405"/>
      <c r="M14" s="405" t="s">
        <v>2925</v>
      </c>
      <c r="N14" s="405" t="s">
        <v>2926</v>
      </c>
      <c r="O14" s="405" t="s">
        <v>2927</v>
      </c>
      <c r="P14" s="405" t="s">
        <v>2928</v>
      </c>
      <c r="Q14" s="270"/>
      <c r="R14" s="270"/>
      <c r="S14" s="270"/>
      <c r="T14" s="271"/>
      <c r="U14" s="266"/>
      <c r="V14" s="405"/>
      <c r="W14" s="405" t="s">
        <v>2929</v>
      </c>
    </row>
    <row r="15" spans="1:23" ht="27.75" customHeight="1">
      <c r="A15" s="405">
        <v>13</v>
      </c>
      <c r="B15" s="405" t="s">
        <v>2687</v>
      </c>
      <c r="C15" s="267">
        <v>43195</v>
      </c>
      <c r="D15" s="346">
        <v>4.4999999999999998E-2</v>
      </c>
      <c r="E15" s="268" t="s">
        <v>2833</v>
      </c>
      <c r="F15" s="268"/>
      <c r="G15" s="268"/>
      <c r="H15" s="405" t="s">
        <v>2930</v>
      </c>
      <c r="I15" s="405" t="s">
        <v>2931</v>
      </c>
      <c r="J15" s="405" t="s">
        <v>2932</v>
      </c>
      <c r="K15" s="405"/>
      <c r="L15" s="405"/>
      <c r="M15" s="405"/>
      <c r="N15" s="405" t="s">
        <v>2933</v>
      </c>
      <c r="O15" s="405" t="s">
        <v>2934</v>
      </c>
      <c r="P15" s="273" t="s">
        <v>2935</v>
      </c>
      <c r="Q15" s="270"/>
      <c r="R15" s="270"/>
      <c r="S15" s="270"/>
      <c r="T15" s="271"/>
      <c r="U15" s="266"/>
      <c r="V15" s="405"/>
      <c r="W15" s="405" t="s">
        <v>2936</v>
      </c>
    </row>
    <row r="16" spans="1:23" ht="27.75" customHeight="1">
      <c r="A16" s="405">
        <v>14</v>
      </c>
      <c r="B16" s="272" t="s">
        <v>2937</v>
      </c>
      <c r="C16" s="267">
        <v>43374</v>
      </c>
      <c r="D16" s="347">
        <v>1100000</v>
      </c>
      <c r="E16" s="405"/>
      <c r="F16" s="405" t="s">
        <v>2844</v>
      </c>
      <c r="G16" s="405"/>
      <c r="H16" s="405" t="s">
        <v>2938</v>
      </c>
      <c r="I16" s="405" t="s">
        <v>2939</v>
      </c>
      <c r="J16" s="276" t="s">
        <v>2940</v>
      </c>
      <c r="K16" s="405"/>
      <c r="L16" s="405"/>
      <c r="M16" s="405"/>
      <c r="N16" s="405" t="s">
        <v>2941</v>
      </c>
      <c r="O16" s="405" t="s">
        <v>2942</v>
      </c>
      <c r="P16" s="405" t="s">
        <v>2943</v>
      </c>
      <c r="Q16" s="270"/>
      <c r="R16" s="270"/>
      <c r="S16" s="270"/>
      <c r="T16" s="271"/>
      <c r="U16" s="405" t="s">
        <v>2944</v>
      </c>
      <c r="V16" s="405"/>
      <c r="W16" s="272" t="s">
        <v>2945</v>
      </c>
    </row>
    <row r="17" spans="1:23" ht="27.75" customHeight="1">
      <c r="A17" s="405">
        <v>15</v>
      </c>
      <c r="B17" s="405" t="s">
        <v>2946</v>
      </c>
      <c r="C17" s="267">
        <v>43468</v>
      </c>
      <c r="D17" s="346">
        <v>0.05</v>
      </c>
      <c r="E17" s="269"/>
      <c r="F17" s="405" t="s">
        <v>2844</v>
      </c>
      <c r="G17" s="405" t="s">
        <v>2844</v>
      </c>
      <c r="H17" s="405" t="s">
        <v>2947</v>
      </c>
      <c r="I17" s="405" t="s">
        <v>2948</v>
      </c>
      <c r="J17" s="405" t="s">
        <v>2949</v>
      </c>
      <c r="K17" s="405"/>
      <c r="L17" s="405"/>
      <c r="M17" s="405"/>
      <c r="N17" s="405" t="s">
        <v>2950</v>
      </c>
      <c r="O17" s="277"/>
      <c r="P17" s="405" t="s">
        <v>2951</v>
      </c>
      <c r="Q17" s="270"/>
      <c r="R17" s="270"/>
      <c r="S17" s="270"/>
      <c r="T17" s="271"/>
      <c r="U17" s="266"/>
      <c r="V17" s="405"/>
      <c r="W17" s="405" t="s">
        <v>2952</v>
      </c>
    </row>
    <row r="18" spans="1:23" ht="27.75" customHeight="1">
      <c r="A18" s="405">
        <v>16</v>
      </c>
      <c r="B18" s="405" t="s">
        <v>2690</v>
      </c>
      <c r="C18" s="267">
        <v>44018</v>
      </c>
      <c r="D18" s="346">
        <v>0.06</v>
      </c>
      <c r="E18" s="269"/>
      <c r="F18" s="405" t="s">
        <v>2844</v>
      </c>
      <c r="G18" s="405"/>
      <c r="H18" s="405" t="s">
        <v>2953</v>
      </c>
      <c r="I18" s="405" t="s">
        <v>2954</v>
      </c>
      <c r="J18" s="405"/>
      <c r="K18" s="405"/>
      <c r="L18" s="405"/>
      <c r="M18" s="405"/>
      <c r="N18" s="405" t="s">
        <v>2955</v>
      </c>
      <c r="O18" s="405" t="s">
        <v>2956</v>
      </c>
      <c r="P18" s="405" t="s">
        <v>2957</v>
      </c>
      <c r="Q18" s="270"/>
      <c r="R18" s="270"/>
      <c r="S18" s="270"/>
      <c r="T18" s="271"/>
      <c r="U18" s="266"/>
      <c r="V18" s="405"/>
      <c r="W18" s="405" t="s">
        <v>2958</v>
      </c>
    </row>
    <row r="19" spans="1:23" ht="27.75" customHeight="1">
      <c r="A19" s="405">
        <v>17</v>
      </c>
      <c r="B19" s="272" t="s">
        <v>2959</v>
      </c>
      <c r="C19" s="267">
        <v>44243</v>
      </c>
      <c r="D19" s="346">
        <v>0.09</v>
      </c>
      <c r="E19" s="268" t="s">
        <v>2833</v>
      </c>
      <c r="F19" s="405" t="s">
        <v>2844</v>
      </c>
      <c r="G19" s="405" t="s">
        <v>2844</v>
      </c>
      <c r="H19" s="405" t="s">
        <v>2960</v>
      </c>
      <c r="I19" s="405" t="s">
        <v>2961</v>
      </c>
      <c r="J19" s="405" t="s">
        <v>2962</v>
      </c>
      <c r="K19" s="405" t="s">
        <v>2896</v>
      </c>
      <c r="L19" s="405"/>
      <c r="M19" s="405" t="s">
        <v>2963</v>
      </c>
      <c r="N19" s="405" t="s">
        <v>2964</v>
      </c>
      <c r="O19" s="405"/>
      <c r="P19" s="405" t="s">
        <v>2965</v>
      </c>
      <c r="Q19" s="270"/>
      <c r="R19" s="270"/>
      <c r="S19" s="270"/>
      <c r="T19" s="271"/>
      <c r="U19" s="266"/>
      <c r="V19" s="405"/>
      <c r="W19" s="278">
        <v>40764</v>
      </c>
    </row>
    <row r="20" spans="1:23" ht="27.75" customHeight="1">
      <c r="A20" s="405">
        <v>18</v>
      </c>
      <c r="B20" s="272" t="s">
        <v>2966</v>
      </c>
      <c r="C20" s="267">
        <v>44250</v>
      </c>
      <c r="D20" s="346">
        <v>8.5000000000000006E-2</v>
      </c>
      <c r="E20" s="268" t="s">
        <v>2833</v>
      </c>
      <c r="F20" s="405" t="s">
        <v>2844</v>
      </c>
      <c r="G20" s="405" t="s">
        <v>2844</v>
      </c>
      <c r="H20" s="405" t="s">
        <v>2960</v>
      </c>
      <c r="I20" s="405" t="s">
        <v>2961</v>
      </c>
      <c r="J20" s="405" t="s">
        <v>2962</v>
      </c>
      <c r="K20" s="405" t="s">
        <v>2896</v>
      </c>
      <c r="L20" s="405"/>
      <c r="M20" s="405" t="s">
        <v>2963</v>
      </c>
      <c r="N20" s="405" t="s">
        <v>2967</v>
      </c>
      <c r="O20" s="404"/>
      <c r="P20" s="405" t="s">
        <v>2968</v>
      </c>
      <c r="Q20" s="270"/>
      <c r="R20" s="270"/>
      <c r="S20" s="270"/>
      <c r="T20" s="271"/>
      <c r="U20" s="266"/>
      <c r="V20" s="405"/>
      <c r="W20" s="278">
        <v>42732</v>
      </c>
    </row>
    <row r="21" spans="1:23" ht="27.75" customHeight="1">
      <c r="A21" s="405">
        <v>19</v>
      </c>
      <c r="B21" s="272" t="s">
        <v>2969</v>
      </c>
      <c r="C21" s="267">
        <v>44932</v>
      </c>
      <c r="D21" s="348">
        <v>0.06</v>
      </c>
      <c r="E21" s="405"/>
      <c r="F21" s="405" t="s">
        <v>2844</v>
      </c>
      <c r="G21" s="405"/>
      <c r="H21" s="405" t="s">
        <v>2970</v>
      </c>
      <c r="I21" s="405" t="s">
        <v>2971</v>
      </c>
      <c r="J21" s="405" t="s">
        <v>2972</v>
      </c>
      <c r="K21" s="405"/>
      <c r="L21" s="405"/>
      <c r="M21" s="405"/>
      <c r="N21" s="279" t="s">
        <v>2973</v>
      </c>
      <c r="O21" s="280" t="s">
        <v>2974</v>
      </c>
      <c r="P21" s="281" t="s">
        <v>2975</v>
      </c>
      <c r="Q21" s="266"/>
      <c r="R21" s="266"/>
      <c r="S21" s="266"/>
      <c r="T21" s="266"/>
      <c r="U21" s="266"/>
      <c r="V21" s="405" t="s">
        <v>2976</v>
      </c>
      <c r="W21" s="278">
        <v>34946</v>
      </c>
    </row>
    <row r="22" spans="1:23" ht="27.75" customHeight="1">
      <c r="A22" s="405">
        <v>20</v>
      </c>
      <c r="B22" s="272" t="s">
        <v>2977</v>
      </c>
      <c r="C22" s="267">
        <v>45337</v>
      </c>
      <c r="D22" s="349">
        <v>0.06</v>
      </c>
      <c r="E22" s="405"/>
      <c r="F22" s="405" t="s">
        <v>2844</v>
      </c>
      <c r="G22" s="405"/>
      <c r="H22" s="405" t="s">
        <v>2978</v>
      </c>
      <c r="I22" s="405" t="s">
        <v>2979</v>
      </c>
      <c r="J22" s="405" t="s">
        <v>2980</v>
      </c>
      <c r="K22" s="405"/>
      <c r="L22" s="405"/>
      <c r="M22" s="405"/>
      <c r="N22" s="279" t="s">
        <v>2981</v>
      </c>
      <c r="O22" s="280" t="s">
        <v>2982</v>
      </c>
      <c r="P22" s="281" t="s">
        <v>2983</v>
      </c>
      <c r="Q22" s="266"/>
      <c r="R22" s="266"/>
      <c r="S22" s="266"/>
      <c r="T22" s="266"/>
      <c r="U22" s="266"/>
      <c r="V22" s="405"/>
      <c r="W22" s="278">
        <v>37608</v>
      </c>
    </row>
    <row r="23" spans="1:23" ht="27.75" customHeight="1">
      <c r="A23" s="405">
        <v>21</v>
      </c>
      <c r="B23" s="405" t="s">
        <v>2984</v>
      </c>
      <c r="C23" s="267">
        <v>45393</v>
      </c>
      <c r="D23" s="347">
        <f>500000/11*10</f>
        <v>454545.45454545459</v>
      </c>
      <c r="E23" s="405"/>
      <c r="F23" s="405" t="s">
        <v>2844</v>
      </c>
      <c r="G23" s="405"/>
      <c r="H23" s="405" t="s">
        <v>2985</v>
      </c>
      <c r="I23" s="405" t="s">
        <v>2986</v>
      </c>
      <c r="J23" s="405" t="s">
        <v>2987</v>
      </c>
      <c r="K23" s="405"/>
      <c r="L23" s="405"/>
      <c r="M23" s="279"/>
      <c r="N23" s="405" t="s">
        <v>2988</v>
      </c>
      <c r="O23" s="288" t="s">
        <v>2989</v>
      </c>
      <c r="P23" s="405" t="s">
        <v>2990</v>
      </c>
      <c r="Q23" s="282"/>
      <c r="R23" s="266"/>
      <c r="S23" s="266"/>
      <c r="T23" s="266"/>
      <c r="U23" s="266"/>
      <c r="V23" s="405"/>
      <c r="W23" s="278">
        <v>38873</v>
      </c>
    </row>
    <row r="24" spans="1:23" ht="27.75" customHeight="1">
      <c r="A24" s="405">
        <v>22</v>
      </c>
      <c r="B24" s="405" t="s">
        <v>2991</v>
      </c>
      <c r="C24" s="267">
        <v>45405</v>
      </c>
      <c r="D24" s="347">
        <v>600000</v>
      </c>
      <c r="E24" s="405"/>
      <c r="F24" s="405" t="s">
        <v>2844</v>
      </c>
      <c r="G24" s="405"/>
      <c r="H24" s="405" t="s">
        <v>2992</v>
      </c>
      <c r="I24" s="405"/>
      <c r="J24" s="405" t="s">
        <v>2993</v>
      </c>
      <c r="K24" s="405"/>
      <c r="L24" s="405"/>
      <c r="M24" s="279"/>
      <c r="N24" s="405"/>
      <c r="O24" s="405" t="s">
        <v>2994</v>
      </c>
      <c r="P24" s="405" t="s">
        <v>2995</v>
      </c>
      <c r="Q24" s="283"/>
      <c r="R24" s="284"/>
      <c r="S24" s="284"/>
      <c r="T24" s="284"/>
      <c r="U24" s="284"/>
      <c r="V24" s="404"/>
      <c r="W24" s="285">
        <v>44902</v>
      </c>
    </row>
    <row r="25" spans="1:23" ht="27.75" customHeight="1">
      <c r="A25" s="405">
        <v>23</v>
      </c>
      <c r="B25" s="404" t="s">
        <v>2996</v>
      </c>
      <c r="C25" s="286">
        <v>45444</v>
      </c>
      <c r="D25" s="350">
        <v>500000</v>
      </c>
      <c r="E25" s="404"/>
      <c r="F25" s="404" t="s">
        <v>2844</v>
      </c>
      <c r="G25" s="404"/>
      <c r="H25" s="404" t="s">
        <v>2997</v>
      </c>
      <c r="I25" s="404"/>
      <c r="J25" s="404" t="s">
        <v>2998</v>
      </c>
      <c r="K25" s="404"/>
      <c r="L25" s="404" t="s">
        <v>2999</v>
      </c>
      <c r="M25" s="287" t="s">
        <v>3000</v>
      </c>
      <c r="N25" s="405" t="s">
        <v>3001</v>
      </c>
      <c r="O25" s="288" t="s">
        <v>3002</v>
      </c>
      <c r="P25" s="405" t="s">
        <v>3003</v>
      </c>
      <c r="Q25" s="289"/>
      <c r="R25" s="290"/>
      <c r="S25" s="290"/>
      <c r="T25" s="290"/>
      <c r="U25" s="290"/>
      <c r="V25" s="280"/>
      <c r="W25" s="291">
        <v>39457</v>
      </c>
    </row>
    <row r="26" spans="1:23" ht="27.75" customHeight="1">
      <c r="A26" s="405">
        <v>24</v>
      </c>
      <c r="B26" s="280" t="s">
        <v>3004</v>
      </c>
      <c r="C26" s="291">
        <v>45444</v>
      </c>
      <c r="D26" s="351">
        <v>500000</v>
      </c>
      <c r="E26" s="280"/>
      <c r="F26" s="280" t="s">
        <v>2844</v>
      </c>
      <c r="G26" s="280"/>
      <c r="H26" s="280" t="s">
        <v>3005</v>
      </c>
      <c r="I26" s="280"/>
      <c r="J26" s="280" t="s">
        <v>3006</v>
      </c>
      <c r="K26" s="280"/>
      <c r="L26" s="280"/>
      <c r="M26" s="292"/>
      <c r="N26" s="405" t="s">
        <v>3007</v>
      </c>
      <c r="O26" s="288" t="s">
        <v>3008</v>
      </c>
      <c r="P26" s="405" t="s">
        <v>3009</v>
      </c>
      <c r="Q26" s="289"/>
      <c r="R26" s="290"/>
      <c r="S26" s="290"/>
      <c r="T26" s="290"/>
      <c r="U26" s="290"/>
      <c r="V26" s="280"/>
      <c r="W26" s="291">
        <v>45089</v>
      </c>
    </row>
    <row r="27" spans="1:23" ht="27.75" customHeight="1">
      <c r="A27" s="405">
        <v>25</v>
      </c>
      <c r="B27" s="293" t="s">
        <v>3010</v>
      </c>
      <c r="C27" s="294">
        <v>45464</v>
      </c>
      <c r="D27" s="352">
        <f>27000*44</f>
        <v>1188000</v>
      </c>
      <c r="E27" s="293"/>
      <c r="F27" s="293" t="s">
        <v>2844</v>
      </c>
      <c r="G27" s="293"/>
      <c r="H27" s="293"/>
      <c r="I27" s="293"/>
      <c r="J27" s="293"/>
      <c r="K27" s="293"/>
      <c r="L27" s="293"/>
      <c r="M27" s="295"/>
      <c r="N27" s="404" t="s">
        <v>3011</v>
      </c>
      <c r="O27" s="404"/>
      <c r="P27" s="404" t="s">
        <v>3012</v>
      </c>
      <c r="Q27" s="296"/>
      <c r="R27" s="297"/>
      <c r="S27" s="297"/>
      <c r="T27" s="297"/>
      <c r="U27" s="297"/>
      <c r="V27" s="293"/>
      <c r="W27" s="294">
        <v>42537</v>
      </c>
    </row>
    <row r="28" spans="1:23" ht="27.75" customHeight="1">
      <c r="A28" s="405">
        <v>26</v>
      </c>
      <c r="B28" s="405" t="s">
        <v>3013</v>
      </c>
      <c r="C28" s="267">
        <v>45510</v>
      </c>
      <c r="D28" s="353" t="s">
        <v>3014</v>
      </c>
      <c r="E28" s="405"/>
      <c r="F28" s="405" t="s">
        <v>2844</v>
      </c>
      <c r="G28" s="405"/>
      <c r="H28" s="405" t="s">
        <v>3015</v>
      </c>
      <c r="I28" s="405" t="s">
        <v>3016</v>
      </c>
      <c r="J28" s="405" t="s">
        <v>3017</v>
      </c>
      <c r="K28" s="405"/>
      <c r="L28" s="405"/>
      <c r="M28" s="405"/>
      <c r="N28" s="405" t="s">
        <v>3018</v>
      </c>
      <c r="O28" s="288" t="s">
        <v>3019</v>
      </c>
      <c r="P28" s="405" t="s">
        <v>3020</v>
      </c>
      <c r="Q28" s="266"/>
      <c r="R28" s="266"/>
      <c r="S28" s="266"/>
      <c r="T28" s="266"/>
      <c r="U28" s="266"/>
      <c r="V28" s="405"/>
      <c r="W28" s="267">
        <v>43966</v>
      </c>
    </row>
    <row r="29" spans="1:23" ht="27.75" customHeight="1">
      <c r="A29" s="405">
        <v>27</v>
      </c>
      <c r="B29" s="405" t="s">
        <v>3021</v>
      </c>
      <c r="C29" s="267">
        <v>45516</v>
      </c>
      <c r="D29" s="348">
        <v>0.06</v>
      </c>
      <c r="E29" s="405"/>
      <c r="F29" s="405" t="s">
        <v>2844</v>
      </c>
      <c r="G29" s="405"/>
      <c r="H29" s="405" t="s">
        <v>3022</v>
      </c>
      <c r="I29" s="405" t="s">
        <v>3023</v>
      </c>
      <c r="J29" s="405" t="s">
        <v>3024</v>
      </c>
      <c r="K29" s="405"/>
      <c r="L29" s="405"/>
      <c r="M29" s="405"/>
      <c r="N29" s="405" t="s">
        <v>3025</v>
      </c>
      <c r="O29" s="288" t="s">
        <v>3026</v>
      </c>
      <c r="P29" s="405" t="s">
        <v>3027</v>
      </c>
      <c r="Q29" s="266"/>
      <c r="R29" s="266"/>
      <c r="S29" s="266"/>
      <c r="T29" s="266"/>
      <c r="U29" s="266"/>
      <c r="V29" s="405"/>
      <c r="W29" s="267">
        <v>35226</v>
      </c>
    </row>
    <row r="30" spans="1:23" ht="27.75" customHeight="1">
      <c r="A30" s="405">
        <v>28</v>
      </c>
      <c r="B30" s="404" t="s">
        <v>3028</v>
      </c>
      <c r="C30" s="286">
        <v>45689</v>
      </c>
      <c r="D30" s="354">
        <v>900000</v>
      </c>
      <c r="E30" s="404"/>
      <c r="F30" s="404" t="s">
        <v>2844</v>
      </c>
      <c r="G30" s="404"/>
      <c r="H30" s="404" t="s">
        <v>3029</v>
      </c>
      <c r="I30" s="404" t="s">
        <v>3030</v>
      </c>
      <c r="J30" s="404" t="s">
        <v>3031</v>
      </c>
      <c r="K30" s="404" t="s">
        <v>3032</v>
      </c>
      <c r="L30" s="404"/>
      <c r="M30" s="404" t="s">
        <v>3033</v>
      </c>
      <c r="N30" s="404" t="s">
        <v>3034</v>
      </c>
      <c r="O30" s="298" t="s">
        <v>3035</v>
      </c>
      <c r="P30" s="404" t="s">
        <v>3036</v>
      </c>
      <c r="Q30" s="284"/>
      <c r="R30" s="284"/>
      <c r="S30" s="284"/>
      <c r="T30" s="284"/>
      <c r="U30" s="284"/>
      <c r="V30" s="404"/>
      <c r="W30" s="286">
        <v>41023</v>
      </c>
    </row>
    <row r="31" spans="1:23" ht="27.75" customHeight="1">
      <c r="A31" s="405">
        <v>29</v>
      </c>
      <c r="B31" s="280" t="s">
        <v>2045</v>
      </c>
      <c r="C31" s="280"/>
      <c r="D31" s="354">
        <v>550000</v>
      </c>
      <c r="E31" s="280"/>
      <c r="F31" s="280" t="s">
        <v>2844</v>
      </c>
      <c r="G31" s="280"/>
      <c r="H31" s="280" t="s">
        <v>3037</v>
      </c>
      <c r="I31" s="280" t="s">
        <v>3038</v>
      </c>
      <c r="J31" s="280" t="s">
        <v>3039</v>
      </c>
      <c r="K31" s="280"/>
      <c r="L31" s="280"/>
      <c r="M31" s="280"/>
      <c r="N31" s="280" t="s">
        <v>3040</v>
      </c>
      <c r="O31" s="299" t="s">
        <v>3041</v>
      </c>
      <c r="P31" s="280"/>
      <c r="Q31" s="290"/>
      <c r="R31" s="290"/>
      <c r="S31" s="290"/>
      <c r="T31" s="290"/>
      <c r="U31" s="290"/>
      <c r="V31" s="280"/>
      <c r="W31" s="291">
        <v>42689</v>
      </c>
    </row>
    <row r="32" spans="1:23" ht="27.75" customHeight="1">
      <c r="A32" s="405">
        <v>30</v>
      </c>
      <c r="B32" s="280" t="s">
        <v>2049</v>
      </c>
      <c r="C32" s="286">
        <v>45809</v>
      </c>
      <c r="D32" s="354">
        <v>600000</v>
      </c>
      <c r="E32" s="280"/>
      <c r="F32" s="280" t="s">
        <v>2844</v>
      </c>
      <c r="G32" s="280"/>
      <c r="H32" s="280" t="s">
        <v>3042</v>
      </c>
      <c r="I32" s="280" t="s">
        <v>3043</v>
      </c>
      <c r="J32" s="280" t="s">
        <v>3044</v>
      </c>
      <c r="K32" s="280"/>
      <c r="L32" s="280"/>
      <c r="M32" s="280"/>
      <c r="N32" s="280" t="s">
        <v>3045</v>
      </c>
      <c r="O32" s="299" t="s">
        <v>3046</v>
      </c>
      <c r="P32" s="280" t="s">
        <v>3047</v>
      </c>
      <c r="Q32" s="290"/>
      <c r="R32" s="290"/>
      <c r="S32" s="290"/>
      <c r="T32" s="290"/>
      <c r="U32" s="290"/>
      <c r="V32" s="280"/>
      <c r="W32" s="291">
        <v>37405</v>
      </c>
    </row>
    <row r="33" spans="1:23" ht="27.75" customHeight="1">
      <c r="A33" s="405">
        <v>31</v>
      </c>
      <c r="B33" s="293" t="s">
        <v>3048</v>
      </c>
      <c r="C33" s="286">
        <v>45870</v>
      </c>
      <c r="D33" s="355">
        <v>800000</v>
      </c>
      <c r="E33" s="293"/>
      <c r="F33" s="293" t="s">
        <v>2844</v>
      </c>
      <c r="G33" s="293"/>
      <c r="H33" s="280" t="s">
        <v>3049</v>
      </c>
      <c r="I33" s="280"/>
      <c r="J33" s="280" t="s">
        <v>1764</v>
      </c>
      <c r="K33" s="280"/>
      <c r="L33" s="280"/>
      <c r="M33" s="280"/>
      <c r="N33" s="280" t="s">
        <v>3050</v>
      </c>
      <c r="O33" s="300" t="s">
        <v>3051</v>
      </c>
      <c r="P33" s="280"/>
      <c r="Q33" s="290"/>
      <c r="R33" s="290"/>
      <c r="S33" s="290"/>
      <c r="T33" s="290"/>
      <c r="U33" s="290"/>
      <c r="V33" s="280"/>
      <c r="W33" s="291">
        <v>40512</v>
      </c>
    </row>
    <row r="34" spans="1:23" ht="27.75" customHeight="1">
      <c r="A34" s="404">
        <v>32</v>
      </c>
      <c r="B34" s="301" t="s">
        <v>2053</v>
      </c>
      <c r="C34" s="286">
        <v>45870</v>
      </c>
      <c r="D34" s="356">
        <v>1200000</v>
      </c>
      <c r="E34" s="404"/>
      <c r="F34" s="404" t="s">
        <v>2844</v>
      </c>
      <c r="G34" s="404"/>
      <c r="H34" s="302" t="s">
        <v>3052</v>
      </c>
      <c r="I34" s="293"/>
      <c r="J34" s="293" t="s">
        <v>3053</v>
      </c>
      <c r="K34" s="293"/>
      <c r="L34" s="293"/>
      <c r="M34" s="293"/>
      <c r="N34" s="295" t="s">
        <v>3054</v>
      </c>
      <c r="O34" s="298" t="s">
        <v>3055</v>
      </c>
      <c r="P34" s="302"/>
      <c r="Q34" s="297"/>
      <c r="R34" s="297"/>
      <c r="S34" s="297"/>
      <c r="T34" s="297"/>
      <c r="U34" s="297"/>
      <c r="V34" s="293"/>
      <c r="W34" s="294">
        <v>43970</v>
      </c>
    </row>
    <row r="35" spans="1:23" ht="27.75" customHeight="1">
      <c r="A35" s="280">
        <v>33</v>
      </c>
      <c r="B35" s="280" t="s">
        <v>2055</v>
      </c>
      <c r="C35" s="291">
        <v>45931</v>
      </c>
      <c r="D35" s="354">
        <v>1000000</v>
      </c>
      <c r="E35" s="280"/>
      <c r="F35" s="404" t="s">
        <v>2844</v>
      </c>
      <c r="G35" s="280"/>
      <c r="H35" s="280" t="s">
        <v>3056</v>
      </c>
      <c r="I35" s="280">
        <v>300419</v>
      </c>
      <c r="J35" s="280" t="s">
        <v>3057</v>
      </c>
      <c r="K35" s="280" t="s">
        <v>3056</v>
      </c>
      <c r="L35" s="280" t="s">
        <v>3058</v>
      </c>
      <c r="M35" s="280"/>
      <c r="N35" s="280" t="s">
        <v>3059</v>
      </c>
      <c r="O35" s="299" t="s">
        <v>3060</v>
      </c>
      <c r="P35" s="304" t="s">
        <v>3061</v>
      </c>
      <c r="Q35" s="290"/>
      <c r="R35" s="290"/>
      <c r="S35" s="290"/>
      <c r="T35" s="290"/>
      <c r="U35" s="290"/>
      <c r="V35" s="280"/>
      <c r="W35" s="291">
        <v>37247</v>
      </c>
    </row>
    <row r="36" spans="1:23" ht="27.75" customHeight="1">
      <c r="A36" s="280">
        <v>34</v>
      </c>
      <c r="B36" s="280" t="s">
        <v>3062</v>
      </c>
      <c r="C36" s="291">
        <v>45931</v>
      </c>
      <c r="D36" s="354">
        <v>770000</v>
      </c>
      <c r="E36" s="280"/>
      <c r="F36" s="404" t="s">
        <v>2844</v>
      </c>
      <c r="G36" s="280"/>
      <c r="H36" s="280" t="s">
        <v>3063</v>
      </c>
      <c r="I36" s="280"/>
      <c r="J36" s="280" t="s">
        <v>3064</v>
      </c>
      <c r="K36" s="280" t="s">
        <v>3065</v>
      </c>
      <c r="L36" s="280"/>
      <c r="M36" s="280" t="s">
        <v>3066</v>
      </c>
      <c r="N36" s="280" t="s">
        <v>3067</v>
      </c>
      <c r="O36" s="299" t="s">
        <v>3068</v>
      </c>
      <c r="P36" s="280"/>
      <c r="Q36" s="290"/>
      <c r="R36" s="290"/>
      <c r="S36" s="290"/>
      <c r="T36" s="290"/>
      <c r="U36" s="290"/>
      <c r="V36" s="280"/>
      <c r="W36" s="291">
        <v>32844</v>
      </c>
    </row>
    <row r="37" spans="1:23" ht="27.75" customHeight="1">
      <c r="A37" s="280">
        <v>35</v>
      </c>
      <c r="B37" s="280" t="s">
        <v>3069</v>
      </c>
      <c r="C37" s="291">
        <v>45992</v>
      </c>
      <c r="D37" s="354">
        <v>660000</v>
      </c>
      <c r="E37" s="280"/>
      <c r="F37" s="404" t="s">
        <v>2844</v>
      </c>
      <c r="G37" s="280"/>
      <c r="H37" s="280" t="s">
        <v>3070</v>
      </c>
      <c r="I37" s="280" t="s">
        <v>3071</v>
      </c>
      <c r="J37" s="280"/>
      <c r="K37" s="280"/>
      <c r="L37" s="280"/>
      <c r="M37" s="280"/>
      <c r="N37" s="280" t="s">
        <v>3072</v>
      </c>
      <c r="O37" s="303" t="s">
        <v>3073</v>
      </c>
      <c r="P37" s="280"/>
      <c r="Q37" s="290"/>
      <c r="R37" s="290"/>
      <c r="S37" s="290"/>
      <c r="T37" s="290"/>
      <c r="U37" s="290"/>
      <c r="V37" s="280"/>
      <c r="W37" s="291">
        <v>32844</v>
      </c>
    </row>
    <row r="38" spans="1:23" ht="27.75" customHeight="1">
      <c r="A38" s="293">
        <v>36</v>
      </c>
      <c r="B38" s="293" t="s">
        <v>3074</v>
      </c>
      <c r="C38" s="294">
        <v>45992</v>
      </c>
      <c r="D38" s="355">
        <v>715000</v>
      </c>
      <c r="E38" s="293"/>
      <c r="F38" s="404" t="s">
        <v>2844</v>
      </c>
      <c r="G38" s="293"/>
      <c r="H38" s="293" t="s">
        <v>3075</v>
      </c>
      <c r="I38" s="293"/>
      <c r="J38" s="293"/>
      <c r="K38" s="293" t="s">
        <v>3076</v>
      </c>
      <c r="L38" s="293" t="s">
        <v>3077</v>
      </c>
      <c r="M38" s="293" t="s">
        <v>3078</v>
      </c>
      <c r="N38" s="293" t="s">
        <v>3079</v>
      </c>
      <c r="O38" s="300" t="s">
        <v>3080</v>
      </c>
      <c r="P38" s="266"/>
      <c r="Q38" s="266"/>
      <c r="R38" s="266"/>
      <c r="S38" s="266"/>
      <c r="T38" s="266"/>
      <c r="U38" s="405"/>
      <c r="V38" s="267"/>
      <c r="W38" s="294">
        <v>32844</v>
      </c>
    </row>
    <row r="39" spans="1:23" ht="27.75" customHeight="1">
      <c r="A39" s="293">
        <v>37</v>
      </c>
      <c r="B39" s="293" t="s">
        <v>3081</v>
      </c>
      <c r="C39" s="294">
        <v>46035</v>
      </c>
      <c r="D39" s="355">
        <v>600000</v>
      </c>
      <c r="E39" s="293"/>
      <c r="F39" s="404" t="s">
        <v>2844</v>
      </c>
      <c r="G39" s="293"/>
      <c r="H39" s="293" t="s">
        <v>3082</v>
      </c>
      <c r="I39" s="293"/>
      <c r="J39" s="293" t="s">
        <v>3083</v>
      </c>
      <c r="K39" s="293"/>
      <c r="L39" s="293"/>
      <c r="M39" s="293"/>
      <c r="N39" s="293" t="s">
        <v>3084</v>
      </c>
      <c r="O39" s="300"/>
      <c r="P39" s="266"/>
      <c r="Q39" s="266"/>
      <c r="R39" s="266"/>
      <c r="S39" s="266"/>
      <c r="T39" s="266"/>
      <c r="U39" s="405"/>
      <c r="V39" s="267"/>
      <c r="W39" s="294">
        <v>24816</v>
      </c>
    </row>
    <row r="40" spans="1:23" ht="27.75" customHeight="1">
      <c r="A40" s="280">
        <v>38</v>
      </c>
      <c r="B40" s="280" t="s">
        <v>3085</v>
      </c>
      <c r="C40" s="291">
        <v>46056</v>
      </c>
      <c r="D40" s="354">
        <v>1540000</v>
      </c>
      <c r="E40" s="280"/>
      <c r="F40" s="334" t="s">
        <v>3086</v>
      </c>
      <c r="G40" s="280"/>
      <c r="H40" s="280" t="s">
        <v>3087</v>
      </c>
      <c r="I40" s="280"/>
      <c r="J40" s="280" t="s">
        <v>3088</v>
      </c>
      <c r="K40" s="280"/>
      <c r="L40" s="280"/>
      <c r="M40" s="280"/>
      <c r="N40" s="280" t="s">
        <v>3089</v>
      </c>
      <c r="O40" s="303" t="s">
        <v>3090</v>
      </c>
      <c r="P40" s="335"/>
      <c r="Q40" s="335"/>
      <c r="R40" s="266"/>
      <c r="S40" s="266"/>
      <c r="T40" s="266"/>
      <c r="U40" s="405"/>
      <c r="V40" s="267"/>
      <c r="W40" s="294"/>
    </row>
    <row r="41" spans="1:23" ht="27.75" customHeight="1">
      <c r="A41" s="280">
        <v>39</v>
      </c>
      <c r="B41" s="280" t="s">
        <v>3091</v>
      </c>
      <c r="C41" s="291">
        <v>46082</v>
      </c>
      <c r="D41" s="354">
        <v>825000</v>
      </c>
      <c r="E41" s="280"/>
      <c r="F41" s="334" t="s">
        <v>3086</v>
      </c>
      <c r="G41" s="280"/>
      <c r="H41" s="280" t="s">
        <v>3092</v>
      </c>
      <c r="I41" s="280"/>
      <c r="J41" s="280" t="s">
        <v>3093</v>
      </c>
      <c r="K41" s="280"/>
      <c r="L41" s="280"/>
      <c r="M41" s="280"/>
      <c r="N41" s="280" t="s">
        <v>3094</v>
      </c>
      <c r="O41" s="303"/>
      <c r="P41" s="335"/>
      <c r="Q41" s="335"/>
      <c r="R41" s="266"/>
      <c r="S41" s="266"/>
      <c r="T41" s="266"/>
      <c r="U41" s="405"/>
      <c r="V41" s="267"/>
      <c r="W41" s="294"/>
    </row>
  </sheetData>
  <mergeCells count="12">
    <mergeCell ref="W1:W2"/>
    <mergeCell ref="A1:A2"/>
    <mergeCell ref="B1:B2"/>
    <mergeCell ref="C1:C2"/>
    <mergeCell ref="D1:D2"/>
    <mergeCell ref="E1:E2"/>
    <mergeCell ref="F1:F2"/>
    <mergeCell ref="G1:G2"/>
    <mergeCell ref="H1:J1"/>
    <mergeCell ref="K1:M1"/>
    <mergeCell ref="Q1:T1"/>
    <mergeCell ref="V1:V2"/>
  </mergeCells>
  <phoneticPr fontId="2" type="noConversion"/>
  <hyperlinks>
    <hyperlink ref="O25" r:id="rId1" xr:uid="{08A7D996-3DD2-42F6-AC68-084DE91DD887}"/>
    <hyperlink ref="O28" r:id="rId2" xr:uid="{ED61FB4F-76D6-4B88-BD22-05309BD6B759}"/>
    <hyperlink ref="O29" r:id="rId3" xr:uid="{E42BDD59-A060-457B-9EBF-9413D91DADE3}"/>
    <hyperlink ref="O23" r:id="rId4" xr:uid="{9F3DEA85-D766-4CF6-A632-E3FBA3B1582F}"/>
    <hyperlink ref="O30" r:id="rId5" xr:uid="{C83B653F-4D28-4010-A4F6-52B0C22911C8}"/>
    <hyperlink ref="O26" r:id="rId6" xr:uid="{E350E8BE-3A5F-4458-B524-2EB415B84EE5}"/>
    <hyperlink ref="O31" r:id="rId7" xr:uid="{A98B4C0E-56A7-4883-BB61-7DDB9D74DA1E}"/>
    <hyperlink ref="O32" r:id="rId8" xr:uid="{D8967FB5-6BEB-42A1-8F52-56BBE835761D}"/>
    <hyperlink ref="O34" r:id="rId9" xr:uid="{F0F05812-0E8B-4ADD-B94E-8EB4E55657A7}"/>
    <hyperlink ref="O33" r:id="rId10" xr:uid="{9AE16535-AD65-41EA-A6E2-A25864674F49}"/>
    <hyperlink ref="O36" r:id="rId11" xr:uid="{19148B11-9024-4E8F-994F-D879039AD268}"/>
    <hyperlink ref="O37" r:id="rId12" xr:uid="{1CF1A0D0-E761-4A74-98C5-4CE76781D354}"/>
    <hyperlink ref="O35" r:id="rId13" xr:uid="{E789A598-00F3-42FC-8D86-F20F89AFF97B}"/>
    <hyperlink ref="O38" r:id="rId14" display="sukminlee@naver.com" xr:uid="{294E191A-5650-4138-954A-2736804F44C5}"/>
    <hyperlink ref="O40" r:id="rId15" xr:uid="{50A5D6B1-411E-4F5A-87D2-46162DFB101C}"/>
  </hyperlinks>
  <pageMargins left="0.7" right="0.7" top="0.75" bottom="0.75" header="0.3" footer="0.3"/>
  <pageSetup paperSize="9" orientation="portrait"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5EF2-7B8E-41F6-8480-02F1E816E912}">
  <sheetPr>
    <tabColor rgb="FFFFC000"/>
  </sheetPr>
  <dimension ref="A1:H94"/>
  <sheetViews>
    <sheetView topLeftCell="A20" workbookViewId="0">
      <selection activeCell="F78" sqref="F78"/>
    </sheetView>
  </sheetViews>
  <sheetFormatPr defaultRowHeight="16.5"/>
  <cols>
    <col min="1" max="1" width="14.625" style="179" customWidth="1"/>
    <col min="2" max="2" width="8.875" style="179" customWidth="1"/>
    <col min="3" max="3" width="22.625" style="179" customWidth="1"/>
    <col min="4" max="6" width="10.625" style="179" customWidth="1"/>
    <col min="7" max="7" width="9" style="179"/>
    <col min="8" max="8" width="18.75" style="12" bestFit="1" customWidth="1"/>
  </cols>
  <sheetData>
    <row r="1" spans="1:8">
      <c r="H1" s="180" t="s">
        <v>3095</v>
      </c>
    </row>
    <row r="2" spans="1:8">
      <c r="A2" s="538">
        <f ca="1">TODAY()</f>
        <v>46099</v>
      </c>
      <c r="B2" s="538"/>
      <c r="C2" s="538"/>
      <c r="D2" s="538"/>
      <c r="E2" s="181" t="s">
        <v>3096</v>
      </c>
      <c r="F2" s="182" t="s">
        <v>3097</v>
      </c>
      <c r="G2" s="183" t="s">
        <v>3098</v>
      </c>
    </row>
    <row r="3" spans="1:8">
      <c r="A3" s="538"/>
      <c r="B3" s="538"/>
      <c r="C3" s="538"/>
      <c r="D3" s="538"/>
      <c r="E3" s="184">
        <f ca="1">COUNTIF($G$6:$G$100, "도래")</f>
        <v>25</v>
      </c>
      <c r="F3" s="185">
        <f ca="1">COUNTIF($G$6:$G$100, "예정")</f>
        <v>4</v>
      </c>
      <c r="G3" s="186">
        <f ca="1">COUNTIF($G$6:$G$100, "관심")</f>
        <v>6</v>
      </c>
    </row>
    <row r="5" spans="1:8">
      <c r="A5" s="187" t="s">
        <v>2527</v>
      </c>
      <c r="B5" s="187" t="s">
        <v>3099</v>
      </c>
      <c r="C5" s="187" t="s">
        <v>3100</v>
      </c>
      <c r="D5" s="187" t="s">
        <v>3101</v>
      </c>
      <c r="E5" s="187" t="s">
        <v>3102</v>
      </c>
      <c r="F5" s="187" t="s">
        <v>3103</v>
      </c>
      <c r="G5" s="187" t="s">
        <v>3104</v>
      </c>
      <c r="H5" s="187" t="s">
        <v>3105</v>
      </c>
    </row>
    <row r="6" spans="1:8">
      <c r="A6" s="188" t="str" cm="1">
        <f t="array" aca="1" ref="A6:G40" ca="1">_xlfn.LET(
   _xlpm.데이터, _xlfn._xlws.FILTER(■입주정보!$B1:$AL1000,
      (■입주정보!$AK1:$AK1000&lt;&gt;"") * ((■입주정보!$AL1:$AL1000="도래")+
       (■입주정보!$AL1:$AL1000="예정")+
       (■입주정보!$AL1:$AL1000="관심"))
   ),
   _xlpm.가공, _xlfn.HSTACK(
      _xlfn.CHOOSECOLS(_xlpm.데이터,1,2,3),
      _xlfn.MAP(_xlfn.CHOOSECOLS(_xlpm.데이터,5),_xlfn.LAMBDA(_xlpm.x,IF(_xlpm.x&lt;A2,"연체",_xlpm.x))),
      _xlfn.CHOOSECOLS(_xlpm.데이터,11,12,37)
   ),
   _xlpm.날짜열, INDEX(_xlpm.가공,,6),
   _xlpm.월별순서, MOD(MONTH(_xlpm.날짜열) - MONTH(A2), 12),
   _xlfn.SORTBY(_xlpm.가공, _xlpm.월별순서, 1, DAY(_xlpm.날짜열), 1)
)</f>
        <v>에이스빌딩</v>
      </c>
      <c r="B6" s="189" t="str">
        <f ca="1"/>
        <v>B01</v>
      </c>
      <c r="C6" s="189" t="str">
        <f ca="1"/>
        <v>김유정(찬들컴퍼니)</v>
      </c>
      <c r="D6" s="190" t="str">
        <f ca="1"/>
        <v>연체</v>
      </c>
      <c r="E6" s="190">
        <f ca="1"/>
        <v>45465</v>
      </c>
      <c r="F6" s="190">
        <f ca="1"/>
        <v>46102</v>
      </c>
      <c r="G6" s="189" t="str">
        <f ca="1"/>
        <v>도래</v>
      </c>
      <c r="H6" s="189"/>
    </row>
    <row r="7" spans="1:8">
      <c r="A7" s="188" t="str">
        <f ca="1"/>
        <v>우진빌딩</v>
      </c>
      <c r="B7" s="189" t="str">
        <f ca="1"/>
        <v>1층</v>
      </c>
      <c r="C7" s="189" t="str">
        <f ca="1"/>
        <v>반가흑돈(김창용)</v>
      </c>
      <c r="D7" s="190">
        <f ca="1"/>
        <v>46112</v>
      </c>
      <c r="E7" s="190">
        <f ca="1"/>
        <v>45397</v>
      </c>
      <c r="F7" s="190">
        <f ca="1"/>
        <v>46126</v>
      </c>
      <c r="G7" s="189" t="str">
        <f ca="1"/>
        <v>도래</v>
      </c>
      <c r="H7" s="189"/>
    </row>
    <row r="8" spans="1:8">
      <c r="A8" s="188" t="str">
        <f ca="1"/>
        <v>대치칼텍빌딩</v>
      </c>
      <c r="B8" s="189" t="str">
        <f ca="1"/>
        <v>1층</v>
      </c>
      <c r="C8" s="189" t="str">
        <f ca="1"/>
        <v>KNS에듀</v>
      </c>
      <c r="D8" s="190">
        <f ca="1"/>
        <v>46127</v>
      </c>
      <c r="E8" s="190">
        <f ca="1"/>
        <v>45397</v>
      </c>
      <c r="F8" s="190">
        <f ca="1"/>
        <v>46126</v>
      </c>
      <c r="G8" s="189" t="str">
        <f ca="1"/>
        <v>도래</v>
      </c>
      <c r="H8" s="189"/>
    </row>
    <row r="9" spans="1:8">
      <c r="A9" s="188" t="str">
        <f ca="1"/>
        <v>대치칼텍빌딩</v>
      </c>
      <c r="B9" s="189" t="str">
        <f ca="1"/>
        <v>4-5층</v>
      </c>
      <c r="C9" s="189" t="str">
        <f ca="1"/>
        <v>KNS에듀</v>
      </c>
      <c r="D9" s="190">
        <f ca="1"/>
        <v>46127</v>
      </c>
      <c r="E9" s="190">
        <f ca="1"/>
        <v>45397</v>
      </c>
      <c r="F9" s="190">
        <f ca="1"/>
        <v>46126</v>
      </c>
      <c r="G9" s="189" t="str">
        <f ca="1"/>
        <v>도래</v>
      </c>
      <c r="H9" s="189"/>
    </row>
    <row r="10" spans="1:8">
      <c r="A10" s="188" t="str">
        <f ca="1"/>
        <v>집현전빌딩</v>
      </c>
      <c r="B10" s="189">
        <f ca="1"/>
        <v>102</v>
      </c>
      <c r="C10" s="189" t="str">
        <f ca="1"/>
        <v>두자매부동산(최선영)</v>
      </c>
      <c r="D10" s="190">
        <f ca="1"/>
        <v>46127</v>
      </c>
      <c r="E10" s="190">
        <f ca="1"/>
        <v>45397</v>
      </c>
      <c r="F10" s="190">
        <f ca="1"/>
        <v>45761</v>
      </c>
      <c r="G10" s="189" t="str">
        <f ca="1"/>
        <v>도래</v>
      </c>
      <c r="H10" s="189"/>
    </row>
    <row r="11" spans="1:8">
      <c r="A11" s="188" t="str">
        <f ca="1"/>
        <v>평해빌딩</v>
      </c>
      <c r="B11" s="189" t="str">
        <f ca="1"/>
        <v>B01</v>
      </c>
      <c r="C11" s="189" t="str">
        <f ca="1"/>
        <v>홍무석(물음표노래방)</v>
      </c>
      <c r="D11" s="190" t="str">
        <f ca="1"/>
        <v>연체</v>
      </c>
      <c r="E11" s="190">
        <f ca="1"/>
        <v>43570</v>
      </c>
      <c r="F11" s="190">
        <f ca="1"/>
        <v>43935</v>
      </c>
      <c r="G11" s="189" t="str">
        <f ca="1"/>
        <v>도래</v>
      </c>
      <c r="H11" s="189"/>
    </row>
    <row r="12" spans="1:8">
      <c r="A12" s="188" t="str">
        <f ca="1"/>
        <v>평해빌딩</v>
      </c>
      <c r="B12" s="189" t="str">
        <f ca="1"/>
        <v>B02</v>
      </c>
      <c r="C12" s="189" t="str">
        <f ca="1"/>
        <v>홍무석</v>
      </c>
      <c r="D12" s="190" t="str">
        <f ca="1"/>
        <v>연체</v>
      </c>
      <c r="E12" s="190">
        <f ca="1"/>
        <v>43206</v>
      </c>
      <c r="F12" s="190">
        <f ca="1"/>
        <v>43570</v>
      </c>
      <c r="G12" s="189" t="str">
        <f ca="1"/>
        <v>도래</v>
      </c>
      <c r="H12" s="189"/>
    </row>
    <row r="13" spans="1:8">
      <c r="A13" s="188" t="str">
        <f ca="1"/>
        <v>이례빌딩</v>
      </c>
      <c r="B13" s="189">
        <f ca="1"/>
        <v>602</v>
      </c>
      <c r="C13" s="189" t="str">
        <f ca="1"/>
        <v>㈜동우솔루션</v>
      </c>
      <c r="D13" s="190">
        <f ca="1"/>
        <v>46112</v>
      </c>
      <c r="E13" s="190">
        <f ca="1"/>
        <v>40842</v>
      </c>
      <c r="F13" s="190">
        <f ca="1"/>
        <v>46142</v>
      </c>
      <c r="G13" s="189" t="str">
        <f ca="1"/>
        <v>도래</v>
      </c>
      <c r="H13" s="189"/>
    </row>
    <row r="14" spans="1:8">
      <c r="A14" s="188" t="str">
        <f ca="1"/>
        <v>KMC코리아</v>
      </c>
      <c r="B14" s="189" t="str">
        <f ca="1"/>
        <v>5층</v>
      </c>
      <c r="C14" s="189" t="str">
        <f ca="1"/>
        <v>㈜그레이드헬스체인</v>
      </c>
      <c r="D14" s="190">
        <f ca="1"/>
        <v>46109</v>
      </c>
      <c r="E14" s="190">
        <f ca="1"/>
        <v>45413</v>
      </c>
      <c r="F14" s="190">
        <f ca="1"/>
        <v>46142</v>
      </c>
      <c r="G14" s="189" t="str">
        <f ca="1"/>
        <v>도래</v>
      </c>
      <c r="H14" s="189"/>
    </row>
    <row r="15" spans="1:8">
      <c r="A15" s="188" t="str">
        <f ca="1"/>
        <v>우영빌딩</v>
      </c>
      <c r="B15" s="189" t="str">
        <f ca="1"/>
        <v>B02</v>
      </c>
      <c r="C15" s="189" t="str">
        <f ca="1"/>
        <v>제이앤에스</v>
      </c>
      <c r="D15" s="190">
        <f ca="1"/>
        <v>46113</v>
      </c>
      <c r="E15" s="190">
        <f ca="1"/>
        <v>45419</v>
      </c>
      <c r="F15" s="190">
        <f ca="1"/>
        <v>46148</v>
      </c>
      <c r="G15" s="189" t="str">
        <f ca="1"/>
        <v>도래</v>
      </c>
      <c r="H15" s="189"/>
    </row>
    <row r="16" spans="1:8">
      <c r="A16" s="188" t="str">
        <f ca="1"/>
        <v>평해빌딩</v>
      </c>
      <c r="B16" s="189">
        <f ca="1"/>
        <v>101</v>
      </c>
      <c r="C16" s="189" t="str">
        <f ca="1"/>
        <v>김종대(김선생조개집)</v>
      </c>
      <c r="D16" s="190">
        <f ca="1"/>
        <v>46101</v>
      </c>
      <c r="E16" s="190">
        <f ca="1"/>
        <v>43605</v>
      </c>
      <c r="F16" s="190">
        <f ca="1"/>
        <v>44335</v>
      </c>
      <c r="G16" s="189" t="str">
        <f ca="1"/>
        <v>도래</v>
      </c>
      <c r="H16" s="189"/>
    </row>
    <row r="17" spans="1:8">
      <c r="A17" s="188" t="str">
        <f ca="1"/>
        <v>양지빌딩</v>
      </c>
      <c r="B17" s="189" t="str">
        <f ca="1"/>
        <v>B01</v>
      </c>
      <c r="C17" s="189" t="str">
        <f ca="1"/>
        <v>박관석</v>
      </c>
      <c r="D17" s="190">
        <f ca="1"/>
        <v>46112</v>
      </c>
      <c r="E17" s="190">
        <f ca="1"/>
        <v>45435</v>
      </c>
      <c r="F17" s="190">
        <f ca="1"/>
        <v>45799</v>
      </c>
      <c r="G17" s="189" t="str">
        <f ca="1"/>
        <v>도래</v>
      </c>
      <c r="H17" s="189"/>
    </row>
    <row r="18" spans="1:8">
      <c r="A18" s="188" t="str">
        <f ca="1"/>
        <v>양지빌딩</v>
      </c>
      <c r="B18" s="189">
        <f ca="1"/>
        <v>401</v>
      </c>
      <c r="C18" s="189" t="str">
        <f ca="1"/>
        <v>릿업핏(한지훈)</v>
      </c>
      <c r="D18" s="190">
        <f ca="1"/>
        <v>46112</v>
      </c>
      <c r="E18" s="190">
        <f ca="1"/>
        <v>44711</v>
      </c>
      <c r="F18" s="190">
        <f ca="1"/>
        <v>45441</v>
      </c>
      <c r="G18" s="189" t="str">
        <f ca="1"/>
        <v>도래</v>
      </c>
      <c r="H18" s="189"/>
    </row>
    <row r="19" spans="1:8">
      <c r="A19" s="188" t="str">
        <f ca="1"/>
        <v>양지빌딩</v>
      </c>
      <c r="B19" s="189">
        <f ca="1"/>
        <v>103</v>
      </c>
      <c r="C19" s="189" t="str">
        <f ca="1"/>
        <v>하정(구본관)</v>
      </c>
      <c r="D19" s="190">
        <f ca="1"/>
        <v>46109</v>
      </c>
      <c r="E19" s="190">
        <f ca="1"/>
        <v>44711</v>
      </c>
      <c r="F19" s="190">
        <f ca="1"/>
        <v>45442</v>
      </c>
      <c r="G19" s="189" t="str">
        <f ca="1"/>
        <v>도래</v>
      </c>
      <c r="H19" s="189"/>
    </row>
    <row r="20" spans="1:8">
      <c r="A20" s="188" t="str">
        <f ca="1"/>
        <v>이례빌딩</v>
      </c>
      <c r="B20" s="189" t="str">
        <f ca="1"/>
        <v>B01</v>
      </c>
      <c r="C20" s="189" t="str">
        <f ca="1"/>
        <v>주식회사 폴리체</v>
      </c>
      <c r="D20" s="190">
        <f ca="1"/>
        <v>46112</v>
      </c>
      <c r="E20" s="190">
        <f ca="1"/>
        <v>45819</v>
      </c>
      <c r="F20" s="190">
        <f ca="1"/>
        <v>46173</v>
      </c>
      <c r="G20" s="189" t="str">
        <f ca="1"/>
        <v>예정</v>
      </c>
      <c r="H20" s="189"/>
    </row>
    <row r="21" spans="1:8">
      <c r="A21" s="188" t="str">
        <f ca="1"/>
        <v>이례빌딩</v>
      </c>
      <c r="B21" s="189" t="str">
        <f ca="1"/>
        <v>5층</v>
      </c>
      <c r="C21" s="189" t="str">
        <f ca="1"/>
        <v>오렌지무역</v>
      </c>
      <c r="D21" s="190">
        <f ca="1"/>
        <v>46112</v>
      </c>
      <c r="E21" s="190">
        <f ca="1"/>
        <v>42887</v>
      </c>
      <c r="F21" s="190">
        <f ca="1"/>
        <v>46173</v>
      </c>
      <c r="G21" s="189" t="str">
        <f ca="1"/>
        <v>예정</v>
      </c>
      <c r="H21" s="189"/>
    </row>
    <row r="22" spans="1:8">
      <c r="A22" s="188" t="str">
        <f ca="1"/>
        <v>KMC코리아</v>
      </c>
      <c r="B22" s="189" t="str">
        <f ca="1"/>
        <v>2층</v>
      </c>
      <c r="C22" s="189" t="str">
        <f ca="1"/>
        <v>주식회사 더리더(정이조영어)</v>
      </c>
      <c r="D22" s="190">
        <f ca="1"/>
        <v>46112</v>
      </c>
      <c r="E22" s="190">
        <f ca="1"/>
        <v>45078</v>
      </c>
      <c r="F22" s="190">
        <f ca="1"/>
        <v>45808</v>
      </c>
      <c r="G22" s="189" t="str">
        <f ca="1"/>
        <v>도래</v>
      </c>
      <c r="H22" s="189"/>
    </row>
    <row r="23" spans="1:8">
      <c r="A23" s="188" t="str">
        <f ca="1"/>
        <v>제이에스하우스</v>
      </c>
      <c r="B23" s="189" t="str">
        <f ca="1"/>
        <v>3층</v>
      </c>
      <c r="C23" s="189" t="str">
        <f ca="1"/>
        <v>네일제이(이진주)</v>
      </c>
      <c r="D23" s="190">
        <f ca="1"/>
        <v>46115</v>
      </c>
      <c r="E23" s="190">
        <f ca="1"/>
        <v>44503</v>
      </c>
      <c r="F23" s="190">
        <f ca="1"/>
        <v>44713</v>
      </c>
      <c r="G23" s="189" t="str">
        <f ca="1"/>
        <v>도래</v>
      </c>
      <c r="H23" s="189"/>
    </row>
    <row r="24" spans="1:8">
      <c r="A24" s="188" t="str">
        <f ca="1"/>
        <v>어반그레이</v>
      </c>
      <c r="B24" s="189" t="str">
        <f ca="1"/>
        <v>4층</v>
      </c>
      <c r="C24" s="189" t="str">
        <f ca="1"/>
        <v>사고링크손해사정(주)</v>
      </c>
      <c r="D24" s="190" t="str">
        <f ca="1"/>
        <v>연체</v>
      </c>
      <c r="E24" s="190">
        <f ca="1"/>
        <v>45817</v>
      </c>
      <c r="F24" s="190">
        <f ca="1"/>
        <v>46181</v>
      </c>
      <c r="G24" s="189" t="str">
        <f ca="1"/>
        <v>예정</v>
      </c>
      <c r="H24" s="189"/>
    </row>
    <row r="25" spans="1:8">
      <c r="A25" s="188" t="str">
        <f ca="1"/>
        <v>KMC코리아</v>
      </c>
      <c r="B25" s="189" t="str">
        <f ca="1"/>
        <v>B01</v>
      </c>
      <c r="C25" s="189" t="str">
        <f ca="1"/>
        <v>탑테니스(안봉근)</v>
      </c>
      <c r="D25" s="190">
        <f ca="1"/>
        <v>46112</v>
      </c>
      <c r="E25" s="190">
        <f ca="1"/>
        <v>44727</v>
      </c>
      <c r="F25" s="190">
        <f ca="1"/>
        <v>45457</v>
      </c>
      <c r="G25" s="189" t="str">
        <f ca="1"/>
        <v>도래</v>
      </c>
      <c r="H25" s="189"/>
    </row>
    <row r="26" spans="1:8">
      <c r="A26" s="188" t="str">
        <f ca="1"/>
        <v>문화빌딩</v>
      </c>
      <c r="B26" s="189" t="str">
        <f ca="1"/>
        <v>4층</v>
      </c>
      <c r="C26" s="189" t="str">
        <f ca="1"/>
        <v>루멘테라피(이승민)</v>
      </c>
      <c r="D26" s="190">
        <f ca="1"/>
        <v>46102</v>
      </c>
      <c r="E26" s="190">
        <f ca="1"/>
        <v>45464</v>
      </c>
      <c r="F26" s="190">
        <f ca="1"/>
        <v>46188</v>
      </c>
      <c r="G26" s="189" t="str">
        <f ca="1"/>
        <v>예정</v>
      </c>
      <c r="H26" s="189"/>
    </row>
    <row r="27" spans="1:8">
      <c r="A27" s="188" t="str">
        <f ca="1"/>
        <v>유석빌딩</v>
      </c>
      <c r="B27" s="189" t="str">
        <f ca="1"/>
        <v>B01</v>
      </c>
      <c r="C27" s="189" t="str">
        <f ca="1"/>
        <v>김혜진</v>
      </c>
      <c r="D27" s="190" t="str">
        <f ca="1"/>
        <v>연체</v>
      </c>
      <c r="E27" s="190">
        <f ca="1"/>
        <v>45468</v>
      </c>
      <c r="F27" s="190">
        <f ca="1"/>
        <v>46197</v>
      </c>
      <c r="G27" s="189" t="str">
        <f ca="1"/>
        <v>관심</v>
      </c>
      <c r="H27" s="189"/>
    </row>
    <row r="28" spans="1:8">
      <c r="A28" s="188" t="str">
        <f ca="1"/>
        <v>이례빌딩</v>
      </c>
      <c r="B28" s="189">
        <f ca="1"/>
        <v>601</v>
      </c>
      <c r="C28" s="189" t="str">
        <f ca="1"/>
        <v>치아미치과</v>
      </c>
      <c r="D28" s="190">
        <f ca="1"/>
        <v>46112</v>
      </c>
      <c r="E28" s="190">
        <f ca="1"/>
        <v>40568</v>
      </c>
      <c r="F28" s="190">
        <f ca="1"/>
        <v>45838</v>
      </c>
      <c r="G28" s="189" t="str">
        <f ca="1"/>
        <v>도래</v>
      </c>
      <c r="H28" s="189"/>
    </row>
    <row r="29" spans="1:8">
      <c r="A29" s="188" t="str">
        <f ca="1"/>
        <v>양지빌딩</v>
      </c>
      <c r="B29" s="189">
        <f ca="1"/>
        <v>102</v>
      </c>
      <c r="C29" s="189" t="str">
        <f ca="1"/>
        <v>육회바른연어(강지수)</v>
      </c>
      <c r="D29" s="190">
        <f ca="1"/>
        <v>46109</v>
      </c>
      <c r="E29" s="190">
        <f ca="1"/>
        <v>45838</v>
      </c>
      <c r="F29" s="190">
        <f ca="1"/>
        <v>46203</v>
      </c>
      <c r="G29" s="189" t="str">
        <f ca="1"/>
        <v>관심</v>
      </c>
      <c r="H29" s="189"/>
    </row>
    <row r="30" spans="1:8">
      <c r="A30" s="188" t="str">
        <f ca="1"/>
        <v>우진빌딩</v>
      </c>
      <c r="B30" s="189" t="str">
        <f ca="1"/>
        <v>3층</v>
      </c>
      <c r="C30" s="189" t="str">
        <f ca="1"/>
        <v>로지트코리아 유한회사</v>
      </c>
      <c r="D30" s="190">
        <f ca="1"/>
        <v>46112</v>
      </c>
      <c r="E30" s="190">
        <f ca="1"/>
        <v>45502</v>
      </c>
      <c r="F30" s="190">
        <f ca="1"/>
        <v>46231</v>
      </c>
      <c r="G30" s="189" t="str">
        <f ca="1"/>
        <v>관심</v>
      </c>
      <c r="H30" s="189"/>
    </row>
    <row r="31" spans="1:8">
      <c r="A31" s="188" t="str">
        <f ca="1"/>
        <v>우영빌딩</v>
      </c>
      <c r="B31" s="189" t="str">
        <f ca="1"/>
        <v>3층</v>
      </c>
      <c r="C31" s="189" t="str">
        <f ca="1"/>
        <v>㈜마크커뮤니케이션</v>
      </c>
      <c r="D31" s="190">
        <f ca="1"/>
        <v>46113</v>
      </c>
      <c r="E31" s="190">
        <f ca="1"/>
        <v>45154</v>
      </c>
      <c r="F31" s="190">
        <f ca="1"/>
        <v>46249</v>
      </c>
      <c r="G31" s="189" t="str">
        <f ca="1"/>
        <v>관심</v>
      </c>
      <c r="H31" s="189"/>
    </row>
    <row r="32" spans="1:8">
      <c r="A32" s="188" t="str">
        <f ca="1"/>
        <v>문화빌딩</v>
      </c>
      <c r="B32" s="189" t="str">
        <f ca="1"/>
        <v>3층</v>
      </c>
      <c r="C32" s="189" t="str">
        <f ca="1"/>
        <v>조니워커(김눈)</v>
      </c>
      <c r="D32" s="190">
        <f ca="1"/>
        <v>46099</v>
      </c>
      <c r="E32" s="190">
        <f ca="1"/>
        <v>45522</v>
      </c>
      <c r="F32" s="190">
        <f ca="1"/>
        <v>46251</v>
      </c>
      <c r="G32" s="189" t="str">
        <f ca="1"/>
        <v>관심</v>
      </c>
      <c r="H32" s="189"/>
    </row>
    <row r="33" spans="1:8">
      <c r="A33" s="188" t="str">
        <f ca="1"/>
        <v>어반그레이</v>
      </c>
      <c r="B33" s="189" t="str">
        <f ca="1"/>
        <v>3층</v>
      </c>
      <c r="C33" s="189" t="str">
        <f ca="1"/>
        <v>그램엔터테이먼트(김용)</v>
      </c>
      <c r="D33" s="190" t="str">
        <f ca="1"/>
        <v>연체</v>
      </c>
      <c r="E33" s="190">
        <f ca="1"/>
        <v>45887</v>
      </c>
      <c r="F33" s="190">
        <f ca="1"/>
        <v>46252</v>
      </c>
      <c r="G33" s="189" t="str">
        <f ca="1"/>
        <v>관심</v>
      </c>
      <c r="H33" s="189"/>
    </row>
    <row r="34" spans="1:8">
      <c r="A34" s="188" t="str">
        <f ca="1"/>
        <v>양지빌딩</v>
      </c>
      <c r="B34" s="189">
        <f ca="1"/>
        <v>201</v>
      </c>
      <c r="C34" s="189" t="str">
        <f ca="1"/>
        <v>세모(신승희) / 관악상사</v>
      </c>
      <c r="D34" s="190">
        <f ca="1"/>
        <v>46109</v>
      </c>
      <c r="E34" s="190">
        <f ca="1"/>
        <v>44796</v>
      </c>
      <c r="F34" s="190">
        <f ca="1"/>
        <v>45526</v>
      </c>
      <c r="G34" s="189" t="str">
        <f ca="1"/>
        <v>도래</v>
      </c>
      <c r="H34" s="189"/>
    </row>
    <row r="35" spans="1:8">
      <c r="A35" s="188" t="str">
        <f ca="1"/>
        <v>에이스빌딩</v>
      </c>
      <c r="B35" s="189" t="str">
        <f ca="1"/>
        <v>6층</v>
      </c>
      <c r="C35" s="189" t="str">
        <f ca="1"/>
        <v>(주)뚝딱컴퍼니</v>
      </c>
      <c r="D35" s="190">
        <f ca="1"/>
        <v>46127</v>
      </c>
      <c r="E35" s="190">
        <f ca="1"/>
        <v>45174</v>
      </c>
      <c r="F35" s="190">
        <f ca="1"/>
        <v>45904</v>
      </c>
      <c r="G35" s="189" t="str">
        <f ca="1"/>
        <v>도래</v>
      </c>
      <c r="H35" s="189"/>
    </row>
    <row r="36" spans="1:8">
      <c r="A36" s="188" t="str">
        <f ca="1"/>
        <v>양지빌딩</v>
      </c>
      <c r="B36" s="189">
        <f ca="1"/>
        <v>301</v>
      </c>
      <c r="C36" s="189" t="str">
        <f ca="1"/>
        <v>현이 피아노(박현우)</v>
      </c>
      <c r="D36" s="190">
        <f ca="1"/>
        <v>46127</v>
      </c>
      <c r="E36" s="190">
        <f ca="1"/>
        <v>44545</v>
      </c>
      <c r="F36" s="190">
        <f ca="1"/>
        <v>45274</v>
      </c>
      <c r="G36" s="189" t="str">
        <f ca="1"/>
        <v>도래</v>
      </c>
      <c r="H36" s="189"/>
    </row>
    <row r="37" spans="1:8">
      <c r="A37" s="188" t="str">
        <f ca="1"/>
        <v>양지빌딩</v>
      </c>
      <c r="B37" s="189">
        <f ca="1"/>
        <v>101</v>
      </c>
      <c r="C37" s="189" t="str">
        <f ca="1"/>
        <v>솥뚜껑(오점례)</v>
      </c>
      <c r="D37" s="190">
        <f ca="1"/>
        <v>46112</v>
      </c>
      <c r="E37" s="190">
        <f ca="1"/>
        <v>43829</v>
      </c>
      <c r="F37" s="190">
        <f ca="1"/>
        <v>44194</v>
      </c>
      <c r="G37" s="189" t="str">
        <f ca="1"/>
        <v>도래</v>
      </c>
      <c r="H37" s="189"/>
    </row>
    <row r="38" spans="1:8">
      <c r="A38" s="188" t="str">
        <f ca="1"/>
        <v>이례빌딩</v>
      </c>
      <c r="B38" s="189" t="str">
        <f ca="1"/>
        <v>8층</v>
      </c>
      <c r="C38" s="189" t="str">
        <f ca="1"/>
        <v>㈜빅디컴퍼니</v>
      </c>
      <c r="D38" s="190">
        <f ca="1"/>
        <v>46112</v>
      </c>
      <c r="E38" s="190">
        <f ca="1"/>
        <v>42170</v>
      </c>
      <c r="F38" s="190">
        <f ca="1"/>
        <v>46022</v>
      </c>
      <c r="G38" s="189" t="str">
        <f ca="1"/>
        <v>도래</v>
      </c>
      <c r="H38" s="189"/>
    </row>
    <row r="39" spans="1:8">
      <c r="A39" s="188" t="str">
        <f ca="1"/>
        <v>에이스빌딩</v>
      </c>
      <c r="B39" s="189" t="str">
        <f ca="1"/>
        <v>7층</v>
      </c>
      <c r="C39" s="189" t="str">
        <f ca="1"/>
        <v>박준엽(골프)</v>
      </c>
      <c r="D39" s="190" t="str">
        <f ca="1"/>
        <v>연체</v>
      </c>
      <c r="E39" s="190">
        <f ca="1"/>
        <v>45301</v>
      </c>
      <c r="F39" s="190">
        <f ca="1"/>
        <v>46031</v>
      </c>
      <c r="G39" s="189" t="str">
        <f ca="1"/>
        <v>도래</v>
      </c>
      <c r="H39" s="189"/>
    </row>
    <row r="40" spans="1:8">
      <c r="A40" s="188" t="str">
        <f ca="1"/>
        <v>양지빌딩</v>
      </c>
      <c r="B40" s="189">
        <f ca="1"/>
        <v>202</v>
      </c>
      <c r="C40" s="189" t="str">
        <f ca="1"/>
        <v>보라매 수 치과(최경민)</v>
      </c>
      <c r="D40" s="190">
        <f ca="1"/>
        <v>46112</v>
      </c>
      <c r="E40" s="190">
        <f ca="1"/>
        <v>44984</v>
      </c>
      <c r="F40" s="190">
        <f ca="1"/>
        <v>45348</v>
      </c>
      <c r="G40" s="189" t="str">
        <f ca="1"/>
        <v>도래</v>
      </c>
      <c r="H40" s="189"/>
    </row>
    <row r="41" spans="1:8">
      <c r="A41" s="188"/>
      <c r="B41" s="189"/>
      <c r="C41" s="189"/>
      <c r="D41" s="190"/>
      <c r="E41" s="190"/>
      <c r="F41" s="190"/>
      <c r="G41" s="189"/>
      <c r="H41" s="189"/>
    </row>
    <row r="42" spans="1:8">
      <c r="A42" s="188"/>
      <c r="B42" s="189"/>
      <c r="C42" s="189"/>
      <c r="D42" s="190"/>
      <c r="E42" s="190"/>
      <c r="F42" s="190"/>
      <c r="G42" s="189"/>
      <c r="H42" s="189"/>
    </row>
    <row r="43" spans="1:8">
      <c r="A43" s="188"/>
      <c r="B43" s="189"/>
      <c r="C43" s="189"/>
      <c r="D43" s="190"/>
      <c r="E43" s="190"/>
      <c r="F43" s="190"/>
      <c r="G43" s="189"/>
      <c r="H43" s="189"/>
    </row>
    <row r="44" spans="1:8">
      <c r="A44" s="188"/>
      <c r="B44" s="189"/>
      <c r="C44" s="189"/>
      <c r="D44" s="190"/>
      <c r="E44" s="190"/>
      <c r="F44" s="190"/>
      <c r="G44" s="189"/>
      <c r="H44" s="189"/>
    </row>
    <row r="45" spans="1:8">
      <c r="A45" s="188"/>
      <c r="B45" s="189"/>
      <c r="C45" s="189"/>
      <c r="D45" s="190"/>
      <c r="E45" s="190"/>
      <c r="F45" s="190"/>
      <c r="G45" s="189"/>
      <c r="H45" s="189"/>
    </row>
    <row r="46" spans="1:8">
      <c r="A46" s="188"/>
      <c r="B46" s="189"/>
      <c r="C46" s="189"/>
      <c r="D46" s="190"/>
      <c r="E46" s="190"/>
      <c r="F46" s="190"/>
      <c r="G46" s="189"/>
      <c r="H46" s="189"/>
    </row>
    <row r="47" spans="1:8">
      <c r="A47" s="188"/>
      <c r="B47" s="189"/>
      <c r="C47" s="189"/>
      <c r="D47" s="190"/>
      <c r="E47" s="190"/>
      <c r="F47" s="190"/>
      <c r="G47" s="189"/>
      <c r="H47" s="189"/>
    </row>
    <row r="48" spans="1:8">
      <c r="A48" s="188"/>
      <c r="B48" s="189"/>
      <c r="C48" s="189"/>
      <c r="D48" s="190"/>
      <c r="E48" s="190"/>
      <c r="F48" s="190"/>
      <c r="G48" s="189"/>
      <c r="H48" s="189"/>
    </row>
    <row r="49" spans="1:8">
      <c r="A49" s="188"/>
      <c r="B49" s="189"/>
      <c r="C49" s="189"/>
      <c r="D49" s="190"/>
      <c r="E49" s="190"/>
      <c r="F49" s="190"/>
      <c r="G49" s="189"/>
      <c r="H49" s="189"/>
    </row>
    <row r="50" spans="1:8">
      <c r="A50" s="188"/>
      <c r="B50" s="189"/>
      <c r="C50" s="189"/>
      <c r="D50" s="190"/>
      <c r="E50" s="190"/>
      <c r="F50" s="190"/>
      <c r="G50" s="189"/>
      <c r="H50" s="189"/>
    </row>
    <row r="51" spans="1:8">
      <c r="A51" s="188"/>
      <c r="B51" s="189"/>
      <c r="C51" s="189"/>
      <c r="D51" s="190"/>
      <c r="E51" s="190"/>
      <c r="F51" s="190"/>
      <c r="G51" s="189"/>
      <c r="H51" s="189"/>
    </row>
    <row r="52" spans="1:8">
      <c r="A52" s="188"/>
      <c r="B52" s="189"/>
      <c r="C52" s="189"/>
      <c r="D52" s="190"/>
      <c r="E52" s="190"/>
      <c r="F52" s="190"/>
      <c r="G52" s="189"/>
      <c r="H52" s="189"/>
    </row>
    <row r="53" spans="1:8">
      <c r="A53" s="188"/>
      <c r="B53" s="189"/>
      <c r="C53" s="189"/>
      <c r="D53" s="190"/>
      <c r="E53" s="190"/>
      <c r="F53" s="190"/>
      <c r="G53" s="189"/>
      <c r="H53" s="189"/>
    </row>
    <row r="54" spans="1:8">
      <c r="A54" s="188"/>
      <c r="B54" s="189"/>
      <c r="C54" s="189"/>
      <c r="D54" s="190"/>
      <c r="E54" s="190"/>
      <c r="F54" s="190"/>
      <c r="G54" s="189"/>
      <c r="H54" s="189"/>
    </row>
    <row r="55" spans="1:8">
      <c r="A55" s="188"/>
      <c r="B55" s="189"/>
      <c r="C55" s="189"/>
      <c r="D55" s="190"/>
      <c r="E55" s="190"/>
      <c r="F55" s="190"/>
      <c r="G55" s="189"/>
      <c r="H55" s="189"/>
    </row>
    <row r="56" spans="1:8">
      <c r="A56" s="188"/>
      <c r="B56" s="189"/>
      <c r="C56" s="189"/>
      <c r="D56" s="190"/>
      <c r="E56" s="190"/>
      <c r="F56" s="190"/>
      <c r="G56" s="189"/>
      <c r="H56" s="189"/>
    </row>
    <row r="57" spans="1:8">
      <c r="A57" s="188"/>
      <c r="B57" s="189"/>
      <c r="C57" s="189"/>
      <c r="D57" s="190"/>
      <c r="E57" s="190"/>
      <c r="F57" s="190"/>
      <c r="G57" s="189"/>
      <c r="H57" s="189"/>
    </row>
    <row r="58" spans="1:8">
      <c r="A58" s="188"/>
      <c r="B58" s="189"/>
      <c r="C58" s="189"/>
      <c r="D58" s="190"/>
      <c r="E58" s="190"/>
      <c r="F58" s="190"/>
      <c r="G58" s="189"/>
      <c r="H58" s="189"/>
    </row>
    <row r="59" spans="1:8">
      <c r="A59" s="188"/>
      <c r="B59" s="189"/>
      <c r="C59" s="189"/>
      <c r="D59" s="190"/>
      <c r="E59" s="190"/>
      <c r="F59" s="190"/>
      <c r="G59" s="189"/>
      <c r="H59" s="189"/>
    </row>
    <row r="60" spans="1:8">
      <c r="A60" s="188"/>
      <c r="B60" s="189"/>
      <c r="C60" s="189"/>
      <c r="D60" s="190"/>
      <c r="E60" s="190"/>
      <c r="F60" s="190"/>
      <c r="G60" s="189"/>
      <c r="H60" s="189"/>
    </row>
    <row r="61" spans="1:8">
      <c r="A61" s="188"/>
      <c r="B61" s="189"/>
      <c r="C61" s="189"/>
      <c r="D61" s="190"/>
      <c r="E61" s="190"/>
      <c r="F61" s="190"/>
      <c r="G61" s="189"/>
      <c r="H61" s="189"/>
    </row>
    <row r="62" spans="1:8">
      <c r="A62" s="188"/>
      <c r="B62" s="189"/>
      <c r="C62" s="189"/>
      <c r="D62" s="190"/>
      <c r="E62" s="190"/>
      <c r="F62" s="190"/>
      <c r="G62" s="189"/>
      <c r="H62" s="189"/>
    </row>
    <row r="63" spans="1:8">
      <c r="A63" s="188"/>
      <c r="B63" s="189"/>
      <c r="C63" s="189"/>
      <c r="D63" s="190"/>
      <c r="E63" s="190"/>
      <c r="F63" s="190"/>
      <c r="G63" s="189"/>
      <c r="H63" s="189"/>
    </row>
    <row r="64" spans="1:8">
      <c r="A64" s="188"/>
      <c r="B64" s="189"/>
      <c r="C64" s="189"/>
      <c r="D64" s="190"/>
      <c r="E64" s="190"/>
      <c r="F64" s="190"/>
      <c r="G64" s="189"/>
      <c r="H64" s="189"/>
    </row>
    <row r="65" spans="1:8">
      <c r="A65" s="188"/>
      <c r="B65" s="189"/>
      <c r="C65" s="189"/>
      <c r="D65" s="190"/>
      <c r="E65" s="190"/>
      <c r="F65" s="190"/>
      <c r="G65" s="189"/>
      <c r="H65" s="189"/>
    </row>
    <row r="66" spans="1:8">
      <c r="A66" s="188"/>
      <c r="B66" s="189"/>
      <c r="C66" s="189"/>
      <c r="D66" s="190"/>
      <c r="E66" s="190"/>
      <c r="F66" s="190"/>
      <c r="G66" s="189"/>
      <c r="H66" s="189"/>
    </row>
    <row r="67" spans="1:8">
      <c r="A67" s="188"/>
      <c r="B67" s="189"/>
      <c r="C67" s="189"/>
      <c r="D67" s="190"/>
      <c r="E67" s="190"/>
      <c r="F67" s="190"/>
      <c r="G67" s="189"/>
      <c r="H67" s="189"/>
    </row>
    <row r="68" spans="1:8">
      <c r="A68" s="188"/>
      <c r="B68" s="189"/>
      <c r="C68" s="189"/>
      <c r="D68" s="190"/>
      <c r="E68" s="190"/>
      <c r="F68" s="190"/>
      <c r="G68" s="189"/>
      <c r="H68" s="189"/>
    </row>
    <row r="69" spans="1:8">
      <c r="A69" s="188"/>
      <c r="B69" s="189"/>
      <c r="C69" s="189"/>
      <c r="D69" s="190"/>
      <c r="E69" s="190"/>
      <c r="F69" s="190"/>
      <c r="G69" s="189"/>
      <c r="H69" s="189"/>
    </row>
    <row r="70" spans="1:8">
      <c r="A70" s="188"/>
      <c r="B70" s="189"/>
      <c r="C70" s="189"/>
      <c r="D70" s="190"/>
      <c r="E70" s="190"/>
      <c r="F70" s="190"/>
      <c r="G70" s="189"/>
      <c r="H70" s="189"/>
    </row>
    <row r="71" spans="1:8">
      <c r="A71" s="188"/>
      <c r="B71" s="189"/>
      <c r="C71" s="189"/>
      <c r="D71" s="190"/>
      <c r="E71" s="190"/>
      <c r="F71" s="190"/>
      <c r="G71" s="189"/>
      <c r="H71" s="189"/>
    </row>
    <row r="72" spans="1:8">
      <c r="A72" s="188"/>
      <c r="B72" s="189"/>
      <c r="C72" s="189"/>
      <c r="D72" s="190"/>
      <c r="E72" s="190"/>
      <c r="F72" s="190"/>
      <c r="G72" s="189"/>
      <c r="H72" s="189"/>
    </row>
    <row r="73" spans="1:8">
      <c r="A73" s="188"/>
      <c r="B73" s="189"/>
      <c r="C73" s="189"/>
      <c r="D73" s="190"/>
      <c r="E73" s="190"/>
      <c r="F73" s="190"/>
      <c r="G73" s="189"/>
      <c r="H73" s="189"/>
    </row>
    <row r="74" spans="1:8">
      <c r="A74" s="188"/>
      <c r="B74" s="189"/>
      <c r="C74" s="189"/>
      <c r="D74" s="190"/>
      <c r="E74" s="190"/>
      <c r="F74" s="190"/>
      <c r="G74" s="189"/>
      <c r="H74" s="189"/>
    </row>
    <row r="75" spans="1:8">
      <c r="A75" s="188"/>
      <c r="B75" s="189"/>
      <c r="C75" s="189"/>
      <c r="D75" s="190"/>
      <c r="E75" s="190"/>
      <c r="F75" s="190"/>
      <c r="G75" s="189"/>
      <c r="H75" s="189"/>
    </row>
    <row r="76" spans="1:8">
      <c r="A76" s="188"/>
      <c r="B76" s="189"/>
      <c r="C76" s="189"/>
      <c r="D76" s="190"/>
      <c r="E76" s="190"/>
      <c r="F76" s="190"/>
      <c r="G76" s="189"/>
      <c r="H76" s="189"/>
    </row>
    <row r="77" spans="1:8">
      <c r="A77" s="188"/>
      <c r="B77" s="189"/>
      <c r="C77" s="189"/>
      <c r="D77" s="190"/>
      <c r="E77" s="190"/>
      <c r="F77" s="190"/>
      <c r="G77" s="189"/>
      <c r="H77" s="189"/>
    </row>
    <row r="78" spans="1:8">
      <c r="A78" s="188"/>
      <c r="B78" s="189"/>
      <c r="C78" s="189"/>
      <c r="D78" s="190"/>
      <c r="E78" s="190"/>
      <c r="F78" s="190"/>
      <c r="G78" s="189"/>
      <c r="H78" s="189"/>
    </row>
    <row r="79" spans="1:8">
      <c r="A79" s="188"/>
      <c r="B79" s="189"/>
      <c r="C79" s="189"/>
      <c r="D79" s="190"/>
      <c r="E79" s="190"/>
      <c r="F79" s="190"/>
      <c r="G79" s="189"/>
      <c r="H79" s="189"/>
    </row>
    <row r="80" spans="1:8">
      <c r="A80" s="188"/>
      <c r="B80" s="189"/>
      <c r="C80" s="189"/>
      <c r="D80" s="190"/>
      <c r="E80" s="190"/>
      <c r="F80" s="190"/>
      <c r="G80" s="189"/>
      <c r="H80" s="189"/>
    </row>
    <row r="81" spans="1:8">
      <c r="A81" s="188"/>
      <c r="B81" s="189"/>
      <c r="C81" s="189"/>
      <c r="D81" s="190"/>
      <c r="E81" s="190"/>
      <c r="F81" s="190"/>
      <c r="G81" s="189"/>
      <c r="H81" s="189"/>
    </row>
    <row r="82" spans="1:8">
      <c r="A82" s="188"/>
      <c r="B82" s="189"/>
      <c r="C82" s="189"/>
      <c r="D82" s="190"/>
      <c r="E82" s="190"/>
      <c r="F82" s="190"/>
      <c r="G82" s="189"/>
      <c r="H82" s="189"/>
    </row>
    <row r="83" spans="1:8">
      <c r="A83" s="188"/>
      <c r="B83" s="189"/>
      <c r="C83" s="189"/>
      <c r="D83" s="190"/>
      <c r="E83" s="190"/>
      <c r="F83" s="190"/>
      <c r="G83" s="189"/>
      <c r="H83" s="189"/>
    </row>
    <row r="84" spans="1:8">
      <c r="A84" s="188"/>
      <c r="B84" s="189"/>
      <c r="C84" s="189"/>
      <c r="D84" s="190"/>
      <c r="E84" s="190"/>
      <c r="F84" s="190"/>
      <c r="G84" s="189"/>
      <c r="H84" s="189"/>
    </row>
    <row r="85" spans="1:8">
      <c r="A85" s="188"/>
      <c r="B85" s="189"/>
      <c r="C85" s="189"/>
      <c r="D85" s="190"/>
      <c r="E85" s="190"/>
      <c r="F85" s="190"/>
      <c r="G85" s="189"/>
      <c r="H85" s="189"/>
    </row>
    <row r="86" spans="1:8">
      <c r="A86" s="188"/>
      <c r="B86" s="189"/>
      <c r="C86" s="189"/>
      <c r="D86" s="190"/>
      <c r="E86" s="190"/>
      <c r="F86" s="190"/>
      <c r="G86" s="189"/>
      <c r="H86" s="189"/>
    </row>
    <row r="87" spans="1:8">
      <c r="A87" s="188"/>
      <c r="B87" s="189"/>
      <c r="C87" s="189"/>
      <c r="D87" s="190"/>
      <c r="E87" s="190"/>
      <c r="F87" s="190"/>
      <c r="G87" s="189"/>
      <c r="H87" s="189"/>
    </row>
    <row r="88" spans="1:8">
      <c r="A88" s="188"/>
      <c r="B88" s="189"/>
      <c r="C88" s="189"/>
      <c r="D88" s="190"/>
      <c r="E88" s="190"/>
      <c r="F88" s="190"/>
      <c r="G88" s="189"/>
      <c r="H88" s="189"/>
    </row>
    <row r="89" spans="1:8">
      <c r="A89" s="188"/>
      <c r="B89" s="189"/>
      <c r="C89" s="189"/>
      <c r="D89" s="190"/>
      <c r="E89" s="190"/>
      <c r="F89" s="190"/>
      <c r="G89" s="189"/>
      <c r="H89" s="189"/>
    </row>
    <row r="90" spans="1:8">
      <c r="A90" s="188"/>
      <c r="B90" s="189"/>
      <c r="C90" s="189"/>
      <c r="D90" s="190"/>
      <c r="E90" s="190"/>
      <c r="F90" s="190"/>
      <c r="G90" s="189"/>
      <c r="H90" s="189"/>
    </row>
    <row r="91" spans="1:8">
      <c r="A91" s="188"/>
      <c r="B91" s="189"/>
      <c r="C91" s="189"/>
      <c r="D91" s="190"/>
      <c r="E91" s="190"/>
      <c r="F91" s="190"/>
      <c r="G91" s="189"/>
      <c r="H91" s="189"/>
    </row>
    <row r="92" spans="1:8">
      <c r="A92" s="188"/>
      <c r="B92" s="189"/>
      <c r="C92" s="189"/>
      <c r="D92" s="190"/>
      <c r="E92" s="190"/>
      <c r="F92" s="190"/>
      <c r="G92" s="189"/>
      <c r="H92" s="189"/>
    </row>
    <row r="93" spans="1:8">
      <c r="A93" s="188"/>
      <c r="B93" s="189"/>
      <c r="C93" s="189"/>
      <c r="D93" s="190"/>
      <c r="E93" s="190"/>
      <c r="F93" s="190"/>
      <c r="G93" s="189"/>
      <c r="H93" s="189"/>
    </row>
    <row r="94" spans="1:8">
      <c r="A94" s="188"/>
      <c r="B94" s="189"/>
      <c r="C94" s="189"/>
      <c r="D94" s="190"/>
      <c r="E94" s="190"/>
      <c r="F94" s="190"/>
      <c r="G94" s="189"/>
      <c r="H94" s="189"/>
    </row>
  </sheetData>
  <mergeCells count="1">
    <mergeCell ref="A2:D3"/>
  </mergeCells>
  <phoneticPr fontId="2" type="noConversion"/>
  <conditionalFormatting sqref="D6:D100">
    <cfRule type="containsText" dxfId="3" priority="1" operator="containsText" text="연체">
      <formula>NOT(ISERROR(SEARCH("연체",D6)))</formula>
    </cfRule>
  </conditionalFormatting>
  <conditionalFormatting sqref="G6:H100">
    <cfRule type="containsText" dxfId="2" priority="2" operator="containsText" text="관심">
      <formula>NOT(ISERROR(SEARCH("관심",G6)))</formula>
    </cfRule>
    <cfRule type="containsText" dxfId="1" priority="3" operator="containsText" text="예정">
      <formula>NOT(ISERROR(SEARCH("예정",G6)))</formula>
    </cfRule>
    <cfRule type="containsText" dxfId="0" priority="4" operator="containsText" text="도래">
      <formula>NOT(ISERROR(SEARCH("도래",G6)))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C66C-992C-44FE-8BAC-23103926D4A9}">
  <sheetPr>
    <tabColor theme="9" tint="-0.499984740745262"/>
  </sheetPr>
  <dimension ref="A1:V553"/>
  <sheetViews>
    <sheetView topLeftCell="A141" zoomScaleNormal="100" workbookViewId="0">
      <selection activeCell="H151" sqref="H151"/>
    </sheetView>
  </sheetViews>
  <sheetFormatPr defaultColWidth="10.625" defaultRowHeight="16.5"/>
  <cols>
    <col min="2" max="2" width="13.625" customWidth="1"/>
    <col min="6" max="7" width="30.625" customWidth="1"/>
    <col min="8" max="9" width="12.625" customWidth="1"/>
  </cols>
  <sheetData>
    <row r="1" spans="1:22">
      <c r="A1" s="310">
        <v>1</v>
      </c>
      <c r="B1" s="310">
        <v>2</v>
      </c>
      <c r="C1" s="310">
        <v>3</v>
      </c>
      <c r="D1" s="310">
        <v>4</v>
      </c>
      <c r="E1" s="310">
        <v>5</v>
      </c>
      <c r="F1" s="310">
        <v>6</v>
      </c>
      <c r="G1" s="310">
        <v>7</v>
      </c>
      <c r="H1" s="310">
        <v>8</v>
      </c>
      <c r="I1" s="310">
        <v>9</v>
      </c>
      <c r="J1" s="310">
        <v>10</v>
      </c>
      <c r="K1" s="310">
        <v>11</v>
      </c>
      <c r="L1" s="310">
        <v>12</v>
      </c>
      <c r="M1" s="310">
        <v>13</v>
      </c>
      <c r="N1" s="310">
        <v>14</v>
      </c>
      <c r="O1" s="310">
        <v>15</v>
      </c>
      <c r="P1" s="310">
        <v>16</v>
      </c>
      <c r="Q1" s="310">
        <v>17</v>
      </c>
      <c r="R1" s="310">
        <v>18</v>
      </c>
      <c r="S1" s="310">
        <v>19</v>
      </c>
      <c r="T1" s="310">
        <v>20</v>
      </c>
      <c r="U1" s="310">
        <v>21</v>
      </c>
      <c r="V1" s="310">
        <v>22</v>
      </c>
    </row>
    <row r="2" spans="1:22" s="12" customFormat="1" ht="16.5" customHeight="1">
      <c r="A2" s="209" t="s">
        <v>2526</v>
      </c>
      <c r="B2" s="209" t="s">
        <v>0</v>
      </c>
      <c r="C2" s="209" t="s">
        <v>1</v>
      </c>
      <c r="D2" s="539" t="s">
        <v>3106</v>
      </c>
      <c r="E2" s="539"/>
      <c r="F2" s="539"/>
      <c r="G2" s="539"/>
      <c r="H2" s="540" t="s">
        <v>3107</v>
      </c>
      <c r="I2" s="541"/>
      <c r="J2" s="9" t="s">
        <v>3108</v>
      </c>
      <c r="K2" s="60" t="s">
        <v>3109</v>
      </c>
      <c r="L2" s="10" t="s">
        <v>3110</v>
      </c>
      <c r="M2" s="10" t="s">
        <v>3111</v>
      </c>
      <c r="N2" s="66" t="s">
        <v>3112</v>
      </c>
      <c r="O2" s="67" t="s">
        <v>2747</v>
      </c>
      <c r="P2" s="208" t="s">
        <v>3113</v>
      </c>
      <c r="Q2" s="11" t="s">
        <v>3114</v>
      </c>
      <c r="R2" s="11" t="s">
        <v>3115</v>
      </c>
      <c r="S2" s="11" t="s">
        <v>3116</v>
      </c>
      <c r="T2" s="11" t="s">
        <v>3117</v>
      </c>
      <c r="U2" s="209" t="s">
        <v>3118</v>
      </c>
      <c r="V2" s="209" t="s">
        <v>14</v>
      </c>
    </row>
    <row r="3" spans="1:22" s="14" customFormat="1" ht="16.5" customHeight="1">
      <c r="A3" s="214"/>
      <c r="B3" s="214"/>
      <c r="C3" s="214"/>
      <c r="D3" s="406" t="s">
        <v>3119</v>
      </c>
      <c r="E3" s="406" t="s">
        <v>3120</v>
      </c>
      <c r="F3" s="406" t="s">
        <v>3121</v>
      </c>
      <c r="G3" s="406" t="s">
        <v>3122</v>
      </c>
      <c r="H3" s="192" t="s">
        <v>2776</v>
      </c>
      <c r="I3" s="192" t="s">
        <v>2778</v>
      </c>
      <c r="J3" s="9" t="s">
        <v>3123</v>
      </c>
      <c r="K3" s="61" t="s">
        <v>3124</v>
      </c>
      <c r="L3" s="10" t="s">
        <v>3125</v>
      </c>
      <c r="M3" s="13" t="s">
        <v>3126</v>
      </c>
      <c r="N3" s="68" t="s">
        <v>3127</v>
      </c>
      <c r="O3" s="68" t="s">
        <v>3127</v>
      </c>
      <c r="P3" s="215"/>
      <c r="Q3" s="11"/>
      <c r="R3" s="11"/>
      <c r="S3" s="11"/>
      <c r="T3" s="11"/>
      <c r="U3" s="210"/>
      <c r="V3" s="210"/>
    </row>
    <row r="4" spans="1:22">
      <c r="A4" s="15">
        <v>1</v>
      </c>
      <c r="B4" s="16" t="s">
        <v>3128</v>
      </c>
      <c r="C4" s="16" t="s">
        <v>3129</v>
      </c>
      <c r="D4" s="17" t="s">
        <v>30</v>
      </c>
      <c r="E4" s="18" t="s">
        <v>3130</v>
      </c>
      <c r="F4" s="18" t="s">
        <v>3131</v>
      </c>
      <c r="G4" s="18"/>
      <c r="H4" s="192" t="s">
        <v>3132</v>
      </c>
      <c r="I4" s="192">
        <v>16760718</v>
      </c>
      <c r="J4" s="9" t="s">
        <v>3133</v>
      </c>
      <c r="K4" s="60"/>
      <c r="L4" s="65"/>
      <c r="M4" s="10">
        <v>1</v>
      </c>
      <c r="N4" s="67" t="s">
        <v>3134</v>
      </c>
      <c r="O4" s="73" t="s">
        <v>3134</v>
      </c>
      <c r="P4" s="65"/>
    </row>
    <row r="5" spans="1:22">
      <c r="A5" s="15">
        <v>2</v>
      </c>
      <c r="B5" s="16" t="s">
        <v>3128</v>
      </c>
      <c r="C5" s="16">
        <v>101</v>
      </c>
      <c r="D5" s="17" t="s">
        <v>30</v>
      </c>
      <c r="E5" s="18" t="s">
        <v>3130</v>
      </c>
      <c r="F5" s="18" t="s">
        <v>3131</v>
      </c>
      <c r="G5" s="18"/>
      <c r="H5" s="192" t="s">
        <v>3135</v>
      </c>
      <c r="I5" s="192">
        <v>18454692</v>
      </c>
      <c r="J5" s="9" t="s">
        <v>3136</v>
      </c>
      <c r="K5" s="60"/>
      <c r="L5" s="65"/>
      <c r="M5" s="10">
        <v>2</v>
      </c>
      <c r="N5" s="67" t="s">
        <v>3134</v>
      </c>
      <c r="O5" s="73" t="s">
        <v>3134</v>
      </c>
      <c r="P5" s="65"/>
    </row>
    <row r="6" spans="1:22">
      <c r="A6" s="15">
        <v>3</v>
      </c>
      <c r="B6" s="16" t="s">
        <v>3128</v>
      </c>
      <c r="C6" s="16">
        <v>201</v>
      </c>
      <c r="D6" s="17" t="s">
        <v>30</v>
      </c>
      <c r="E6" s="18" t="s">
        <v>3130</v>
      </c>
      <c r="F6" s="18" t="s">
        <v>3131</v>
      </c>
      <c r="G6" s="18"/>
      <c r="H6" s="192" t="s">
        <v>3137</v>
      </c>
      <c r="I6" s="192">
        <v>18030055</v>
      </c>
      <c r="J6" s="9" t="s">
        <v>3133</v>
      </c>
      <c r="K6" s="60"/>
      <c r="L6" s="65"/>
      <c r="M6" s="10">
        <v>1</v>
      </c>
      <c r="N6" s="67" t="s">
        <v>3134</v>
      </c>
      <c r="O6" s="73" t="s">
        <v>3134</v>
      </c>
      <c r="P6" s="65"/>
    </row>
    <row r="7" spans="1:22">
      <c r="A7" s="15">
        <v>4</v>
      </c>
      <c r="B7" s="16" t="s">
        <v>3128</v>
      </c>
      <c r="C7" s="16">
        <v>301</v>
      </c>
      <c r="D7" s="17" t="s">
        <v>30</v>
      </c>
      <c r="E7" s="18" t="s">
        <v>3130</v>
      </c>
      <c r="F7" s="18" t="s">
        <v>3131</v>
      </c>
      <c r="G7" s="18"/>
      <c r="H7" s="192" t="s">
        <v>3138</v>
      </c>
      <c r="I7" s="192">
        <v>15568930</v>
      </c>
      <c r="J7" s="9" t="s">
        <v>3133</v>
      </c>
      <c r="K7" s="60"/>
      <c r="L7" s="65"/>
      <c r="M7" s="10">
        <v>1</v>
      </c>
      <c r="N7" s="67" t="s">
        <v>3134</v>
      </c>
      <c r="O7" s="73" t="s">
        <v>3134</v>
      </c>
      <c r="P7" s="65"/>
    </row>
    <row r="8" spans="1:22">
      <c r="A8" s="15">
        <v>5</v>
      </c>
      <c r="B8" s="16" t="s">
        <v>3128</v>
      </c>
      <c r="C8" s="16">
        <v>401</v>
      </c>
      <c r="D8" s="17" t="s">
        <v>30</v>
      </c>
      <c r="E8" s="18" t="s">
        <v>3130</v>
      </c>
      <c r="F8" s="18" t="s">
        <v>3131</v>
      </c>
      <c r="G8" s="18"/>
      <c r="H8" s="192" t="s">
        <v>3139</v>
      </c>
      <c r="I8" s="192">
        <v>15569073</v>
      </c>
      <c r="J8" s="9" t="s">
        <v>3133</v>
      </c>
      <c r="K8" s="60"/>
      <c r="L8" s="65"/>
      <c r="M8" s="10">
        <v>1</v>
      </c>
      <c r="N8" s="67" t="s">
        <v>3134</v>
      </c>
      <c r="O8" s="73" t="s">
        <v>3134</v>
      </c>
      <c r="P8" s="65"/>
    </row>
    <row r="9" spans="1:22">
      <c r="A9" s="15">
        <v>6</v>
      </c>
      <c r="B9" s="16" t="s">
        <v>3140</v>
      </c>
      <c r="C9" s="16">
        <v>101</v>
      </c>
      <c r="D9" s="17" t="s">
        <v>30</v>
      </c>
      <c r="E9" s="18" t="s">
        <v>3141</v>
      </c>
      <c r="F9" s="18" t="s">
        <v>3142</v>
      </c>
      <c r="G9" s="18"/>
      <c r="H9" s="192" t="s">
        <v>3143</v>
      </c>
      <c r="I9" s="192">
        <v>15987157</v>
      </c>
      <c r="J9" s="9" t="s">
        <v>3133</v>
      </c>
      <c r="K9" s="60"/>
      <c r="L9" s="65"/>
      <c r="M9" s="10">
        <v>1</v>
      </c>
      <c r="N9" s="67" t="s">
        <v>3134</v>
      </c>
      <c r="O9" s="73" t="s">
        <v>3134</v>
      </c>
      <c r="P9" s="65"/>
    </row>
    <row r="10" spans="1:22">
      <c r="A10" s="15">
        <v>7</v>
      </c>
      <c r="B10" s="16" t="s">
        <v>3140</v>
      </c>
      <c r="C10" s="16">
        <v>102</v>
      </c>
      <c r="D10" s="17" t="s">
        <v>30</v>
      </c>
      <c r="E10" s="18" t="s">
        <v>3141</v>
      </c>
      <c r="F10" s="18" t="s">
        <v>3142</v>
      </c>
      <c r="G10" s="18"/>
      <c r="H10" s="192" t="s">
        <v>3143</v>
      </c>
      <c r="I10" s="192">
        <v>15987095</v>
      </c>
      <c r="J10" s="9" t="s">
        <v>3133</v>
      </c>
      <c r="K10" s="60"/>
      <c r="L10" s="65"/>
      <c r="M10" s="10">
        <v>1</v>
      </c>
      <c r="N10" s="67" t="s">
        <v>3134</v>
      </c>
      <c r="O10" s="73" t="s">
        <v>3134</v>
      </c>
      <c r="P10" s="65"/>
    </row>
    <row r="11" spans="1:22">
      <c r="A11" s="15">
        <v>8</v>
      </c>
      <c r="B11" s="16" t="s">
        <v>3140</v>
      </c>
      <c r="C11" s="16">
        <v>103</v>
      </c>
      <c r="D11" s="17" t="s">
        <v>30</v>
      </c>
      <c r="E11" s="18" t="s">
        <v>3141</v>
      </c>
      <c r="F11" s="18" t="s">
        <v>3142</v>
      </c>
      <c r="G11" s="18"/>
      <c r="H11" s="192" t="s">
        <v>3144</v>
      </c>
      <c r="I11" s="192">
        <v>16752632</v>
      </c>
      <c r="J11" s="9" t="s">
        <v>3133</v>
      </c>
      <c r="K11" s="60"/>
      <c r="L11" s="65"/>
      <c r="M11" s="10">
        <v>1</v>
      </c>
      <c r="N11" s="67" t="s">
        <v>3134</v>
      </c>
      <c r="O11" s="73" t="s">
        <v>3134</v>
      </c>
      <c r="P11" s="65"/>
    </row>
    <row r="12" spans="1:22">
      <c r="A12" s="15">
        <v>9</v>
      </c>
      <c r="B12" s="16" t="s">
        <v>3140</v>
      </c>
      <c r="C12" s="16">
        <v>105</v>
      </c>
      <c r="D12" s="17" t="s">
        <v>30</v>
      </c>
      <c r="E12" s="18" t="s">
        <v>3141</v>
      </c>
      <c r="F12" s="18" t="s">
        <v>3142</v>
      </c>
      <c r="G12" s="18"/>
      <c r="H12" s="192" t="s">
        <v>3144</v>
      </c>
      <c r="I12" s="192">
        <v>16165952</v>
      </c>
      <c r="J12" s="9" t="s">
        <v>3133</v>
      </c>
      <c r="K12" s="60"/>
      <c r="L12" s="65"/>
      <c r="M12" s="10">
        <v>1</v>
      </c>
      <c r="N12" s="67" t="s">
        <v>3134</v>
      </c>
      <c r="O12" s="73" t="s">
        <v>3134</v>
      </c>
      <c r="P12" s="65"/>
    </row>
    <row r="13" spans="1:22">
      <c r="A13" s="15">
        <v>10</v>
      </c>
      <c r="B13" s="16" t="s">
        <v>3140</v>
      </c>
      <c r="C13" s="16">
        <v>201</v>
      </c>
      <c r="D13" s="17" t="s">
        <v>30</v>
      </c>
      <c r="E13" s="18" t="s">
        <v>3141</v>
      </c>
      <c r="F13" s="18" t="s">
        <v>3142</v>
      </c>
      <c r="G13" s="18"/>
      <c r="H13" s="192" t="s">
        <v>3145</v>
      </c>
      <c r="I13" s="192">
        <v>15987223</v>
      </c>
      <c r="J13" s="9" t="s">
        <v>3133</v>
      </c>
      <c r="K13" s="60"/>
      <c r="L13" s="65"/>
      <c r="M13" s="10">
        <v>1</v>
      </c>
      <c r="N13" s="67" t="s">
        <v>3134</v>
      </c>
      <c r="O13" s="73" t="s">
        <v>3134</v>
      </c>
      <c r="P13" s="65"/>
    </row>
    <row r="14" spans="1:22">
      <c r="A14" s="15">
        <v>11</v>
      </c>
      <c r="B14" s="16" t="s">
        <v>3140</v>
      </c>
      <c r="C14" s="16">
        <v>202</v>
      </c>
      <c r="D14" s="17" t="s">
        <v>30</v>
      </c>
      <c r="E14" s="18" t="s">
        <v>3141</v>
      </c>
      <c r="F14" s="18" t="s">
        <v>3142</v>
      </c>
      <c r="G14" s="18"/>
      <c r="H14" s="192" t="s">
        <v>3145</v>
      </c>
      <c r="I14" s="192">
        <v>15987020</v>
      </c>
      <c r="J14" s="9" t="s">
        <v>3133</v>
      </c>
      <c r="K14" s="60"/>
      <c r="L14" s="65"/>
      <c r="M14" s="10">
        <v>1</v>
      </c>
      <c r="N14" s="67" t="s">
        <v>3134</v>
      </c>
      <c r="O14" s="73" t="s">
        <v>3134</v>
      </c>
      <c r="P14" s="65"/>
    </row>
    <row r="15" spans="1:22">
      <c r="A15" s="15">
        <v>12</v>
      </c>
      <c r="B15" s="16" t="s">
        <v>3140</v>
      </c>
      <c r="C15" s="16">
        <v>203</v>
      </c>
      <c r="D15" s="17" t="s">
        <v>30</v>
      </c>
      <c r="E15" s="18" t="s">
        <v>3141</v>
      </c>
      <c r="F15" s="18" t="s">
        <v>3142</v>
      </c>
      <c r="G15" s="18"/>
      <c r="H15" s="192" t="s">
        <v>3146</v>
      </c>
      <c r="I15" s="192">
        <v>16165618</v>
      </c>
      <c r="J15" s="9" t="s">
        <v>3133</v>
      </c>
      <c r="K15" s="60"/>
      <c r="L15" s="65"/>
      <c r="M15" s="10">
        <v>1</v>
      </c>
      <c r="N15" s="67" t="s">
        <v>3134</v>
      </c>
      <c r="O15" s="73" t="s">
        <v>3134</v>
      </c>
      <c r="P15" s="65"/>
    </row>
    <row r="16" spans="1:22">
      <c r="A16" s="15">
        <v>13</v>
      </c>
      <c r="B16" s="16" t="s">
        <v>3140</v>
      </c>
      <c r="C16" s="16">
        <v>205</v>
      </c>
      <c r="D16" s="17" t="s">
        <v>30</v>
      </c>
      <c r="E16" s="18" t="s">
        <v>3141</v>
      </c>
      <c r="F16" s="18" t="s">
        <v>3142</v>
      </c>
      <c r="G16" s="18"/>
      <c r="H16" s="192" t="s">
        <v>3146</v>
      </c>
      <c r="I16" s="192">
        <v>16165762</v>
      </c>
      <c r="J16" s="9" t="s">
        <v>3133</v>
      </c>
      <c r="K16" s="60"/>
      <c r="L16" s="65"/>
      <c r="M16" s="10">
        <v>1</v>
      </c>
      <c r="N16" s="67" t="s">
        <v>3134</v>
      </c>
      <c r="O16" s="73" t="s">
        <v>3134</v>
      </c>
      <c r="P16" s="65"/>
    </row>
    <row r="17" spans="1:16">
      <c r="A17" s="15">
        <v>14</v>
      </c>
      <c r="B17" s="16" t="s">
        <v>3140</v>
      </c>
      <c r="C17" s="16">
        <v>301</v>
      </c>
      <c r="D17" s="17" t="s">
        <v>30</v>
      </c>
      <c r="E17" s="18" t="s">
        <v>3141</v>
      </c>
      <c r="F17" s="18" t="s">
        <v>3142</v>
      </c>
      <c r="G17" s="18"/>
      <c r="H17" s="192" t="s">
        <v>3147</v>
      </c>
      <c r="I17" s="192">
        <v>15987290</v>
      </c>
      <c r="J17" s="9" t="s">
        <v>3133</v>
      </c>
      <c r="K17" s="60"/>
      <c r="L17" s="65"/>
      <c r="M17" s="10">
        <v>1</v>
      </c>
      <c r="N17" s="67" t="s">
        <v>3134</v>
      </c>
      <c r="O17" s="73" t="s">
        <v>3134</v>
      </c>
      <c r="P17" s="65"/>
    </row>
    <row r="18" spans="1:16">
      <c r="A18" s="15">
        <v>15</v>
      </c>
      <c r="B18" s="16" t="s">
        <v>3140</v>
      </c>
      <c r="C18" s="16">
        <v>302</v>
      </c>
      <c r="D18" s="17" t="s">
        <v>30</v>
      </c>
      <c r="E18" s="18" t="s">
        <v>3141</v>
      </c>
      <c r="F18" s="18" t="s">
        <v>3142</v>
      </c>
      <c r="G18" s="18"/>
      <c r="H18" s="192" t="s">
        <v>3147</v>
      </c>
      <c r="I18" s="192">
        <v>20659789</v>
      </c>
      <c r="J18" s="9" t="s">
        <v>3133</v>
      </c>
      <c r="K18" s="60"/>
      <c r="L18" s="65"/>
      <c r="M18" s="10">
        <v>1</v>
      </c>
      <c r="N18" s="67" t="s">
        <v>3134</v>
      </c>
      <c r="O18" s="73" t="s">
        <v>3134</v>
      </c>
      <c r="P18" s="65"/>
    </row>
    <row r="19" spans="1:16">
      <c r="A19" s="15">
        <v>16</v>
      </c>
      <c r="B19" s="16" t="s">
        <v>3140</v>
      </c>
      <c r="C19" s="16">
        <v>303</v>
      </c>
      <c r="D19" s="17" t="s">
        <v>30</v>
      </c>
      <c r="E19" s="18" t="s">
        <v>3141</v>
      </c>
      <c r="F19" s="18" t="s">
        <v>3142</v>
      </c>
      <c r="G19" s="18"/>
      <c r="H19" s="192" t="s">
        <v>3148</v>
      </c>
      <c r="I19" s="192">
        <v>16165564</v>
      </c>
      <c r="J19" s="9" t="s">
        <v>3133</v>
      </c>
      <c r="K19" s="60"/>
      <c r="L19" s="65"/>
      <c r="M19" s="10">
        <v>1</v>
      </c>
      <c r="N19" s="67" t="s">
        <v>3134</v>
      </c>
      <c r="O19" s="73" t="s">
        <v>3134</v>
      </c>
      <c r="P19" s="65"/>
    </row>
    <row r="20" spans="1:16">
      <c r="A20" s="15">
        <v>17</v>
      </c>
      <c r="B20" s="16" t="s">
        <v>3140</v>
      </c>
      <c r="C20" s="16">
        <v>305</v>
      </c>
      <c r="D20" s="17" t="s">
        <v>30</v>
      </c>
      <c r="E20" s="18" t="s">
        <v>3141</v>
      </c>
      <c r="F20" s="18" t="s">
        <v>3142</v>
      </c>
      <c r="G20" s="18"/>
      <c r="H20" s="192" t="s">
        <v>3148</v>
      </c>
      <c r="I20" s="192">
        <v>21823163</v>
      </c>
      <c r="J20" s="9" t="s">
        <v>3133</v>
      </c>
      <c r="K20" s="60"/>
      <c r="L20" s="65"/>
      <c r="M20" s="10">
        <v>1</v>
      </c>
      <c r="N20" s="67" t="s">
        <v>3134</v>
      </c>
      <c r="O20" s="73" t="s">
        <v>3134</v>
      </c>
      <c r="P20" s="65"/>
    </row>
    <row r="21" spans="1:16">
      <c r="A21" s="15">
        <v>18</v>
      </c>
      <c r="B21" s="16" t="s">
        <v>3140</v>
      </c>
      <c r="C21" s="16">
        <v>401</v>
      </c>
      <c r="D21" s="17" t="s">
        <v>30</v>
      </c>
      <c r="E21" s="18" t="s">
        <v>3141</v>
      </c>
      <c r="F21" s="18" t="s">
        <v>3142</v>
      </c>
      <c r="G21" s="18"/>
      <c r="H21" s="192" t="s">
        <v>3149</v>
      </c>
      <c r="I21" s="192">
        <v>25579890</v>
      </c>
      <c r="J21" s="9" t="s">
        <v>3133</v>
      </c>
      <c r="K21" s="60"/>
      <c r="L21" s="65"/>
      <c r="M21" s="10">
        <v>1</v>
      </c>
      <c r="N21" s="67" t="s">
        <v>3134</v>
      </c>
      <c r="O21" s="73" t="s">
        <v>3134</v>
      </c>
      <c r="P21" s="65"/>
    </row>
    <row r="22" spans="1:16">
      <c r="A22" s="15">
        <v>19</v>
      </c>
      <c r="B22" s="16" t="s">
        <v>3140</v>
      </c>
      <c r="C22" s="16">
        <v>402</v>
      </c>
      <c r="D22" s="17" t="s">
        <v>30</v>
      </c>
      <c r="E22" s="18" t="s">
        <v>3141</v>
      </c>
      <c r="F22" s="18" t="s">
        <v>3142</v>
      </c>
      <c r="G22" s="18"/>
      <c r="H22" s="192" t="s">
        <v>3149</v>
      </c>
      <c r="I22" s="192">
        <v>15986878</v>
      </c>
      <c r="J22" s="9" t="s">
        <v>3133</v>
      </c>
      <c r="K22" s="60"/>
      <c r="L22" s="65"/>
      <c r="M22" s="10">
        <v>1</v>
      </c>
      <c r="N22" s="67" t="s">
        <v>3134</v>
      </c>
      <c r="O22" s="73" t="s">
        <v>3134</v>
      </c>
      <c r="P22" s="65"/>
    </row>
    <row r="23" spans="1:16">
      <c r="A23" s="15">
        <v>20</v>
      </c>
      <c r="B23" s="16" t="s">
        <v>3140</v>
      </c>
      <c r="C23" s="16">
        <v>403</v>
      </c>
      <c r="D23" s="17" t="s">
        <v>30</v>
      </c>
      <c r="E23" s="18" t="s">
        <v>3141</v>
      </c>
      <c r="F23" s="18" t="s">
        <v>3142</v>
      </c>
      <c r="G23" s="18"/>
      <c r="H23" s="192" t="s">
        <v>3150</v>
      </c>
      <c r="I23" s="192">
        <v>16165497</v>
      </c>
      <c r="J23" s="9" t="s">
        <v>3133</v>
      </c>
      <c r="K23" s="60"/>
      <c r="L23" s="65"/>
      <c r="M23" s="10">
        <v>1</v>
      </c>
      <c r="N23" s="67" t="s">
        <v>3134</v>
      </c>
      <c r="O23" s="73" t="s">
        <v>3134</v>
      </c>
      <c r="P23" s="65"/>
    </row>
    <row r="24" spans="1:16">
      <c r="A24" s="15">
        <v>21</v>
      </c>
      <c r="B24" s="16" t="s">
        <v>3140</v>
      </c>
      <c r="C24" s="16">
        <v>405</v>
      </c>
      <c r="D24" s="17" t="s">
        <v>30</v>
      </c>
      <c r="E24" s="18" t="s">
        <v>3141</v>
      </c>
      <c r="F24" s="18" t="s">
        <v>3142</v>
      </c>
      <c r="G24" s="18"/>
      <c r="H24" s="192" t="s">
        <v>3150</v>
      </c>
      <c r="I24" s="192">
        <v>16165889</v>
      </c>
      <c r="J24" s="9" t="s">
        <v>3133</v>
      </c>
      <c r="K24" s="60"/>
      <c r="L24" s="65"/>
      <c r="M24" s="10">
        <v>1</v>
      </c>
      <c r="N24" s="67" t="s">
        <v>3134</v>
      </c>
      <c r="O24" s="73" t="s">
        <v>3134</v>
      </c>
      <c r="P24" s="65"/>
    </row>
    <row r="25" spans="1:16">
      <c r="A25" s="15">
        <v>22</v>
      </c>
      <c r="B25" s="16" t="s">
        <v>3151</v>
      </c>
      <c r="C25" s="16">
        <v>101</v>
      </c>
      <c r="D25" s="17" t="s">
        <v>30</v>
      </c>
      <c r="E25" s="18" t="s">
        <v>3152</v>
      </c>
      <c r="F25" s="18" t="s">
        <v>3142</v>
      </c>
      <c r="G25" s="18"/>
      <c r="H25" s="192" t="s">
        <v>3153</v>
      </c>
      <c r="I25" s="192">
        <v>16468549</v>
      </c>
      <c r="J25" s="9" t="s">
        <v>3133</v>
      </c>
      <c r="K25" s="60"/>
      <c r="L25" s="65"/>
      <c r="M25" s="10">
        <v>1</v>
      </c>
      <c r="N25" s="67" t="s">
        <v>3134</v>
      </c>
      <c r="O25" s="73" t="s">
        <v>3134</v>
      </c>
      <c r="P25" s="65"/>
    </row>
    <row r="26" spans="1:16">
      <c r="A26" s="15">
        <v>23</v>
      </c>
      <c r="B26" s="16" t="s">
        <v>3151</v>
      </c>
      <c r="C26" s="16">
        <v>102</v>
      </c>
      <c r="D26" s="17" t="s">
        <v>30</v>
      </c>
      <c r="E26" s="18" t="s">
        <v>3152</v>
      </c>
      <c r="F26" s="18" t="s">
        <v>3142</v>
      </c>
      <c r="G26" s="18"/>
      <c r="H26" s="192" t="s">
        <v>3154</v>
      </c>
      <c r="I26" s="192">
        <v>16468787</v>
      </c>
      <c r="J26" s="9" t="s">
        <v>3133</v>
      </c>
      <c r="K26" s="60"/>
      <c r="L26" s="65"/>
      <c r="M26" s="10">
        <v>1</v>
      </c>
      <c r="N26" s="67" t="s">
        <v>3134</v>
      </c>
      <c r="O26" s="73" t="s">
        <v>3134</v>
      </c>
      <c r="P26" s="65"/>
    </row>
    <row r="27" spans="1:16">
      <c r="A27" s="15">
        <v>24</v>
      </c>
      <c r="B27" s="16" t="s">
        <v>3151</v>
      </c>
      <c r="C27" s="16">
        <v>103</v>
      </c>
      <c r="D27" s="17" t="s">
        <v>30</v>
      </c>
      <c r="E27" s="18" t="s">
        <v>3152</v>
      </c>
      <c r="F27" s="18" t="s">
        <v>3142</v>
      </c>
      <c r="G27" s="18"/>
      <c r="H27" s="192" t="s">
        <v>3155</v>
      </c>
      <c r="I27" s="192">
        <v>25692932</v>
      </c>
      <c r="J27" s="9" t="s">
        <v>3133</v>
      </c>
      <c r="K27" s="60"/>
      <c r="L27" s="65"/>
      <c r="M27" s="10">
        <v>1</v>
      </c>
      <c r="N27" s="67" t="s">
        <v>3134</v>
      </c>
      <c r="O27" s="73" t="s">
        <v>3134</v>
      </c>
      <c r="P27" s="65"/>
    </row>
    <row r="28" spans="1:16">
      <c r="A28" s="15">
        <v>25</v>
      </c>
      <c r="B28" s="16" t="s">
        <v>3151</v>
      </c>
      <c r="C28" s="16">
        <v>104</v>
      </c>
      <c r="D28" s="17" t="s">
        <v>30</v>
      </c>
      <c r="E28" s="18" t="s">
        <v>3152</v>
      </c>
      <c r="F28" s="18" t="s">
        <v>3142</v>
      </c>
      <c r="G28" s="18"/>
      <c r="H28" s="192" t="s">
        <v>3156</v>
      </c>
      <c r="I28" s="192">
        <v>16469029</v>
      </c>
      <c r="J28" s="9" t="s">
        <v>3133</v>
      </c>
      <c r="K28" s="60"/>
      <c r="L28" s="65"/>
      <c r="M28" s="10">
        <v>1</v>
      </c>
      <c r="N28" s="67" t="s">
        <v>3134</v>
      </c>
      <c r="O28" s="73" t="s">
        <v>3134</v>
      </c>
      <c r="P28" s="65"/>
    </row>
    <row r="29" spans="1:16">
      <c r="A29" s="15">
        <v>26</v>
      </c>
      <c r="B29" s="16" t="s">
        <v>3151</v>
      </c>
      <c r="C29" s="16">
        <v>105</v>
      </c>
      <c r="D29" s="17" t="s">
        <v>30</v>
      </c>
      <c r="E29" s="18" t="s">
        <v>3152</v>
      </c>
      <c r="F29" s="18" t="s">
        <v>3142</v>
      </c>
      <c r="G29" s="18"/>
      <c r="H29" s="192" t="s">
        <v>3157</v>
      </c>
      <c r="I29" s="192">
        <v>16469163</v>
      </c>
      <c r="J29" s="9" t="s">
        <v>3133</v>
      </c>
      <c r="K29" s="60"/>
      <c r="L29" s="65"/>
      <c r="M29" s="10">
        <v>1</v>
      </c>
      <c r="N29" s="67" t="s">
        <v>3134</v>
      </c>
      <c r="O29" s="73" t="s">
        <v>3134</v>
      </c>
      <c r="P29" s="65"/>
    </row>
    <row r="30" spans="1:16">
      <c r="A30" s="15">
        <v>27</v>
      </c>
      <c r="B30" s="16" t="s">
        <v>3151</v>
      </c>
      <c r="C30" s="16">
        <v>201</v>
      </c>
      <c r="D30" s="17" t="s">
        <v>30</v>
      </c>
      <c r="E30" s="18" t="s">
        <v>3152</v>
      </c>
      <c r="F30" s="18" t="s">
        <v>3142</v>
      </c>
      <c r="G30" s="18"/>
      <c r="H30" s="192" t="s">
        <v>3158</v>
      </c>
      <c r="I30" s="192">
        <v>16468610</v>
      </c>
      <c r="J30" s="9" t="s">
        <v>3133</v>
      </c>
      <c r="K30" s="60"/>
      <c r="L30" s="65"/>
      <c r="M30" s="10">
        <v>1</v>
      </c>
      <c r="N30" s="67" t="s">
        <v>3134</v>
      </c>
      <c r="O30" s="73" t="s">
        <v>3134</v>
      </c>
      <c r="P30" s="65"/>
    </row>
    <row r="31" spans="1:16">
      <c r="A31" s="15">
        <v>28</v>
      </c>
      <c r="B31" s="16" t="s">
        <v>3151</v>
      </c>
      <c r="C31" s="16">
        <v>202</v>
      </c>
      <c r="D31" s="17" t="s">
        <v>30</v>
      </c>
      <c r="E31" s="18" t="s">
        <v>3152</v>
      </c>
      <c r="F31" s="18" t="s">
        <v>3142</v>
      </c>
      <c r="G31" s="18"/>
      <c r="H31" s="192" t="s">
        <v>3159</v>
      </c>
      <c r="I31" s="192">
        <v>16468667</v>
      </c>
      <c r="J31" s="9" t="s">
        <v>3133</v>
      </c>
      <c r="K31" s="60"/>
      <c r="L31" s="65"/>
      <c r="M31" s="10">
        <v>1</v>
      </c>
      <c r="N31" s="67" t="s">
        <v>3134</v>
      </c>
      <c r="O31" s="73" t="s">
        <v>3134</v>
      </c>
      <c r="P31" s="65"/>
    </row>
    <row r="32" spans="1:16">
      <c r="A32" s="15">
        <v>29</v>
      </c>
      <c r="B32" s="16" t="s">
        <v>3151</v>
      </c>
      <c r="C32" s="16">
        <v>203</v>
      </c>
      <c r="D32" s="17" t="s">
        <v>30</v>
      </c>
      <c r="E32" s="18" t="s">
        <v>3152</v>
      </c>
      <c r="F32" s="18" t="s">
        <v>3142</v>
      </c>
      <c r="G32" s="18"/>
      <c r="H32" s="192" t="s">
        <v>3160</v>
      </c>
      <c r="I32" s="192">
        <v>16468905</v>
      </c>
      <c r="J32" s="9" t="s">
        <v>3133</v>
      </c>
      <c r="K32" s="60"/>
      <c r="L32" s="65"/>
      <c r="M32" s="10">
        <v>1</v>
      </c>
      <c r="N32" s="67" t="s">
        <v>3134</v>
      </c>
      <c r="O32" s="73" t="s">
        <v>3134</v>
      </c>
      <c r="P32" s="65"/>
    </row>
    <row r="33" spans="1:16">
      <c r="A33" s="15">
        <v>30</v>
      </c>
      <c r="B33" s="16" t="s">
        <v>3151</v>
      </c>
      <c r="C33" s="16">
        <v>204</v>
      </c>
      <c r="D33" s="17" t="s">
        <v>30</v>
      </c>
      <c r="E33" s="18" t="s">
        <v>3152</v>
      </c>
      <c r="F33" s="18" t="s">
        <v>3142</v>
      </c>
      <c r="G33" s="18"/>
      <c r="H33" s="192" t="s">
        <v>3161</v>
      </c>
      <c r="I33" s="192">
        <v>16468964</v>
      </c>
      <c r="J33" s="9" t="s">
        <v>3133</v>
      </c>
      <c r="K33" s="60"/>
      <c r="L33" s="65"/>
      <c r="M33" s="10">
        <v>1</v>
      </c>
      <c r="N33" s="67" t="s">
        <v>3134</v>
      </c>
      <c r="O33" s="73" t="s">
        <v>3134</v>
      </c>
      <c r="P33" s="65"/>
    </row>
    <row r="34" spans="1:16">
      <c r="A34" s="15">
        <v>31</v>
      </c>
      <c r="B34" s="16" t="s">
        <v>3151</v>
      </c>
      <c r="C34" s="16">
        <v>205</v>
      </c>
      <c r="D34" s="17" t="s">
        <v>30</v>
      </c>
      <c r="E34" s="18" t="s">
        <v>3152</v>
      </c>
      <c r="F34" s="18" t="s">
        <v>3142</v>
      </c>
      <c r="G34" s="18"/>
      <c r="H34" s="192" t="s">
        <v>3162</v>
      </c>
      <c r="I34" s="192">
        <v>22791221</v>
      </c>
      <c r="J34" s="9" t="s">
        <v>3133</v>
      </c>
      <c r="K34" s="60"/>
      <c r="L34" s="65"/>
      <c r="M34" s="10">
        <v>1</v>
      </c>
      <c r="N34" s="67" t="s">
        <v>3134</v>
      </c>
      <c r="O34" s="73" t="s">
        <v>3134</v>
      </c>
      <c r="P34" s="65"/>
    </row>
    <row r="35" spans="1:16">
      <c r="A35" s="15">
        <v>32</v>
      </c>
      <c r="B35" s="16" t="s">
        <v>3163</v>
      </c>
      <c r="C35" s="16">
        <v>201</v>
      </c>
      <c r="D35" s="17" t="s">
        <v>30</v>
      </c>
      <c r="E35" s="18" t="s">
        <v>3164</v>
      </c>
      <c r="F35" s="18" t="s">
        <v>3142</v>
      </c>
      <c r="G35" s="18"/>
      <c r="H35" s="192" t="s">
        <v>3165</v>
      </c>
      <c r="I35" s="192">
        <v>6003558223</v>
      </c>
      <c r="J35" s="9" t="s">
        <v>3133</v>
      </c>
      <c r="K35" s="60"/>
      <c r="L35" s="65"/>
      <c r="M35" s="10">
        <v>1</v>
      </c>
      <c r="N35" s="67" t="s">
        <v>3166</v>
      </c>
      <c r="O35" s="73" t="s">
        <v>3166</v>
      </c>
      <c r="P35" s="65"/>
    </row>
    <row r="36" spans="1:16">
      <c r="A36" s="15">
        <v>33</v>
      </c>
      <c r="B36" s="16" t="s">
        <v>3163</v>
      </c>
      <c r="C36" s="16">
        <v>202</v>
      </c>
      <c r="D36" s="17" t="s">
        <v>30</v>
      </c>
      <c r="E36" s="18" t="s">
        <v>3164</v>
      </c>
      <c r="F36" s="18" t="s">
        <v>3142</v>
      </c>
      <c r="G36" s="18"/>
      <c r="H36" s="192" t="s">
        <v>3167</v>
      </c>
      <c r="I36" s="192">
        <v>6003558238</v>
      </c>
      <c r="J36" s="9" t="s">
        <v>3133</v>
      </c>
      <c r="K36" s="60"/>
      <c r="L36" s="65"/>
      <c r="M36" s="10">
        <v>1</v>
      </c>
      <c r="N36" s="67" t="s">
        <v>3166</v>
      </c>
      <c r="O36" s="73" t="s">
        <v>3166</v>
      </c>
      <c r="P36" s="65"/>
    </row>
    <row r="37" spans="1:16">
      <c r="A37" s="15">
        <v>34</v>
      </c>
      <c r="B37" s="16" t="s">
        <v>3163</v>
      </c>
      <c r="C37" s="16">
        <v>203</v>
      </c>
      <c r="D37" s="17" t="s">
        <v>30</v>
      </c>
      <c r="E37" s="18" t="s">
        <v>3164</v>
      </c>
      <c r="F37" s="18" t="s">
        <v>3142</v>
      </c>
      <c r="G37" s="18"/>
      <c r="H37" s="192" t="s">
        <v>3168</v>
      </c>
      <c r="I37" s="192">
        <v>6003558237</v>
      </c>
      <c r="J37" s="9" t="s">
        <v>3133</v>
      </c>
      <c r="K37" s="60"/>
      <c r="L37" s="65"/>
      <c r="M37" s="10">
        <v>1</v>
      </c>
      <c r="N37" s="67" t="s">
        <v>3166</v>
      </c>
      <c r="O37" s="73" t="s">
        <v>3166</v>
      </c>
      <c r="P37" s="65"/>
    </row>
    <row r="38" spans="1:16">
      <c r="A38" s="15">
        <v>35</v>
      </c>
      <c r="B38" s="16" t="s">
        <v>3163</v>
      </c>
      <c r="C38" s="16">
        <v>205</v>
      </c>
      <c r="D38" s="17" t="s">
        <v>30</v>
      </c>
      <c r="E38" s="18" t="s">
        <v>3164</v>
      </c>
      <c r="F38" s="18" t="s">
        <v>3142</v>
      </c>
      <c r="G38" s="18"/>
      <c r="H38" s="192" t="s">
        <v>3169</v>
      </c>
      <c r="I38" s="192">
        <v>6003558234</v>
      </c>
      <c r="J38" s="9" t="s">
        <v>3133</v>
      </c>
      <c r="K38" s="60"/>
      <c r="L38" s="65"/>
      <c r="M38" s="10">
        <v>1</v>
      </c>
      <c r="N38" s="67" t="s">
        <v>3166</v>
      </c>
      <c r="O38" s="73" t="s">
        <v>3166</v>
      </c>
      <c r="P38" s="65"/>
    </row>
    <row r="39" spans="1:16">
      <c r="A39" s="15">
        <v>36</v>
      </c>
      <c r="B39" s="16" t="s">
        <v>3163</v>
      </c>
      <c r="C39" s="16">
        <v>206</v>
      </c>
      <c r="D39" s="17" t="s">
        <v>30</v>
      </c>
      <c r="E39" s="18" t="s">
        <v>3164</v>
      </c>
      <c r="F39" s="18" t="s">
        <v>3142</v>
      </c>
      <c r="G39" s="18"/>
      <c r="H39" s="192" t="s">
        <v>3170</v>
      </c>
      <c r="I39" s="192">
        <v>6003558231</v>
      </c>
      <c r="J39" s="9" t="s">
        <v>3133</v>
      </c>
      <c r="K39" s="60"/>
      <c r="L39" s="65"/>
      <c r="M39" s="10">
        <v>1</v>
      </c>
      <c r="N39" s="67" t="s">
        <v>3166</v>
      </c>
      <c r="O39" s="73" t="s">
        <v>3166</v>
      </c>
      <c r="P39" s="65"/>
    </row>
    <row r="40" spans="1:16">
      <c r="A40" s="15">
        <v>37</v>
      </c>
      <c r="B40" s="16" t="s">
        <v>3163</v>
      </c>
      <c r="C40" s="16">
        <v>207</v>
      </c>
      <c r="D40" s="17" t="s">
        <v>30</v>
      </c>
      <c r="E40" s="18" t="s">
        <v>3164</v>
      </c>
      <c r="F40" s="18" t="s">
        <v>3142</v>
      </c>
      <c r="G40" s="18"/>
      <c r="H40" s="192" t="s">
        <v>3171</v>
      </c>
      <c r="I40" s="192">
        <v>6003558229</v>
      </c>
      <c r="J40" s="9" t="s">
        <v>3133</v>
      </c>
      <c r="K40" s="60"/>
      <c r="L40" s="65"/>
      <c r="M40" s="10">
        <v>1</v>
      </c>
      <c r="N40" s="67" t="s">
        <v>3166</v>
      </c>
      <c r="O40" s="73" t="s">
        <v>3166</v>
      </c>
      <c r="P40" s="65"/>
    </row>
    <row r="41" spans="1:16">
      <c r="A41" s="15">
        <v>38</v>
      </c>
      <c r="B41" s="16" t="s">
        <v>3163</v>
      </c>
      <c r="C41" s="16">
        <v>208</v>
      </c>
      <c r="D41" s="17" t="s">
        <v>30</v>
      </c>
      <c r="E41" s="18" t="s">
        <v>3164</v>
      </c>
      <c r="F41" s="18" t="s">
        <v>3142</v>
      </c>
      <c r="G41" s="18"/>
      <c r="H41" s="192" t="s">
        <v>3172</v>
      </c>
      <c r="I41" s="192">
        <v>6003558224</v>
      </c>
      <c r="J41" s="9" t="s">
        <v>3133</v>
      </c>
      <c r="K41" s="60"/>
      <c r="L41" s="65"/>
      <c r="M41" s="10">
        <v>1</v>
      </c>
      <c r="N41" s="67" t="s">
        <v>3166</v>
      </c>
      <c r="O41" s="73" t="s">
        <v>3166</v>
      </c>
      <c r="P41" s="65"/>
    </row>
    <row r="42" spans="1:16">
      <c r="A42" s="15">
        <v>39</v>
      </c>
      <c r="B42" s="16" t="s">
        <v>3163</v>
      </c>
      <c r="C42" s="16">
        <v>209</v>
      </c>
      <c r="D42" s="17" t="s">
        <v>30</v>
      </c>
      <c r="E42" s="18" t="s">
        <v>3164</v>
      </c>
      <c r="F42" s="18" t="s">
        <v>3142</v>
      </c>
      <c r="G42" s="18"/>
      <c r="H42" s="192" t="s">
        <v>3173</v>
      </c>
      <c r="I42" s="192">
        <v>6003558226</v>
      </c>
      <c r="J42" s="9" t="s">
        <v>3133</v>
      </c>
      <c r="K42" s="60"/>
      <c r="L42" s="65"/>
      <c r="M42" s="10">
        <v>1</v>
      </c>
      <c r="N42" s="67" t="s">
        <v>3166</v>
      </c>
      <c r="O42" s="73" t="s">
        <v>3166</v>
      </c>
      <c r="P42" s="65"/>
    </row>
    <row r="43" spans="1:16">
      <c r="A43" s="15">
        <v>40</v>
      </c>
      <c r="B43" s="16" t="s">
        <v>3163</v>
      </c>
      <c r="C43" s="16">
        <v>210</v>
      </c>
      <c r="D43" s="17" t="s">
        <v>30</v>
      </c>
      <c r="E43" s="18" t="s">
        <v>3164</v>
      </c>
      <c r="F43" s="18" t="s">
        <v>3142</v>
      </c>
      <c r="G43" s="18"/>
      <c r="H43" s="192" t="s">
        <v>3174</v>
      </c>
      <c r="I43" s="192">
        <v>6003558281</v>
      </c>
      <c r="J43" s="9" t="s">
        <v>3133</v>
      </c>
      <c r="K43" s="60"/>
      <c r="L43" s="65"/>
      <c r="M43" s="10">
        <v>1</v>
      </c>
      <c r="N43" s="67" t="s">
        <v>3166</v>
      </c>
      <c r="O43" s="73" t="s">
        <v>3166</v>
      </c>
      <c r="P43" s="65"/>
    </row>
    <row r="44" spans="1:16">
      <c r="A44" s="15">
        <v>41</v>
      </c>
      <c r="B44" s="16" t="s">
        <v>3163</v>
      </c>
      <c r="C44" s="16">
        <v>301</v>
      </c>
      <c r="D44" s="17" t="s">
        <v>30</v>
      </c>
      <c r="E44" s="18" t="s">
        <v>3164</v>
      </c>
      <c r="F44" s="18" t="s">
        <v>3142</v>
      </c>
      <c r="G44" s="18"/>
      <c r="H44" s="192" t="s">
        <v>3175</v>
      </c>
      <c r="I44" s="192">
        <v>6003558241</v>
      </c>
      <c r="J44" s="9" t="s">
        <v>3133</v>
      </c>
      <c r="K44" s="60"/>
      <c r="L44" s="65"/>
      <c r="M44" s="10">
        <v>1</v>
      </c>
      <c r="N44" s="67" t="s">
        <v>3166</v>
      </c>
      <c r="O44" s="73" t="s">
        <v>3166</v>
      </c>
      <c r="P44" s="65"/>
    </row>
    <row r="45" spans="1:16">
      <c r="A45" s="15">
        <v>42</v>
      </c>
      <c r="B45" s="16" t="s">
        <v>3163</v>
      </c>
      <c r="C45" s="16">
        <v>302</v>
      </c>
      <c r="D45" s="17" t="s">
        <v>30</v>
      </c>
      <c r="E45" s="18" t="s">
        <v>3164</v>
      </c>
      <c r="F45" s="18" t="s">
        <v>3142</v>
      </c>
      <c r="G45" s="18"/>
      <c r="H45" s="192" t="s">
        <v>3176</v>
      </c>
      <c r="I45" s="192">
        <v>6003558239</v>
      </c>
      <c r="J45" s="9" t="s">
        <v>3133</v>
      </c>
      <c r="K45" s="60"/>
      <c r="L45" s="65"/>
      <c r="M45" s="10">
        <v>1</v>
      </c>
      <c r="N45" s="67" t="s">
        <v>3166</v>
      </c>
      <c r="O45" s="73" t="s">
        <v>3166</v>
      </c>
      <c r="P45" s="65"/>
    </row>
    <row r="46" spans="1:16">
      <c r="A46" s="15">
        <v>43</v>
      </c>
      <c r="B46" s="16" t="s">
        <v>3163</v>
      </c>
      <c r="C46" s="16">
        <v>303</v>
      </c>
      <c r="D46" s="17" t="s">
        <v>30</v>
      </c>
      <c r="E46" s="18" t="s">
        <v>3164</v>
      </c>
      <c r="F46" s="18" t="s">
        <v>3142</v>
      </c>
      <c r="G46" s="18"/>
      <c r="H46" s="192" t="s">
        <v>3177</v>
      </c>
      <c r="I46" s="192">
        <v>6003558253</v>
      </c>
      <c r="J46" s="9" t="s">
        <v>3133</v>
      </c>
      <c r="K46" s="60"/>
      <c r="L46" s="65"/>
      <c r="M46" s="10">
        <v>1</v>
      </c>
      <c r="N46" s="67" t="s">
        <v>3166</v>
      </c>
      <c r="O46" s="73" t="s">
        <v>3166</v>
      </c>
      <c r="P46" s="65"/>
    </row>
    <row r="47" spans="1:16">
      <c r="A47" s="15">
        <v>44</v>
      </c>
      <c r="B47" s="16" t="s">
        <v>3163</v>
      </c>
      <c r="C47" s="16">
        <v>305</v>
      </c>
      <c r="D47" s="17" t="s">
        <v>30</v>
      </c>
      <c r="E47" s="18" t="s">
        <v>3164</v>
      </c>
      <c r="F47" s="18" t="s">
        <v>3142</v>
      </c>
      <c r="G47" s="18"/>
      <c r="H47" s="192" t="s">
        <v>3178</v>
      </c>
      <c r="I47" s="192">
        <v>6003558254</v>
      </c>
      <c r="J47" s="9" t="s">
        <v>3133</v>
      </c>
      <c r="K47" s="60"/>
      <c r="L47" s="65"/>
      <c r="M47" s="10">
        <v>1</v>
      </c>
      <c r="N47" s="67" t="s">
        <v>3166</v>
      </c>
      <c r="O47" s="73" t="s">
        <v>3166</v>
      </c>
      <c r="P47" s="65"/>
    </row>
    <row r="48" spans="1:16">
      <c r="A48" s="15">
        <v>45</v>
      </c>
      <c r="B48" s="16" t="s">
        <v>3163</v>
      </c>
      <c r="C48" s="16">
        <v>306</v>
      </c>
      <c r="D48" s="17" t="s">
        <v>30</v>
      </c>
      <c r="E48" s="18" t="s">
        <v>3164</v>
      </c>
      <c r="F48" s="18" t="s">
        <v>3142</v>
      </c>
      <c r="G48" s="18"/>
      <c r="H48" s="192" t="s">
        <v>3179</v>
      </c>
      <c r="I48" s="192">
        <v>6003558252</v>
      </c>
      <c r="J48" s="9" t="s">
        <v>3133</v>
      </c>
      <c r="K48" s="60"/>
      <c r="L48" s="65"/>
      <c r="M48" s="10">
        <v>1</v>
      </c>
      <c r="N48" s="67" t="s">
        <v>3166</v>
      </c>
      <c r="O48" s="73" t="s">
        <v>3166</v>
      </c>
      <c r="P48" s="65"/>
    </row>
    <row r="49" spans="1:16">
      <c r="A49" s="15">
        <v>46</v>
      </c>
      <c r="B49" s="16" t="s">
        <v>3163</v>
      </c>
      <c r="C49" s="16">
        <v>307</v>
      </c>
      <c r="D49" s="17" t="s">
        <v>30</v>
      </c>
      <c r="E49" s="18" t="s">
        <v>3164</v>
      </c>
      <c r="F49" s="18" t="s">
        <v>3142</v>
      </c>
      <c r="G49" s="18"/>
      <c r="H49" s="192" t="s">
        <v>3180</v>
      </c>
      <c r="I49" s="192">
        <v>6003558250</v>
      </c>
      <c r="J49" s="9" t="s">
        <v>3133</v>
      </c>
      <c r="K49" s="60"/>
      <c r="L49" s="65"/>
      <c r="M49" s="10">
        <v>1</v>
      </c>
      <c r="N49" s="67" t="s">
        <v>3166</v>
      </c>
      <c r="O49" s="73" t="s">
        <v>3166</v>
      </c>
      <c r="P49" s="65"/>
    </row>
    <row r="50" spans="1:16">
      <c r="A50" s="15">
        <v>47</v>
      </c>
      <c r="B50" s="16" t="s">
        <v>3163</v>
      </c>
      <c r="C50" s="16">
        <v>308</v>
      </c>
      <c r="D50" s="17" t="s">
        <v>30</v>
      </c>
      <c r="E50" s="18" t="s">
        <v>3164</v>
      </c>
      <c r="F50" s="18" t="s">
        <v>3142</v>
      </c>
      <c r="G50" s="18"/>
      <c r="H50" s="192" t="s">
        <v>3181</v>
      </c>
      <c r="I50" s="192">
        <v>6003558245</v>
      </c>
      <c r="J50" s="9" t="s">
        <v>3133</v>
      </c>
      <c r="K50" s="60"/>
      <c r="L50" s="65"/>
      <c r="M50" s="10">
        <v>1</v>
      </c>
      <c r="N50" s="67" t="s">
        <v>3166</v>
      </c>
      <c r="O50" s="73" t="s">
        <v>3166</v>
      </c>
      <c r="P50" s="65"/>
    </row>
    <row r="51" spans="1:16">
      <c r="A51" s="15">
        <v>48</v>
      </c>
      <c r="B51" s="16" t="s">
        <v>3163</v>
      </c>
      <c r="C51" s="16">
        <v>309</v>
      </c>
      <c r="D51" s="17" t="s">
        <v>30</v>
      </c>
      <c r="E51" s="18" t="s">
        <v>3164</v>
      </c>
      <c r="F51" s="18" t="s">
        <v>3142</v>
      </c>
      <c r="G51" s="18"/>
      <c r="H51" s="192" t="s">
        <v>3182</v>
      </c>
      <c r="I51" s="192">
        <v>6003558248</v>
      </c>
      <c r="J51" s="9" t="s">
        <v>3133</v>
      </c>
      <c r="K51" s="60"/>
      <c r="L51" s="65"/>
      <c r="M51" s="10">
        <v>1</v>
      </c>
      <c r="N51" s="67" t="s">
        <v>3166</v>
      </c>
      <c r="O51" s="73" t="s">
        <v>3166</v>
      </c>
      <c r="P51" s="65"/>
    </row>
    <row r="52" spans="1:16">
      <c r="A52" s="15">
        <v>49</v>
      </c>
      <c r="B52" s="16" t="s">
        <v>3163</v>
      </c>
      <c r="C52" s="16">
        <v>310</v>
      </c>
      <c r="D52" s="17" t="s">
        <v>30</v>
      </c>
      <c r="E52" s="18" t="s">
        <v>3164</v>
      </c>
      <c r="F52" s="18" t="s">
        <v>3142</v>
      </c>
      <c r="G52" s="18"/>
      <c r="H52" s="192" t="s">
        <v>3183</v>
      </c>
      <c r="I52" s="192">
        <v>6003558244</v>
      </c>
      <c r="J52" s="9" t="s">
        <v>3133</v>
      </c>
      <c r="K52" s="60"/>
      <c r="L52" s="65"/>
      <c r="M52" s="10">
        <v>1</v>
      </c>
      <c r="N52" s="67" t="s">
        <v>3166</v>
      </c>
      <c r="O52" s="73" t="s">
        <v>3166</v>
      </c>
      <c r="P52" s="65"/>
    </row>
    <row r="53" spans="1:16">
      <c r="A53" s="15">
        <v>50</v>
      </c>
      <c r="B53" s="16" t="s">
        <v>3163</v>
      </c>
      <c r="C53" s="16">
        <v>501</v>
      </c>
      <c r="D53" s="17" t="s">
        <v>30</v>
      </c>
      <c r="E53" s="18" t="s">
        <v>3164</v>
      </c>
      <c r="F53" s="18" t="s">
        <v>3142</v>
      </c>
      <c r="G53" s="18"/>
      <c r="H53" s="192" t="s">
        <v>3184</v>
      </c>
      <c r="I53" s="192">
        <v>6003558256</v>
      </c>
      <c r="J53" s="9" t="s">
        <v>3133</v>
      </c>
      <c r="K53" s="60"/>
      <c r="L53" s="65"/>
      <c r="M53" s="10">
        <v>1</v>
      </c>
      <c r="N53" s="67" t="s">
        <v>3166</v>
      </c>
      <c r="O53" s="73" t="s">
        <v>3166</v>
      </c>
      <c r="P53" s="65"/>
    </row>
    <row r="54" spans="1:16">
      <c r="A54" s="15">
        <v>51</v>
      </c>
      <c r="B54" s="16" t="s">
        <v>3163</v>
      </c>
      <c r="C54" s="16">
        <v>502</v>
      </c>
      <c r="D54" s="17" t="s">
        <v>30</v>
      </c>
      <c r="E54" s="18" t="s">
        <v>3164</v>
      </c>
      <c r="F54" s="18" t="s">
        <v>3142</v>
      </c>
      <c r="G54" s="18"/>
      <c r="H54" s="192" t="s">
        <v>3185</v>
      </c>
      <c r="I54" s="192">
        <v>6006646308</v>
      </c>
      <c r="J54" s="9" t="s">
        <v>3133</v>
      </c>
      <c r="K54" s="60"/>
      <c r="L54" s="65"/>
      <c r="M54" s="10">
        <v>1</v>
      </c>
      <c r="N54" s="67" t="s">
        <v>3166</v>
      </c>
      <c r="O54" s="73" t="s">
        <v>3166</v>
      </c>
      <c r="P54" s="65"/>
    </row>
    <row r="55" spans="1:16">
      <c r="A55" s="15">
        <v>52</v>
      </c>
      <c r="B55" s="16" t="s">
        <v>3163</v>
      </c>
      <c r="C55" s="16">
        <v>503</v>
      </c>
      <c r="D55" s="17" t="s">
        <v>30</v>
      </c>
      <c r="E55" s="18" t="s">
        <v>3164</v>
      </c>
      <c r="F55" s="18" t="s">
        <v>3142</v>
      </c>
      <c r="G55" s="18"/>
      <c r="H55" s="192" t="s">
        <v>3186</v>
      </c>
      <c r="I55" s="192">
        <v>6003558267</v>
      </c>
      <c r="J55" s="9" t="s">
        <v>3133</v>
      </c>
      <c r="K55" s="60"/>
      <c r="L55" s="65"/>
      <c r="M55" s="10">
        <v>1</v>
      </c>
      <c r="N55" s="67" t="s">
        <v>3166</v>
      </c>
      <c r="O55" s="73" t="s">
        <v>3166</v>
      </c>
      <c r="P55" s="65"/>
    </row>
    <row r="56" spans="1:16">
      <c r="A56" s="15">
        <v>53</v>
      </c>
      <c r="B56" s="16" t="s">
        <v>3163</v>
      </c>
      <c r="C56" s="16">
        <v>505</v>
      </c>
      <c r="D56" s="17" t="s">
        <v>30</v>
      </c>
      <c r="E56" s="18" t="s">
        <v>3164</v>
      </c>
      <c r="F56" s="18" t="s">
        <v>3142</v>
      </c>
      <c r="G56" s="18"/>
      <c r="H56" s="192" t="s">
        <v>3187</v>
      </c>
      <c r="I56" s="192">
        <v>6003558264</v>
      </c>
      <c r="J56" s="9" t="s">
        <v>3133</v>
      </c>
      <c r="K56" s="60"/>
      <c r="L56" s="65"/>
      <c r="M56" s="10">
        <v>1</v>
      </c>
      <c r="N56" s="67" t="s">
        <v>3166</v>
      </c>
      <c r="O56" s="73" t="s">
        <v>3166</v>
      </c>
      <c r="P56" s="65"/>
    </row>
    <row r="57" spans="1:16">
      <c r="A57" s="15">
        <v>54</v>
      </c>
      <c r="B57" s="16" t="s">
        <v>3163</v>
      </c>
      <c r="C57" s="16">
        <v>506</v>
      </c>
      <c r="D57" s="17" t="s">
        <v>30</v>
      </c>
      <c r="E57" s="18" t="s">
        <v>3164</v>
      </c>
      <c r="F57" s="18" t="s">
        <v>3142</v>
      </c>
      <c r="G57" s="18"/>
      <c r="H57" s="192" t="s">
        <v>3188</v>
      </c>
      <c r="I57" s="192">
        <v>6003558262</v>
      </c>
      <c r="J57" s="9" t="s">
        <v>3133</v>
      </c>
      <c r="K57" s="60"/>
      <c r="L57" s="65"/>
      <c r="M57" s="10">
        <v>1</v>
      </c>
      <c r="N57" s="67" t="s">
        <v>3166</v>
      </c>
      <c r="O57" s="73" t="s">
        <v>3166</v>
      </c>
      <c r="P57" s="65"/>
    </row>
    <row r="58" spans="1:16">
      <c r="A58" s="15">
        <v>55</v>
      </c>
      <c r="B58" s="16" t="s">
        <v>3163</v>
      </c>
      <c r="C58" s="16">
        <v>507</v>
      </c>
      <c r="D58" s="17" t="s">
        <v>30</v>
      </c>
      <c r="E58" s="18" t="s">
        <v>3164</v>
      </c>
      <c r="F58" s="18" t="s">
        <v>3142</v>
      </c>
      <c r="G58" s="18"/>
      <c r="H58" s="192" t="s">
        <v>3189</v>
      </c>
      <c r="I58" s="192">
        <v>6003558261</v>
      </c>
      <c r="J58" s="9" t="s">
        <v>3133</v>
      </c>
      <c r="K58" s="60"/>
      <c r="L58" s="65"/>
      <c r="M58" s="10">
        <v>1</v>
      </c>
      <c r="N58" s="67" t="s">
        <v>3166</v>
      </c>
      <c r="O58" s="73" t="s">
        <v>3166</v>
      </c>
      <c r="P58" s="65"/>
    </row>
    <row r="59" spans="1:16">
      <c r="A59" s="15">
        <v>56</v>
      </c>
      <c r="B59" s="16" t="s">
        <v>3163</v>
      </c>
      <c r="C59" s="16">
        <v>508</v>
      </c>
      <c r="D59" s="17" t="s">
        <v>30</v>
      </c>
      <c r="E59" s="18" t="s">
        <v>3164</v>
      </c>
      <c r="F59" s="18" t="s">
        <v>3142</v>
      </c>
      <c r="G59" s="18"/>
      <c r="H59" s="192" t="s">
        <v>3190</v>
      </c>
      <c r="I59" s="192">
        <v>6003558259</v>
      </c>
      <c r="J59" s="9" t="s">
        <v>3133</v>
      </c>
      <c r="K59" s="60"/>
      <c r="L59" s="65"/>
      <c r="M59" s="10">
        <v>1</v>
      </c>
      <c r="N59" s="67" t="s">
        <v>3166</v>
      </c>
      <c r="O59" s="73" t="s">
        <v>3166</v>
      </c>
      <c r="P59" s="65"/>
    </row>
    <row r="60" spans="1:16">
      <c r="A60" s="15">
        <v>57</v>
      </c>
      <c r="B60" s="16" t="s">
        <v>3163</v>
      </c>
      <c r="C60" s="16">
        <v>509</v>
      </c>
      <c r="D60" s="17" t="s">
        <v>30</v>
      </c>
      <c r="E60" s="18" t="s">
        <v>3164</v>
      </c>
      <c r="F60" s="18" t="s">
        <v>3142</v>
      </c>
      <c r="G60" s="18"/>
      <c r="H60" s="192" t="s">
        <v>3191</v>
      </c>
      <c r="I60" s="192">
        <v>6003558260</v>
      </c>
      <c r="J60" s="9" t="s">
        <v>3133</v>
      </c>
      <c r="K60" s="60"/>
      <c r="L60" s="65"/>
      <c r="M60" s="10">
        <v>1</v>
      </c>
      <c r="N60" s="67" t="s">
        <v>3166</v>
      </c>
      <c r="O60" s="73" t="s">
        <v>3166</v>
      </c>
      <c r="P60" s="65"/>
    </row>
    <row r="61" spans="1:16">
      <c r="A61" s="15">
        <v>58</v>
      </c>
      <c r="B61" s="16" t="s">
        <v>3163</v>
      </c>
      <c r="C61" s="16">
        <v>510</v>
      </c>
      <c r="D61" s="17" t="s">
        <v>30</v>
      </c>
      <c r="E61" s="18" t="s">
        <v>3164</v>
      </c>
      <c r="F61" s="18" t="s">
        <v>3142</v>
      </c>
      <c r="G61" s="18"/>
      <c r="H61" s="192" t="s">
        <v>3192</v>
      </c>
      <c r="I61" s="192">
        <v>6003558257</v>
      </c>
      <c r="J61" s="9" t="s">
        <v>3133</v>
      </c>
      <c r="K61" s="60"/>
      <c r="L61" s="65"/>
      <c r="M61" s="10">
        <v>1</v>
      </c>
      <c r="N61" s="67" t="s">
        <v>3166</v>
      </c>
      <c r="O61" s="73" t="s">
        <v>3166</v>
      </c>
      <c r="P61" s="65"/>
    </row>
    <row r="62" spans="1:16">
      <c r="A62" s="15">
        <v>59</v>
      </c>
      <c r="B62" s="16" t="s">
        <v>3163</v>
      </c>
      <c r="C62" s="16">
        <v>601</v>
      </c>
      <c r="D62" s="17" t="s">
        <v>30</v>
      </c>
      <c r="E62" s="18" t="s">
        <v>3164</v>
      </c>
      <c r="F62" s="18" t="s">
        <v>3142</v>
      </c>
      <c r="G62" s="18"/>
      <c r="H62" s="192" t="s">
        <v>3193</v>
      </c>
      <c r="I62" s="192">
        <v>6003558275</v>
      </c>
      <c r="J62" s="9" t="s">
        <v>3133</v>
      </c>
      <c r="K62" s="60"/>
      <c r="L62" s="65"/>
      <c r="M62" s="10">
        <v>1</v>
      </c>
      <c r="N62" s="67" t="s">
        <v>3166</v>
      </c>
      <c r="O62" s="73" t="s">
        <v>3166</v>
      </c>
      <c r="P62" s="65"/>
    </row>
    <row r="63" spans="1:16">
      <c r="A63" s="15">
        <v>60</v>
      </c>
      <c r="B63" s="16" t="s">
        <v>3163</v>
      </c>
      <c r="C63" s="16">
        <v>602</v>
      </c>
      <c r="D63" s="17" t="s">
        <v>30</v>
      </c>
      <c r="E63" s="18" t="s">
        <v>3164</v>
      </c>
      <c r="F63" s="18" t="s">
        <v>3142</v>
      </c>
      <c r="G63" s="18"/>
      <c r="H63" s="192" t="s">
        <v>3194</v>
      </c>
      <c r="I63" s="192">
        <v>6003558270</v>
      </c>
      <c r="J63" s="9" t="s">
        <v>3133</v>
      </c>
      <c r="K63" s="60"/>
      <c r="L63" s="65"/>
      <c r="M63" s="10">
        <v>1</v>
      </c>
      <c r="N63" s="67" t="s">
        <v>3166</v>
      </c>
      <c r="O63" s="73" t="s">
        <v>3166</v>
      </c>
      <c r="P63" s="65"/>
    </row>
    <row r="64" spans="1:16">
      <c r="A64" s="15">
        <v>61</v>
      </c>
      <c r="B64" s="16" t="s">
        <v>3163</v>
      </c>
      <c r="C64" s="16">
        <v>603</v>
      </c>
      <c r="D64" s="17" t="s">
        <v>30</v>
      </c>
      <c r="E64" s="18" t="s">
        <v>3164</v>
      </c>
      <c r="F64" s="18" t="s">
        <v>3142</v>
      </c>
      <c r="G64" s="18"/>
      <c r="H64" s="192" t="s">
        <v>3195</v>
      </c>
      <c r="I64" s="192">
        <v>6003558272</v>
      </c>
      <c r="J64" s="9" t="s">
        <v>3133</v>
      </c>
      <c r="K64" s="60"/>
      <c r="L64" s="65"/>
      <c r="M64" s="10">
        <v>1</v>
      </c>
      <c r="N64" s="67" t="s">
        <v>3166</v>
      </c>
      <c r="O64" s="73" t="s">
        <v>3166</v>
      </c>
      <c r="P64" s="65"/>
    </row>
    <row r="65" spans="1:16">
      <c r="A65" s="15">
        <v>62</v>
      </c>
      <c r="B65" s="16" t="s">
        <v>3163</v>
      </c>
      <c r="C65" s="16">
        <v>605</v>
      </c>
      <c r="D65" s="17" t="s">
        <v>30</v>
      </c>
      <c r="E65" s="18" t="s">
        <v>3164</v>
      </c>
      <c r="F65" s="18" t="s">
        <v>3142</v>
      </c>
      <c r="G65" s="18"/>
      <c r="H65" s="192" t="s">
        <v>3196</v>
      </c>
      <c r="I65" s="192">
        <v>6003558274</v>
      </c>
      <c r="J65" s="9" t="s">
        <v>3133</v>
      </c>
      <c r="K65" s="60"/>
      <c r="L65" s="65"/>
      <c r="M65" s="10">
        <v>1</v>
      </c>
      <c r="N65" s="67" t="s">
        <v>3166</v>
      </c>
      <c r="O65" s="73" t="s">
        <v>3166</v>
      </c>
      <c r="P65" s="65"/>
    </row>
    <row r="66" spans="1:16">
      <c r="A66" s="15">
        <v>63</v>
      </c>
      <c r="B66" s="16" t="s">
        <v>3163</v>
      </c>
      <c r="C66" s="16">
        <v>606</v>
      </c>
      <c r="D66" s="17" t="s">
        <v>30</v>
      </c>
      <c r="E66" s="18" t="s">
        <v>3164</v>
      </c>
      <c r="F66" s="18" t="s">
        <v>3142</v>
      </c>
      <c r="G66" s="18"/>
      <c r="H66" s="192" t="s">
        <v>3197</v>
      </c>
      <c r="I66" s="192">
        <v>6003558278</v>
      </c>
      <c r="J66" s="9" t="s">
        <v>3133</v>
      </c>
      <c r="K66" s="60"/>
      <c r="L66" s="65"/>
      <c r="M66" s="10">
        <v>1</v>
      </c>
      <c r="N66" s="67" t="s">
        <v>3166</v>
      </c>
      <c r="O66" s="73" t="s">
        <v>3166</v>
      </c>
      <c r="P66" s="65"/>
    </row>
    <row r="67" spans="1:16">
      <c r="A67" s="15">
        <v>64</v>
      </c>
      <c r="B67" s="16" t="s">
        <v>3163</v>
      </c>
      <c r="C67" s="16">
        <v>607</v>
      </c>
      <c r="D67" s="17" t="s">
        <v>30</v>
      </c>
      <c r="E67" s="18" t="s">
        <v>3164</v>
      </c>
      <c r="F67" s="18" t="s">
        <v>3142</v>
      </c>
      <c r="G67" s="18"/>
      <c r="H67" s="192" t="s">
        <v>3198</v>
      </c>
      <c r="I67" s="192">
        <v>6003558220</v>
      </c>
      <c r="J67" s="9" t="s">
        <v>3133</v>
      </c>
      <c r="K67" s="60"/>
      <c r="L67" s="65"/>
      <c r="M67" s="10">
        <v>1</v>
      </c>
      <c r="N67" s="67" t="s">
        <v>3166</v>
      </c>
      <c r="O67" s="73" t="s">
        <v>3166</v>
      </c>
      <c r="P67" s="65"/>
    </row>
    <row r="68" spans="1:16">
      <c r="A68" s="15">
        <v>65</v>
      </c>
      <c r="B68" s="16" t="s">
        <v>3199</v>
      </c>
      <c r="C68" s="16" t="s">
        <v>3200</v>
      </c>
      <c r="D68" s="17" t="s">
        <v>29</v>
      </c>
      <c r="E68" s="18" t="s">
        <v>3201</v>
      </c>
      <c r="F68" s="18" t="s">
        <v>3202</v>
      </c>
      <c r="G68" s="18"/>
      <c r="H68" s="192" t="s">
        <v>3203</v>
      </c>
      <c r="I68" s="192"/>
      <c r="J68" s="9" t="s">
        <v>3133</v>
      </c>
      <c r="K68" s="60"/>
      <c r="L68" s="65"/>
      <c r="M68" s="10">
        <v>2</v>
      </c>
      <c r="N68" s="67" t="s">
        <v>3134</v>
      </c>
      <c r="O68" s="73" t="s">
        <v>3134</v>
      </c>
      <c r="P68" s="65"/>
    </row>
    <row r="69" spans="1:16">
      <c r="A69" s="15">
        <v>66</v>
      </c>
      <c r="B69" s="16" t="s">
        <v>3199</v>
      </c>
      <c r="C69" s="16">
        <v>201</v>
      </c>
      <c r="D69" s="17" t="s">
        <v>29</v>
      </c>
      <c r="E69" s="18" t="s">
        <v>3201</v>
      </c>
      <c r="F69" s="18" t="s">
        <v>3202</v>
      </c>
      <c r="G69" s="18"/>
      <c r="H69" s="192" t="s">
        <v>3204</v>
      </c>
      <c r="I69" s="192"/>
      <c r="J69" s="9" t="s">
        <v>3133</v>
      </c>
      <c r="K69" s="60"/>
      <c r="L69" s="65"/>
      <c r="M69" s="10">
        <v>2</v>
      </c>
      <c r="N69" s="67" t="s">
        <v>3134</v>
      </c>
      <c r="O69" s="73" t="s">
        <v>3134</v>
      </c>
      <c r="P69" s="65"/>
    </row>
    <row r="70" spans="1:16">
      <c r="A70" s="15">
        <v>67</v>
      </c>
      <c r="B70" s="16" t="s">
        <v>3199</v>
      </c>
      <c r="C70" s="16">
        <v>202</v>
      </c>
      <c r="D70" s="17" t="s">
        <v>29</v>
      </c>
      <c r="E70" s="18" t="s">
        <v>3201</v>
      </c>
      <c r="F70" s="18" t="s">
        <v>3202</v>
      </c>
      <c r="G70" s="18"/>
      <c r="H70" s="192" t="s">
        <v>3205</v>
      </c>
      <c r="I70" s="192"/>
      <c r="J70" s="9" t="s">
        <v>3133</v>
      </c>
      <c r="K70" s="60"/>
      <c r="L70" s="65"/>
      <c r="M70" s="10">
        <v>2</v>
      </c>
      <c r="N70" s="67" t="s">
        <v>3134</v>
      </c>
      <c r="O70" s="73" t="s">
        <v>3134</v>
      </c>
      <c r="P70" s="65"/>
    </row>
    <row r="71" spans="1:16">
      <c r="A71" s="15">
        <v>68</v>
      </c>
      <c r="B71" s="16" t="s">
        <v>3199</v>
      </c>
      <c r="C71" s="16">
        <v>301</v>
      </c>
      <c r="D71" s="17" t="s">
        <v>29</v>
      </c>
      <c r="E71" s="18" t="s">
        <v>3201</v>
      </c>
      <c r="F71" s="18" t="s">
        <v>3206</v>
      </c>
      <c r="G71" s="18" t="s">
        <v>3142</v>
      </c>
      <c r="H71" s="192" t="s">
        <v>3207</v>
      </c>
      <c r="I71" s="192">
        <v>20110297</v>
      </c>
      <c r="J71" s="9" t="s">
        <v>3133</v>
      </c>
      <c r="K71" s="60"/>
      <c r="L71" s="65"/>
      <c r="M71" s="10">
        <v>1</v>
      </c>
      <c r="N71" s="67" t="s">
        <v>3134</v>
      </c>
      <c r="O71" s="73" t="s">
        <v>3134</v>
      </c>
      <c r="P71" s="65"/>
    </row>
    <row r="72" spans="1:16">
      <c r="A72" s="15">
        <v>69</v>
      </c>
      <c r="B72" s="16" t="s">
        <v>3199</v>
      </c>
      <c r="C72" s="16">
        <v>302</v>
      </c>
      <c r="D72" s="17" t="s">
        <v>29</v>
      </c>
      <c r="E72" s="18" t="s">
        <v>3201</v>
      </c>
      <c r="F72" s="18" t="s">
        <v>3206</v>
      </c>
      <c r="G72" s="18" t="s">
        <v>3142</v>
      </c>
      <c r="H72" s="192" t="s">
        <v>3208</v>
      </c>
      <c r="I72" s="192">
        <v>20110302</v>
      </c>
      <c r="J72" s="9" t="s">
        <v>3133</v>
      </c>
      <c r="K72" s="60"/>
      <c r="L72" s="65"/>
      <c r="M72" s="10">
        <v>1</v>
      </c>
      <c r="N72" s="67" t="s">
        <v>3134</v>
      </c>
      <c r="O72" s="73" t="s">
        <v>3134</v>
      </c>
      <c r="P72" s="65"/>
    </row>
    <row r="73" spans="1:16">
      <c r="A73" s="15">
        <v>70</v>
      </c>
      <c r="B73" s="16" t="s">
        <v>3199</v>
      </c>
      <c r="C73" s="16">
        <v>303</v>
      </c>
      <c r="D73" s="17" t="s">
        <v>29</v>
      </c>
      <c r="E73" s="18" t="s">
        <v>3201</v>
      </c>
      <c r="F73" s="18" t="s">
        <v>3206</v>
      </c>
      <c r="G73" s="18" t="s">
        <v>3142</v>
      </c>
      <c r="H73" s="192" t="s">
        <v>3209</v>
      </c>
      <c r="I73" s="192">
        <v>20110303</v>
      </c>
      <c r="J73" s="9" t="s">
        <v>3133</v>
      </c>
      <c r="K73" s="60"/>
      <c r="L73" s="65"/>
      <c r="M73" s="10">
        <v>1</v>
      </c>
      <c r="N73" s="67" t="s">
        <v>3134</v>
      </c>
      <c r="O73" s="73" t="s">
        <v>3134</v>
      </c>
      <c r="P73" s="65"/>
    </row>
    <row r="74" spans="1:16">
      <c r="A74" s="15">
        <v>71</v>
      </c>
      <c r="B74" s="16" t="s">
        <v>3199</v>
      </c>
      <c r="C74" s="16">
        <v>304</v>
      </c>
      <c r="D74" s="17" t="s">
        <v>29</v>
      </c>
      <c r="E74" s="18" t="s">
        <v>3201</v>
      </c>
      <c r="F74" s="18" t="s">
        <v>3206</v>
      </c>
      <c r="G74" s="18" t="s">
        <v>3142</v>
      </c>
      <c r="H74" s="192" t="s">
        <v>3210</v>
      </c>
      <c r="I74" s="192">
        <v>20110304</v>
      </c>
      <c r="J74" s="9" t="s">
        <v>3133</v>
      </c>
      <c r="K74" s="60"/>
      <c r="L74" s="65"/>
      <c r="M74" s="10">
        <v>1</v>
      </c>
      <c r="N74" s="67" t="s">
        <v>3134</v>
      </c>
      <c r="O74" s="73" t="s">
        <v>3134</v>
      </c>
      <c r="P74" s="65"/>
    </row>
    <row r="75" spans="1:16">
      <c r="A75" s="15">
        <v>72</v>
      </c>
      <c r="B75" s="16" t="s">
        <v>3199</v>
      </c>
      <c r="C75" s="16">
        <v>305</v>
      </c>
      <c r="D75" s="17" t="s">
        <v>29</v>
      </c>
      <c r="E75" s="18" t="s">
        <v>3201</v>
      </c>
      <c r="F75" s="18" t="s">
        <v>3206</v>
      </c>
      <c r="G75" s="18" t="s">
        <v>3142</v>
      </c>
      <c r="H75" s="192" t="s">
        <v>3211</v>
      </c>
      <c r="I75" s="192">
        <v>20110305</v>
      </c>
      <c r="J75" s="9" t="s">
        <v>3133</v>
      </c>
      <c r="K75" s="60"/>
      <c r="L75" s="65"/>
      <c r="M75" s="10">
        <v>1</v>
      </c>
      <c r="N75" s="67" t="s">
        <v>3134</v>
      </c>
      <c r="O75" s="73" t="s">
        <v>3134</v>
      </c>
      <c r="P75" s="65"/>
    </row>
    <row r="76" spans="1:16">
      <c r="A76" s="15">
        <v>73</v>
      </c>
      <c r="B76" s="16" t="s">
        <v>3199</v>
      </c>
      <c r="C76" s="16">
        <v>401</v>
      </c>
      <c r="D76" s="17" t="s">
        <v>29</v>
      </c>
      <c r="E76" s="18" t="s">
        <v>3201</v>
      </c>
      <c r="F76" s="18" t="s">
        <v>3202</v>
      </c>
      <c r="G76" s="18" t="s">
        <v>3142</v>
      </c>
      <c r="H76" s="192" t="s">
        <v>3212</v>
      </c>
      <c r="I76" s="192">
        <v>20110306</v>
      </c>
      <c r="J76" s="9" t="s">
        <v>3133</v>
      </c>
      <c r="K76" s="60"/>
      <c r="L76" s="65"/>
      <c r="M76" s="10">
        <v>1</v>
      </c>
      <c r="N76" s="67" t="s">
        <v>3134</v>
      </c>
      <c r="O76" s="73" t="s">
        <v>3134</v>
      </c>
      <c r="P76" s="65"/>
    </row>
    <row r="77" spans="1:16">
      <c r="A77" s="15">
        <v>74</v>
      </c>
      <c r="B77" s="16" t="s">
        <v>3199</v>
      </c>
      <c r="C77" s="16">
        <v>402</v>
      </c>
      <c r="D77" s="17" t="s">
        <v>29</v>
      </c>
      <c r="E77" s="18" t="s">
        <v>3201</v>
      </c>
      <c r="F77" s="18" t="s">
        <v>3213</v>
      </c>
      <c r="G77" s="18" t="s">
        <v>3142</v>
      </c>
      <c r="H77" s="192" t="s">
        <v>3214</v>
      </c>
      <c r="I77" s="192">
        <v>20110307</v>
      </c>
      <c r="J77" s="9" t="s">
        <v>3133</v>
      </c>
      <c r="K77" s="60"/>
      <c r="L77" s="65"/>
      <c r="M77" s="10">
        <v>1</v>
      </c>
      <c r="N77" s="67" t="s">
        <v>3134</v>
      </c>
      <c r="O77" s="73" t="s">
        <v>3134</v>
      </c>
      <c r="P77" s="65"/>
    </row>
    <row r="78" spans="1:16">
      <c r="A78" s="15">
        <v>75</v>
      </c>
      <c r="B78" s="16" t="s">
        <v>3199</v>
      </c>
      <c r="C78" s="16">
        <v>403</v>
      </c>
      <c r="D78" s="17" t="s">
        <v>29</v>
      </c>
      <c r="E78" s="18" t="s">
        <v>3201</v>
      </c>
      <c r="F78" s="18" t="s">
        <v>3213</v>
      </c>
      <c r="G78" s="18" t="s">
        <v>3142</v>
      </c>
      <c r="H78" s="192" t="s">
        <v>3215</v>
      </c>
      <c r="I78" s="192">
        <v>20110308</v>
      </c>
      <c r="J78" s="9" t="s">
        <v>3133</v>
      </c>
      <c r="K78" s="60"/>
      <c r="L78" s="65"/>
      <c r="M78" s="10">
        <v>1</v>
      </c>
      <c r="N78" s="67" t="s">
        <v>3134</v>
      </c>
      <c r="O78" s="73" t="s">
        <v>3134</v>
      </c>
      <c r="P78" s="65"/>
    </row>
    <row r="79" spans="1:16">
      <c r="A79" s="15">
        <v>76</v>
      </c>
      <c r="B79" s="16" t="s">
        <v>3199</v>
      </c>
      <c r="C79" s="16">
        <v>501</v>
      </c>
      <c r="D79" s="17" t="s">
        <v>29</v>
      </c>
      <c r="E79" s="18" t="s">
        <v>3201</v>
      </c>
      <c r="F79" s="18" t="s">
        <v>3202</v>
      </c>
      <c r="G79" s="18" t="s">
        <v>3142</v>
      </c>
      <c r="H79" s="192" t="s">
        <v>3216</v>
      </c>
      <c r="I79" s="192">
        <v>20110309</v>
      </c>
      <c r="J79" s="9" t="s">
        <v>3133</v>
      </c>
      <c r="K79" s="60"/>
      <c r="L79" s="65"/>
      <c r="M79" s="10">
        <v>1</v>
      </c>
      <c r="N79" s="67" t="s">
        <v>3134</v>
      </c>
      <c r="O79" s="73" t="s">
        <v>3134</v>
      </c>
      <c r="P79" s="65"/>
    </row>
    <row r="80" spans="1:16">
      <c r="A80" s="15">
        <v>77</v>
      </c>
      <c r="B80" s="16" t="s">
        <v>3199</v>
      </c>
      <c r="C80" s="16">
        <v>502</v>
      </c>
      <c r="D80" s="17" t="s">
        <v>29</v>
      </c>
      <c r="E80" s="18" t="s">
        <v>3201</v>
      </c>
      <c r="F80" s="18" t="s">
        <v>3213</v>
      </c>
      <c r="G80" s="18" t="s">
        <v>3142</v>
      </c>
      <c r="H80" s="192" t="s">
        <v>3217</v>
      </c>
      <c r="I80" s="192">
        <v>20110310</v>
      </c>
      <c r="J80" s="9" t="s">
        <v>3133</v>
      </c>
      <c r="K80" s="60"/>
      <c r="L80" s="65"/>
      <c r="M80" s="10">
        <v>1</v>
      </c>
      <c r="N80" s="67" t="s">
        <v>3134</v>
      </c>
      <c r="O80" s="73" t="s">
        <v>3134</v>
      </c>
      <c r="P80" s="65"/>
    </row>
    <row r="81" spans="1:16">
      <c r="A81" s="15">
        <v>78</v>
      </c>
      <c r="B81" s="16" t="s">
        <v>3199</v>
      </c>
      <c r="C81" s="16">
        <v>503</v>
      </c>
      <c r="D81" s="17" t="s">
        <v>29</v>
      </c>
      <c r="E81" s="18" t="s">
        <v>3201</v>
      </c>
      <c r="F81" s="18" t="s">
        <v>3213</v>
      </c>
      <c r="G81" s="18" t="s">
        <v>3142</v>
      </c>
      <c r="H81" s="192" t="s">
        <v>3218</v>
      </c>
      <c r="I81" s="192">
        <v>20110312</v>
      </c>
      <c r="J81" s="9" t="s">
        <v>3133</v>
      </c>
      <c r="K81" s="60"/>
      <c r="L81" s="65"/>
      <c r="M81" s="10">
        <v>1</v>
      </c>
      <c r="N81" s="67" t="s">
        <v>3134</v>
      </c>
      <c r="O81" s="73" t="s">
        <v>3134</v>
      </c>
      <c r="P81" s="65"/>
    </row>
    <row r="82" spans="1:16">
      <c r="A82" s="15">
        <v>79</v>
      </c>
      <c r="B82" s="16" t="s">
        <v>3199</v>
      </c>
      <c r="C82" s="16">
        <v>601</v>
      </c>
      <c r="D82" s="17" t="s">
        <v>30</v>
      </c>
      <c r="E82" s="18" t="s">
        <v>3201</v>
      </c>
      <c r="F82" s="18" t="s">
        <v>3142</v>
      </c>
      <c r="G82" s="18"/>
      <c r="H82" s="192" t="s">
        <v>3219</v>
      </c>
      <c r="I82" s="192">
        <v>20110313</v>
      </c>
      <c r="J82" s="9" t="s">
        <v>3133</v>
      </c>
      <c r="K82" s="60"/>
      <c r="L82" s="65"/>
      <c r="M82" s="10">
        <v>1</v>
      </c>
      <c r="N82" s="67" t="s">
        <v>3134</v>
      </c>
      <c r="O82" s="73" t="s">
        <v>3134</v>
      </c>
      <c r="P82" s="65"/>
    </row>
    <row r="83" spans="1:16">
      <c r="A83" s="15">
        <v>80</v>
      </c>
      <c r="B83" s="16" t="s">
        <v>3199</v>
      </c>
      <c r="C83" s="16">
        <v>602</v>
      </c>
      <c r="D83" s="17" t="s">
        <v>30</v>
      </c>
      <c r="E83" s="18" t="s">
        <v>3201</v>
      </c>
      <c r="F83" s="18" t="s">
        <v>3142</v>
      </c>
      <c r="G83" s="18"/>
      <c r="H83" s="192" t="s">
        <v>3220</v>
      </c>
      <c r="I83" s="192">
        <v>20110314</v>
      </c>
      <c r="J83" s="9" t="s">
        <v>3133</v>
      </c>
      <c r="K83" s="60"/>
      <c r="L83" s="65"/>
      <c r="M83" s="10">
        <v>1</v>
      </c>
      <c r="N83" s="67" t="s">
        <v>3134</v>
      </c>
      <c r="O83" s="73" t="s">
        <v>3134</v>
      </c>
      <c r="P83" s="65"/>
    </row>
    <row r="84" spans="1:16">
      <c r="A84" s="15">
        <v>81</v>
      </c>
      <c r="B84" s="16" t="s">
        <v>3199</v>
      </c>
      <c r="C84" s="16">
        <v>603</v>
      </c>
      <c r="D84" s="17" t="s">
        <v>30</v>
      </c>
      <c r="E84" s="18" t="s">
        <v>3201</v>
      </c>
      <c r="F84" s="18" t="s">
        <v>3142</v>
      </c>
      <c r="G84" s="18"/>
      <c r="H84" s="192" t="s">
        <v>3221</v>
      </c>
      <c r="I84" s="192">
        <v>20110315</v>
      </c>
      <c r="J84" s="9" t="s">
        <v>3133</v>
      </c>
      <c r="K84" s="60"/>
      <c r="L84" s="65"/>
      <c r="M84" s="10">
        <v>1</v>
      </c>
      <c r="N84" s="67" t="s">
        <v>3134</v>
      </c>
      <c r="O84" s="73" t="s">
        <v>3134</v>
      </c>
      <c r="P84" s="65"/>
    </row>
    <row r="85" spans="1:16">
      <c r="A85" s="15">
        <v>82</v>
      </c>
      <c r="B85" s="16" t="s">
        <v>3199</v>
      </c>
      <c r="C85" s="16" t="s">
        <v>2626</v>
      </c>
      <c r="D85" s="17" t="s">
        <v>30</v>
      </c>
      <c r="E85" s="18" t="s">
        <v>3201</v>
      </c>
      <c r="F85" s="18" t="s">
        <v>3142</v>
      </c>
      <c r="G85" s="18"/>
      <c r="H85" s="192" t="s">
        <v>3204</v>
      </c>
      <c r="I85" s="192">
        <v>18298999</v>
      </c>
      <c r="J85" s="9" t="s">
        <v>3133</v>
      </c>
      <c r="K85" s="60"/>
      <c r="L85" s="65"/>
      <c r="M85" s="10">
        <v>1</v>
      </c>
      <c r="N85" s="67" t="s">
        <v>3134</v>
      </c>
      <c r="O85" s="73" t="s">
        <v>3134</v>
      </c>
      <c r="P85" s="65"/>
    </row>
    <row r="86" spans="1:16">
      <c r="A86" s="15">
        <v>83</v>
      </c>
      <c r="B86" s="16" t="s">
        <v>3222</v>
      </c>
      <c r="C86" s="16" t="s">
        <v>3223</v>
      </c>
      <c r="D86" s="17" t="s">
        <v>30</v>
      </c>
      <c r="E86" s="18" t="s">
        <v>3224</v>
      </c>
      <c r="F86" s="18" t="s">
        <v>3142</v>
      </c>
      <c r="G86" s="18"/>
      <c r="H86" s="192" t="s">
        <v>3225</v>
      </c>
      <c r="I86" s="192"/>
      <c r="J86" s="9" t="s">
        <v>1963</v>
      </c>
      <c r="K86" s="60" t="s">
        <v>3226</v>
      </c>
      <c r="L86" s="65"/>
      <c r="M86" s="10">
        <v>1</v>
      </c>
      <c r="N86" s="67" t="s">
        <v>3134</v>
      </c>
      <c r="O86" s="73" t="s">
        <v>3134</v>
      </c>
      <c r="P86" s="65"/>
    </row>
    <row r="87" spans="1:16">
      <c r="A87" s="15">
        <v>84</v>
      </c>
      <c r="B87" s="16" t="s">
        <v>3222</v>
      </c>
      <c r="C87" s="16">
        <v>101</v>
      </c>
      <c r="D87" s="17" t="s">
        <v>30</v>
      </c>
      <c r="E87" s="18" t="s">
        <v>3227</v>
      </c>
      <c r="F87" s="18" t="s">
        <v>3142</v>
      </c>
      <c r="G87" s="18"/>
      <c r="H87" s="192" t="s">
        <v>3228</v>
      </c>
      <c r="I87" s="192">
        <v>15574079</v>
      </c>
      <c r="J87" s="9" t="s">
        <v>3133</v>
      </c>
      <c r="K87" s="60"/>
      <c r="L87" s="65"/>
      <c r="M87" s="10">
        <v>1</v>
      </c>
      <c r="N87" s="67" t="s">
        <v>3134</v>
      </c>
      <c r="O87" s="73" t="s">
        <v>3134</v>
      </c>
      <c r="P87" s="65"/>
    </row>
    <row r="88" spans="1:16">
      <c r="A88" s="15">
        <v>85</v>
      </c>
      <c r="B88" s="16" t="s">
        <v>3222</v>
      </c>
      <c r="C88" s="16">
        <v>201</v>
      </c>
      <c r="D88" s="17" t="s">
        <v>30</v>
      </c>
      <c r="E88" s="18" t="s">
        <v>3227</v>
      </c>
      <c r="F88" s="18" t="s">
        <v>3142</v>
      </c>
      <c r="G88" s="18"/>
      <c r="H88" s="192" t="s">
        <v>3229</v>
      </c>
      <c r="I88" s="192">
        <v>19743679</v>
      </c>
      <c r="J88" s="9" t="s">
        <v>3133</v>
      </c>
      <c r="K88" s="60"/>
      <c r="L88" s="65"/>
      <c r="M88" s="10">
        <v>1</v>
      </c>
      <c r="N88" s="67" t="s">
        <v>3134</v>
      </c>
      <c r="O88" s="73" t="s">
        <v>3134</v>
      </c>
      <c r="P88" s="65"/>
    </row>
    <row r="89" spans="1:16">
      <c r="A89" s="15">
        <v>86</v>
      </c>
      <c r="B89" s="16" t="s">
        <v>3222</v>
      </c>
      <c r="C89" s="16">
        <v>202</v>
      </c>
      <c r="D89" s="17" t="s">
        <v>30</v>
      </c>
      <c r="E89" s="18" t="s">
        <v>3227</v>
      </c>
      <c r="F89" s="18" t="s">
        <v>3142</v>
      </c>
      <c r="G89" s="18"/>
      <c r="H89" s="192" t="s">
        <v>3230</v>
      </c>
      <c r="I89" s="192">
        <v>19013091</v>
      </c>
      <c r="J89" s="9" t="s">
        <v>3133</v>
      </c>
      <c r="K89" s="60"/>
      <c r="L89" s="65"/>
      <c r="M89" s="10">
        <v>1</v>
      </c>
      <c r="N89" s="67" t="s">
        <v>3134</v>
      </c>
      <c r="O89" s="73" t="s">
        <v>3134</v>
      </c>
      <c r="P89" s="65"/>
    </row>
    <row r="90" spans="1:16">
      <c r="A90" s="15">
        <v>87</v>
      </c>
      <c r="B90" s="16" t="s">
        <v>3222</v>
      </c>
      <c r="C90" s="16">
        <v>301</v>
      </c>
      <c r="D90" s="17" t="s">
        <v>30</v>
      </c>
      <c r="E90" s="18" t="s">
        <v>3227</v>
      </c>
      <c r="F90" s="18" t="s">
        <v>3142</v>
      </c>
      <c r="G90" s="18"/>
      <c r="H90" s="192" t="s">
        <v>3231</v>
      </c>
      <c r="I90" s="192">
        <v>15574213</v>
      </c>
      <c r="J90" s="9" t="s">
        <v>3133</v>
      </c>
      <c r="K90" s="60"/>
      <c r="L90" s="65"/>
      <c r="M90" s="10">
        <v>1</v>
      </c>
      <c r="N90" s="67" t="s">
        <v>3134</v>
      </c>
      <c r="O90" s="73" t="s">
        <v>3134</v>
      </c>
      <c r="P90" s="65"/>
    </row>
    <row r="91" spans="1:16">
      <c r="A91" s="15">
        <v>88</v>
      </c>
      <c r="B91" s="16" t="s">
        <v>3222</v>
      </c>
      <c r="C91" s="16">
        <v>302</v>
      </c>
      <c r="D91" s="17" t="s">
        <v>30</v>
      </c>
      <c r="E91" s="18" t="s">
        <v>3227</v>
      </c>
      <c r="F91" s="18" t="s">
        <v>3142</v>
      </c>
      <c r="G91" s="18"/>
      <c r="H91" s="192" t="s">
        <v>3232</v>
      </c>
      <c r="I91" s="192">
        <v>19966820</v>
      </c>
      <c r="J91" s="9" t="s">
        <v>3133</v>
      </c>
      <c r="K91" s="60"/>
      <c r="L91" s="65"/>
      <c r="M91" s="10">
        <v>1</v>
      </c>
      <c r="N91" s="67" t="s">
        <v>3134</v>
      </c>
      <c r="O91" s="73" t="s">
        <v>3134</v>
      </c>
      <c r="P91" s="65"/>
    </row>
    <row r="92" spans="1:16">
      <c r="A92" s="15">
        <v>89</v>
      </c>
      <c r="B92" s="16" t="s">
        <v>3222</v>
      </c>
      <c r="C92" s="16">
        <v>401</v>
      </c>
      <c r="D92" s="17" t="s">
        <v>30</v>
      </c>
      <c r="E92" s="18" t="s">
        <v>3227</v>
      </c>
      <c r="F92" s="18" t="s">
        <v>3142</v>
      </c>
      <c r="G92" s="18"/>
      <c r="H92" s="192" t="s">
        <v>3233</v>
      </c>
      <c r="I92" s="192">
        <v>19886261</v>
      </c>
      <c r="J92" s="9" t="s">
        <v>3133</v>
      </c>
      <c r="K92" s="60"/>
      <c r="L92" s="65"/>
      <c r="M92" s="10">
        <v>1</v>
      </c>
      <c r="N92" s="67" t="s">
        <v>3134</v>
      </c>
      <c r="O92" s="73" t="s">
        <v>3134</v>
      </c>
      <c r="P92" s="65"/>
    </row>
    <row r="93" spans="1:16">
      <c r="A93" s="15">
        <v>90</v>
      </c>
      <c r="B93" s="16" t="s">
        <v>3222</v>
      </c>
      <c r="C93" s="16">
        <v>402</v>
      </c>
      <c r="D93" s="17" t="s">
        <v>30</v>
      </c>
      <c r="E93" s="18" t="s">
        <v>3227</v>
      </c>
      <c r="F93" s="18" t="s">
        <v>3142</v>
      </c>
      <c r="G93" s="18"/>
      <c r="H93" s="192" t="s">
        <v>3234</v>
      </c>
      <c r="I93" s="192">
        <v>19819430</v>
      </c>
      <c r="J93" s="9" t="s">
        <v>3133</v>
      </c>
      <c r="K93" s="60"/>
      <c r="L93" s="65"/>
      <c r="M93" s="10">
        <v>1</v>
      </c>
      <c r="N93" s="67" t="s">
        <v>3134</v>
      </c>
      <c r="O93" s="73" t="s">
        <v>3134</v>
      </c>
      <c r="P93" s="65"/>
    </row>
    <row r="94" spans="1:16">
      <c r="A94" s="15">
        <v>91</v>
      </c>
      <c r="B94" s="16" t="s">
        <v>3222</v>
      </c>
      <c r="C94" s="16">
        <v>403</v>
      </c>
      <c r="D94" s="17" t="s">
        <v>30</v>
      </c>
      <c r="E94" s="18" t="s">
        <v>3227</v>
      </c>
      <c r="F94" s="18" t="s">
        <v>3142</v>
      </c>
      <c r="G94" s="18"/>
      <c r="H94" s="192" t="s">
        <v>3235</v>
      </c>
      <c r="I94" s="192">
        <v>19668608</v>
      </c>
      <c r="J94" s="9" t="s">
        <v>3133</v>
      </c>
      <c r="K94" s="60"/>
      <c r="L94" s="65"/>
      <c r="M94" s="10">
        <v>1</v>
      </c>
      <c r="N94" s="67" t="s">
        <v>3134</v>
      </c>
      <c r="O94" s="73" t="s">
        <v>3134</v>
      </c>
      <c r="P94" s="65"/>
    </row>
    <row r="95" spans="1:16">
      <c r="A95" s="15">
        <v>92</v>
      </c>
      <c r="B95" s="16" t="s">
        <v>3222</v>
      </c>
      <c r="C95" s="16">
        <v>501</v>
      </c>
      <c r="D95" s="17" t="s">
        <v>30</v>
      </c>
      <c r="E95" s="18" t="s">
        <v>3227</v>
      </c>
      <c r="F95" s="18" t="s">
        <v>3142</v>
      </c>
      <c r="G95" s="18"/>
      <c r="H95" s="192" t="s">
        <v>3236</v>
      </c>
      <c r="I95" s="192">
        <v>19966821</v>
      </c>
      <c r="J95" s="9" t="s">
        <v>3133</v>
      </c>
      <c r="K95" s="60"/>
      <c r="L95" s="65"/>
      <c r="M95" s="10">
        <v>1</v>
      </c>
      <c r="N95" s="67" t="s">
        <v>3134</v>
      </c>
      <c r="O95" s="73" t="s">
        <v>3134</v>
      </c>
      <c r="P95" s="65"/>
    </row>
    <row r="96" spans="1:16">
      <c r="A96" s="15">
        <v>93</v>
      </c>
      <c r="B96" s="16" t="s">
        <v>3237</v>
      </c>
      <c r="C96" s="16">
        <v>101</v>
      </c>
      <c r="D96" s="17" t="s">
        <v>30</v>
      </c>
      <c r="E96" s="18" t="s">
        <v>1996</v>
      </c>
      <c r="F96" s="18" t="s">
        <v>3142</v>
      </c>
      <c r="G96" s="18"/>
      <c r="H96" s="192" t="s">
        <v>3238</v>
      </c>
      <c r="I96" s="192">
        <v>6005170064</v>
      </c>
      <c r="J96" s="9" t="s">
        <v>3133</v>
      </c>
      <c r="K96" s="60"/>
      <c r="L96" s="65"/>
      <c r="M96" s="10">
        <v>1</v>
      </c>
      <c r="N96" s="67" t="s">
        <v>3134</v>
      </c>
      <c r="O96" s="73" t="s">
        <v>3134</v>
      </c>
      <c r="P96" s="65"/>
    </row>
    <row r="97" spans="1:16">
      <c r="A97" s="15">
        <v>94</v>
      </c>
      <c r="B97" s="16" t="s">
        <v>3237</v>
      </c>
      <c r="C97" s="16">
        <v>102</v>
      </c>
      <c r="D97" s="17" t="s">
        <v>30</v>
      </c>
      <c r="E97" s="18" t="s">
        <v>1996</v>
      </c>
      <c r="F97" s="18" t="s">
        <v>3142</v>
      </c>
      <c r="G97" s="18"/>
      <c r="H97" s="192" t="s">
        <v>3239</v>
      </c>
      <c r="I97" s="192">
        <v>6004815459</v>
      </c>
      <c r="J97" s="9" t="s">
        <v>3133</v>
      </c>
      <c r="K97" s="60"/>
      <c r="L97" s="65"/>
      <c r="M97" s="10">
        <v>1</v>
      </c>
      <c r="N97" s="67" t="s">
        <v>3134</v>
      </c>
      <c r="O97" s="73" t="s">
        <v>3134</v>
      </c>
      <c r="P97" s="65"/>
    </row>
    <row r="98" spans="1:16">
      <c r="A98" s="15">
        <v>95</v>
      </c>
      <c r="B98" s="16" t="s">
        <v>3237</v>
      </c>
      <c r="C98" s="16">
        <v>103</v>
      </c>
      <c r="D98" s="17" t="s">
        <v>30</v>
      </c>
      <c r="E98" s="18" t="s">
        <v>1996</v>
      </c>
      <c r="F98" s="18" t="s">
        <v>3142</v>
      </c>
      <c r="G98" s="18"/>
      <c r="H98" s="192" t="s">
        <v>3240</v>
      </c>
      <c r="I98" s="192">
        <v>6004815461</v>
      </c>
      <c r="J98" s="9" t="s">
        <v>3133</v>
      </c>
      <c r="K98" s="60"/>
      <c r="L98" s="65"/>
      <c r="M98" s="10">
        <v>1</v>
      </c>
      <c r="N98" s="67" t="s">
        <v>3134</v>
      </c>
      <c r="O98" s="73" t="s">
        <v>3134</v>
      </c>
      <c r="P98" s="65"/>
    </row>
    <row r="99" spans="1:16">
      <c r="A99" s="15">
        <v>96</v>
      </c>
      <c r="B99" s="16" t="s">
        <v>3237</v>
      </c>
      <c r="C99" s="16">
        <v>104</v>
      </c>
      <c r="D99" s="17" t="s">
        <v>30</v>
      </c>
      <c r="E99" s="18" t="s">
        <v>1996</v>
      </c>
      <c r="F99" s="18" t="s">
        <v>3142</v>
      </c>
      <c r="G99" s="18"/>
      <c r="H99" s="192" t="s">
        <v>3241</v>
      </c>
      <c r="I99" s="192">
        <v>6004815462</v>
      </c>
      <c r="J99" s="9" t="s">
        <v>3133</v>
      </c>
      <c r="K99" s="60"/>
      <c r="L99" s="65"/>
      <c r="M99" s="10">
        <v>1</v>
      </c>
      <c r="N99" s="67" t="s">
        <v>3134</v>
      </c>
      <c r="O99" s="73" t="s">
        <v>3134</v>
      </c>
      <c r="P99" s="65"/>
    </row>
    <row r="100" spans="1:16">
      <c r="A100" s="15">
        <v>97</v>
      </c>
      <c r="B100" s="16" t="s">
        <v>3237</v>
      </c>
      <c r="C100" s="16">
        <v>105</v>
      </c>
      <c r="D100" s="17" t="s">
        <v>30</v>
      </c>
      <c r="E100" s="18" t="s">
        <v>1996</v>
      </c>
      <c r="F100" s="18" t="s">
        <v>3142</v>
      </c>
      <c r="G100" s="18"/>
      <c r="H100" s="192" t="s">
        <v>3242</v>
      </c>
      <c r="I100" s="192">
        <v>6004815463</v>
      </c>
      <c r="J100" s="9" t="s">
        <v>3133</v>
      </c>
      <c r="K100" s="60"/>
      <c r="L100" s="65"/>
      <c r="M100" s="10">
        <v>1</v>
      </c>
      <c r="N100" s="67" t="s">
        <v>3134</v>
      </c>
      <c r="O100" s="73" t="s">
        <v>3134</v>
      </c>
      <c r="P100" s="65"/>
    </row>
    <row r="101" spans="1:16">
      <c r="A101" s="15">
        <v>98</v>
      </c>
      <c r="B101" s="16" t="s">
        <v>3237</v>
      </c>
      <c r="C101" s="16">
        <v>106</v>
      </c>
      <c r="D101" s="17" t="s">
        <v>30</v>
      </c>
      <c r="E101" s="18" t="s">
        <v>1996</v>
      </c>
      <c r="F101" s="18" t="s">
        <v>3142</v>
      </c>
      <c r="G101" s="18"/>
      <c r="H101" s="192" t="s">
        <v>3243</v>
      </c>
      <c r="I101" s="192">
        <v>6004815465</v>
      </c>
      <c r="J101" s="9" t="s">
        <v>3133</v>
      </c>
      <c r="K101" s="60"/>
      <c r="L101" s="65"/>
      <c r="M101" s="10">
        <v>1</v>
      </c>
      <c r="N101" s="67" t="s">
        <v>3134</v>
      </c>
      <c r="O101" s="73" t="s">
        <v>3134</v>
      </c>
      <c r="P101" s="65"/>
    </row>
    <row r="102" spans="1:16">
      <c r="A102" s="15">
        <v>99</v>
      </c>
      <c r="B102" s="16" t="s">
        <v>3237</v>
      </c>
      <c r="C102" s="16">
        <v>107</v>
      </c>
      <c r="D102" s="17" t="s">
        <v>30</v>
      </c>
      <c r="E102" s="18" t="s">
        <v>1996</v>
      </c>
      <c r="F102" s="18" t="s">
        <v>3142</v>
      </c>
      <c r="G102" s="18"/>
      <c r="H102" s="192" t="s">
        <v>3244</v>
      </c>
      <c r="I102" s="192">
        <v>6005299055</v>
      </c>
      <c r="J102" s="9" t="s">
        <v>3133</v>
      </c>
      <c r="K102" s="60"/>
      <c r="L102" s="65"/>
      <c r="M102" s="10">
        <v>1</v>
      </c>
      <c r="N102" s="67" t="s">
        <v>3134</v>
      </c>
      <c r="O102" s="73" t="s">
        <v>3134</v>
      </c>
      <c r="P102" s="65"/>
    </row>
    <row r="103" spans="1:16">
      <c r="A103" s="15">
        <v>100</v>
      </c>
      <c r="B103" s="16" t="s">
        <v>3237</v>
      </c>
      <c r="C103" s="16">
        <v>201</v>
      </c>
      <c r="D103" s="17" t="s">
        <v>30</v>
      </c>
      <c r="E103" s="18" t="s">
        <v>1996</v>
      </c>
      <c r="F103" s="18" t="s">
        <v>3142</v>
      </c>
      <c r="G103" s="18"/>
      <c r="H103" s="192" t="s">
        <v>3245</v>
      </c>
      <c r="I103" s="192">
        <v>6004815467</v>
      </c>
      <c r="J103" s="9" t="s">
        <v>3133</v>
      </c>
      <c r="K103" s="60"/>
      <c r="L103" s="65"/>
      <c r="M103" s="10">
        <v>1</v>
      </c>
      <c r="N103" s="67" t="s">
        <v>3134</v>
      </c>
      <c r="O103" s="73" t="s">
        <v>3134</v>
      </c>
      <c r="P103" s="65"/>
    </row>
    <row r="104" spans="1:16">
      <c r="A104" s="15">
        <v>101</v>
      </c>
      <c r="B104" s="16" t="s">
        <v>3237</v>
      </c>
      <c r="C104" s="16">
        <v>202</v>
      </c>
      <c r="D104" s="17" t="s">
        <v>30</v>
      </c>
      <c r="E104" s="18" t="s">
        <v>1996</v>
      </c>
      <c r="F104" s="18" t="s">
        <v>3142</v>
      </c>
      <c r="G104" s="18"/>
      <c r="H104" s="192" t="s">
        <v>3246</v>
      </c>
      <c r="I104" s="192">
        <v>6004815473</v>
      </c>
      <c r="J104" s="9" t="s">
        <v>3133</v>
      </c>
      <c r="K104" s="60"/>
      <c r="L104" s="65"/>
      <c r="M104" s="10">
        <v>1</v>
      </c>
      <c r="N104" s="67" t="s">
        <v>3134</v>
      </c>
      <c r="O104" s="73" t="s">
        <v>3134</v>
      </c>
      <c r="P104" s="65"/>
    </row>
    <row r="105" spans="1:16">
      <c r="A105" s="15">
        <v>102</v>
      </c>
      <c r="B105" s="16" t="s">
        <v>3237</v>
      </c>
      <c r="C105" s="16">
        <v>203</v>
      </c>
      <c r="D105" s="17" t="s">
        <v>30</v>
      </c>
      <c r="E105" s="18" t="s">
        <v>1996</v>
      </c>
      <c r="F105" s="18" t="s">
        <v>3142</v>
      </c>
      <c r="G105" s="18"/>
      <c r="H105" s="192" t="s">
        <v>3247</v>
      </c>
      <c r="I105" s="192">
        <v>6005116966</v>
      </c>
      <c r="J105" s="9" t="s">
        <v>3133</v>
      </c>
      <c r="K105" s="60"/>
      <c r="L105" s="65"/>
      <c r="M105" s="10">
        <v>1</v>
      </c>
      <c r="N105" s="67" t="s">
        <v>3134</v>
      </c>
      <c r="O105" s="73" t="s">
        <v>3134</v>
      </c>
      <c r="P105" s="65"/>
    </row>
    <row r="106" spans="1:16">
      <c r="A106" s="15">
        <v>103</v>
      </c>
      <c r="B106" s="16" t="s">
        <v>3237</v>
      </c>
      <c r="C106" s="16">
        <v>204</v>
      </c>
      <c r="D106" s="17" t="s">
        <v>30</v>
      </c>
      <c r="E106" s="18" t="s">
        <v>1996</v>
      </c>
      <c r="F106" s="18" t="s">
        <v>3142</v>
      </c>
      <c r="G106" s="18"/>
      <c r="H106" s="192" t="s">
        <v>3248</v>
      </c>
      <c r="I106" s="192">
        <v>6004815481</v>
      </c>
      <c r="J106" s="9" t="s">
        <v>3133</v>
      </c>
      <c r="K106" s="60"/>
      <c r="L106" s="65"/>
      <c r="M106" s="10">
        <v>1</v>
      </c>
      <c r="N106" s="67" t="s">
        <v>3134</v>
      </c>
      <c r="O106" s="73" t="s">
        <v>3134</v>
      </c>
      <c r="P106" s="65"/>
    </row>
    <row r="107" spans="1:16">
      <c r="A107" s="15">
        <v>104</v>
      </c>
      <c r="B107" s="16" t="s">
        <v>3237</v>
      </c>
      <c r="C107" s="16">
        <v>205</v>
      </c>
      <c r="D107" s="17" t="s">
        <v>30</v>
      </c>
      <c r="E107" s="18" t="s">
        <v>1996</v>
      </c>
      <c r="F107" s="18" t="s">
        <v>3142</v>
      </c>
      <c r="G107" s="18"/>
      <c r="H107" s="192" t="s">
        <v>3249</v>
      </c>
      <c r="I107" s="192">
        <v>6004815485</v>
      </c>
      <c r="J107" s="9" t="s">
        <v>3133</v>
      </c>
      <c r="K107" s="60"/>
      <c r="L107" s="65"/>
      <c r="M107" s="10">
        <v>1</v>
      </c>
      <c r="N107" s="67" t="s">
        <v>3134</v>
      </c>
      <c r="O107" s="73" t="s">
        <v>3134</v>
      </c>
      <c r="P107" s="65"/>
    </row>
    <row r="108" spans="1:16">
      <c r="A108" s="15">
        <v>105</v>
      </c>
      <c r="B108" s="16" t="s">
        <v>3237</v>
      </c>
      <c r="C108" s="16">
        <v>301</v>
      </c>
      <c r="D108" s="17" t="s">
        <v>30</v>
      </c>
      <c r="E108" s="18" t="s">
        <v>1996</v>
      </c>
      <c r="F108" s="18" t="s">
        <v>3142</v>
      </c>
      <c r="G108" s="18"/>
      <c r="H108" s="192" t="s">
        <v>3250</v>
      </c>
      <c r="I108" s="192">
        <v>6004815487</v>
      </c>
      <c r="J108" s="9" t="s">
        <v>3133</v>
      </c>
      <c r="K108" s="60"/>
      <c r="L108" s="65"/>
      <c r="M108" s="10">
        <v>1</v>
      </c>
      <c r="N108" s="67" t="s">
        <v>3134</v>
      </c>
      <c r="O108" s="73" t="s">
        <v>3134</v>
      </c>
      <c r="P108" s="65"/>
    </row>
    <row r="109" spans="1:16">
      <c r="A109" s="15">
        <v>106</v>
      </c>
      <c r="B109" s="16" t="s">
        <v>3237</v>
      </c>
      <c r="C109" s="16">
        <v>302</v>
      </c>
      <c r="D109" s="17" t="s">
        <v>30</v>
      </c>
      <c r="E109" s="18" t="s">
        <v>1996</v>
      </c>
      <c r="F109" s="18" t="s">
        <v>3142</v>
      </c>
      <c r="G109" s="18"/>
      <c r="H109" s="192" t="s">
        <v>3251</v>
      </c>
      <c r="I109" s="192">
        <v>6004815488</v>
      </c>
      <c r="J109" s="9" t="s">
        <v>3133</v>
      </c>
      <c r="K109" s="60"/>
      <c r="L109" s="65"/>
      <c r="M109" s="10">
        <v>1</v>
      </c>
      <c r="N109" s="67" t="s">
        <v>3134</v>
      </c>
      <c r="O109" s="73" t="s">
        <v>3134</v>
      </c>
      <c r="P109" s="65"/>
    </row>
    <row r="110" spans="1:16">
      <c r="A110" s="15">
        <v>107</v>
      </c>
      <c r="B110" s="16" t="s">
        <v>3237</v>
      </c>
      <c r="C110" s="16">
        <v>303</v>
      </c>
      <c r="D110" s="17" t="s">
        <v>30</v>
      </c>
      <c r="E110" s="18" t="s">
        <v>1996</v>
      </c>
      <c r="F110" s="18" t="s">
        <v>3142</v>
      </c>
      <c r="G110" s="18"/>
      <c r="H110" s="192" t="s">
        <v>3252</v>
      </c>
      <c r="I110" s="192">
        <v>6004815489</v>
      </c>
      <c r="J110" s="9" t="s">
        <v>3133</v>
      </c>
      <c r="K110" s="60"/>
      <c r="L110" s="65"/>
      <c r="M110" s="10">
        <v>1</v>
      </c>
      <c r="N110" s="67" t="s">
        <v>3134</v>
      </c>
      <c r="O110" s="73" t="s">
        <v>3134</v>
      </c>
      <c r="P110" s="65"/>
    </row>
    <row r="111" spans="1:16">
      <c r="A111" s="15">
        <v>108</v>
      </c>
      <c r="B111" s="16" t="s">
        <v>3237</v>
      </c>
      <c r="C111" s="16">
        <v>304</v>
      </c>
      <c r="D111" s="17" t="s">
        <v>30</v>
      </c>
      <c r="E111" s="18" t="s">
        <v>1996</v>
      </c>
      <c r="F111" s="18" t="s">
        <v>3142</v>
      </c>
      <c r="G111" s="18"/>
      <c r="H111" s="192" t="s">
        <v>3253</v>
      </c>
      <c r="I111" s="192">
        <v>6004815504</v>
      </c>
      <c r="J111" s="9" t="s">
        <v>3133</v>
      </c>
      <c r="K111" s="60"/>
      <c r="L111" s="65"/>
      <c r="M111" s="10">
        <v>1</v>
      </c>
      <c r="N111" s="67" t="s">
        <v>3134</v>
      </c>
      <c r="O111" s="73" t="s">
        <v>3134</v>
      </c>
      <c r="P111" s="65"/>
    </row>
    <row r="112" spans="1:16">
      <c r="A112" s="15">
        <v>109</v>
      </c>
      <c r="B112" s="16" t="s">
        <v>3237</v>
      </c>
      <c r="C112" s="16">
        <v>305</v>
      </c>
      <c r="D112" s="17" t="s">
        <v>30</v>
      </c>
      <c r="E112" s="18" t="s">
        <v>1996</v>
      </c>
      <c r="F112" s="18" t="s">
        <v>3142</v>
      </c>
      <c r="G112" s="18"/>
      <c r="H112" s="192" t="s">
        <v>3254</v>
      </c>
      <c r="I112" s="192">
        <v>6004815505</v>
      </c>
      <c r="J112" s="9" t="s">
        <v>3133</v>
      </c>
      <c r="K112" s="60"/>
      <c r="L112" s="65"/>
      <c r="M112" s="10">
        <v>1</v>
      </c>
      <c r="N112" s="67" t="s">
        <v>3134</v>
      </c>
      <c r="O112" s="73" t="s">
        <v>3134</v>
      </c>
      <c r="P112" s="65"/>
    </row>
    <row r="113" spans="1:16">
      <c r="A113" s="15">
        <v>110</v>
      </c>
      <c r="B113" s="16" t="s">
        <v>3237</v>
      </c>
      <c r="C113" s="16">
        <v>401</v>
      </c>
      <c r="D113" s="17" t="s">
        <v>30</v>
      </c>
      <c r="E113" s="18" t="s">
        <v>1996</v>
      </c>
      <c r="F113" s="18" t="s">
        <v>3142</v>
      </c>
      <c r="G113" s="18"/>
      <c r="H113" s="192" t="s">
        <v>3255</v>
      </c>
      <c r="I113" s="192">
        <v>6004815507</v>
      </c>
      <c r="J113" s="9" t="s">
        <v>3133</v>
      </c>
      <c r="K113" s="60"/>
      <c r="L113" s="65"/>
      <c r="M113" s="10">
        <v>1</v>
      </c>
      <c r="N113" s="67" t="s">
        <v>3134</v>
      </c>
      <c r="O113" s="73" t="s">
        <v>3134</v>
      </c>
      <c r="P113" s="65"/>
    </row>
    <row r="114" spans="1:16">
      <c r="A114" s="15">
        <v>111</v>
      </c>
      <c r="B114" s="16" t="s">
        <v>3237</v>
      </c>
      <c r="C114" s="16">
        <v>402</v>
      </c>
      <c r="D114" s="17" t="s">
        <v>30</v>
      </c>
      <c r="E114" s="18" t="s">
        <v>1996</v>
      </c>
      <c r="F114" s="18" t="s">
        <v>3142</v>
      </c>
      <c r="G114" s="18"/>
      <c r="H114" s="192" t="s">
        <v>3256</v>
      </c>
      <c r="I114" s="192">
        <v>6004815508</v>
      </c>
      <c r="J114" s="9" t="s">
        <v>3133</v>
      </c>
      <c r="K114" s="60"/>
      <c r="L114" s="65"/>
      <c r="M114" s="10">
        <v>1</v>
      </c>
      <c r="N114" s="67" t="s">
        <v>3134</v>
      </c>
      <c r="O114" s="73" t="s">
        <v>3134</v>
      </c>
      <c r="P114" s="65"/>
    </row>
    <row r="115" spans="1:16">
      <c r="A115" s="15">
        <v>112</v>
      </c>
      <c r="B115" s="16" t="s">
        <v>3237</v>
      </c>
      <c r="C115" s="16">
        <v>403</v>
      </c>
      <c r="D115" s="17" t="s">
        <v>30</v>
      </c>
      <c r="E115" s="18" t="s">
        <v>1996</v>
      </c>
      <c r="F115" s="18" t="s">
        <v>3142</v>
      </c>
      <c r="G115" s="18"/>
      <c r="H115" s="192" t="s">
        <v>3257</v>
      </c>
      <c r="I115" s="192">
        <v>6004815509</v>
      </c>
      <c r="J115" s="9" t="s">
        <v>3133</v>
      </c>
      <c r="K115" s="60"/>
      <c r="L115" s="65"/>
      <c r="M115" s="10">
        <v>1</v>
      </c>
      <c r="N115" s="67" t="s">
        <v>3134</v>
      </c>
      <c r="O115" s="73" t="s">
        <v>3134</v>
      </c>
      <c r="P115" s="65"/>
    </row>
    <row r="116" spans="1:16">
      <c r="A116" s="15">
        <v>113</v>
      </c>
      <c r="B116" s="16" t="s">
        <v>3237</v>
      </c>
      <c r="C116" s="16">
        <v>404</v>
      </c>
      <c r="D116" s="17" t="s">
        <v>30</v>
      </c>
      <c r="E116" s="18" t="s">
        <v>1996</v>
      </c>
      <c r="F116" s="18" t="s">
        <v>3142</v>
      </c>
      <c r="G116" s="18"/>
      <c r="H116" s="192" t="s">
        <v>3258</v>
      </c>
      <c r="I116" s="192">
        <v>6004815511</v>
      </c>
      <c r="J116" s="9" t="s">
        <v>3133</v>
      </c>
      <c r="K116" s="60"/>
      <c r="L116" s="65"/>
      <c r="M116" s="10">
        <v>1</v>
      </c>
      <c r="N116" s="67" t="s">
        <v>3134</v>
      </c>
      <c r="O116" s="73" t="s">
        <v>3134</v>
      </c>
      <c r="P116" s="65"/>
    </row>
    <row r="117" spans="1:16">
      <c r="A117" s="15">
        <v>114</v>
      </c>
      <c r="B117" s="16" t="s">
        <v>3237</v>
      </c>
      <c r="C117" s="16">
        <v>405</v>
      </c>
      <c r="D117" s="17" t="s">
        <v>30</v>
      </c>
      <c r="E117" s="18" t="s">
        <v>1996</v>
      </c>
      <c r="F117" s="18" t="s">
        <v>3142</v>
      </c>
      <c r="G117" s="18"/>
      <c r="H117" s="192" t="s">
        <v>3259</v>
      </c>
      <c r="I117" s="192">
        <v>6004815518</v>
      </c>
      <c r="J117" s="9" t="s">
        <v>3133</v>
      </c>
      <c r="K117" s="60"/>
      <c r="L117" s="65"/>
      <c r="M117" s="10">
        <v>1</v>
      </c>
      <c r="N117" s="67" t="s">
        <v>3134</v>
      </c>
      <c r="O117" s="73" t="s">
        <v>3134</v>
      </c>
      <c r="P117" s="65"/>
    </row>
    <row r="118" spans="1:16">
      <c r="A118" s="15">
        <v>115</v>
      </c>
      <c r="B118" s="16" t="s">
        <v>3237</v>
      </c>
      <c r="C118" s="16">
        <v>501</v>
      </c>
      <c r="D118" s="17" t="s">
        <v>30</v>
      </c>
      <c r="E118" s="18" t="s">
        <v>1996</v>
      </c>
      <c r="F118" s="18" t="s">
        <v>3142</v>
      </c>
      <c r="G118" s="18"/>
      <c r="H118" s="192" t="s">
        <v>3260</v>
      </c>
      <c r="I118" s="192">
        <v>6006358227</v>
      </c>
      <c r="J118" s="9" t="s">
        <v>3133</v>
      </c>
      <c r="K118" s="60"/>
      <c r="L118" s="65"/>
      <c r="M118" s="10">
        <v>1</v>
      </c>
      <c r="N118" s="67" t="s">
        <v>3134</v>
      </c>
      <c r="O118" s="73" t="s">
        <v>3134</v>
      </c>
      <c r="P118" s="65"/>
    </row>
    <row r="119" spans="1:16">
      <c r="A119" s="15">
        <v>116</v>
      </c>
      <c r="B119" s="16" t="s">
        <v>3261</v>
      </c>
      <c r="C119" s="16">
        <v>201</v>
      </c>
      <c r="D119" s="17" t="s">
        <v>29</v>
      </c>
      <c r="E119" s="18" t="s">
        <v>3262</v>
      </c>
      <c r="F119" s="18" t="s">
        <v>3263</v>
      </c>
      <c r="G119" s="18" t="s">
        <v>3142</v>
      </c>
      <c r="H119" s="192" t="s">
        <v>3264</v>
      </c>
      <c r="I119" s="192">
        <v>17655397</v>
      </c>
      <c r="J119" s="9" t="s">
        <v>3133</v>
      </c>
      <c r="K119" s="60"/>
      <c r="L119" s="65"/>
      <c r="M119" s="10">
        <v>1</v>
      </c>
      <c r="N119" s="67" t="s">
        <v>3134</v>
      </c>
      <c r="O119" s="73" t="s">
        <v>3134</v>
      </c>
      <c r="P119" s="65"/>
    </row>
    <row r="120" spans="1:16">
      <c r="A120" s="15">
        <v>117</v>
      </c>
      <c r="B120" s="16" t="s">
        <v>3261</v>
      </c>
      <c r="C120" s="16">
        <v>202</v>
      </c>
      <c r="D120" s="17" t="s">
        <v>29</v>
      </c>
      <c r="E120" s="18" t="s">
        <v>3262</v>
      </c>
      <c r="F120" s="18" t="s">
        <v>3263</v>
      </c>
      <c r="G120" s="18" t="s">
        <v>3142</v>
      </c>
      <c r="H120" s="192" t="s">
        <v>3265</v>
      </c>
      <c r="I120" s="192">
        <v>20195967</v>
      </c>
      <c r="J120" s="9" t="s">
        <v>3133</v>
      </c>
      <c r="K120" s="60"/>
      <c r="L120" s="65"/>
      <c r="M120" s="10">
        <v>1</v>
      </c>
      <c r="N120" s="67" t="s">
        <v>3134</v>
      </c>
      <c r="O120" s="73" t="s">
        <v>3134</v>
      </c>
      <c r="P120" s="65"/>
    </row>
    <row r="121" spans="1:16">
      <c r="A121" s="15">
        <v>118</v>
      </c>
      <c r="B121" s="16" t="s">
        <v>3261</v>
      </c>
      <c r="C121" s="16">
        <v>203</v>
      </c>
      <c r="D121" s="17" t="s">
        <v>29</v>
      </c>
      <c r="E121" s="18" t="s">
        <v>3262</v>
      </c>
      <c r="F121" s="18" t="s">
        <v>3263</v>
      </c>
      <c r="G121" s="18" t="s">
        <v>3142</v>
      </c>
      <c r="H121" s="192" t="s">
        <v>3266</v>
      </c>
      <c r="I121" s="192">
        <v>20651129</v>
      </c>
      <c r="J121" s="9" t="s">
        <v>3133</v>
      </c>
      <c r="K121" s="60"/>
      <c r="L121" s="65"/>
      <c r="M121" s="10">
        <v>1</v>
      </c>
      <c r="N121" s="67" t="s">
        <v>3134</v>
      </c>
      <c r="O121" s="73" t="s">
        <v>3134</v>
      </c>
      <c r="P121" s="65"/>
    </row>
    <row r="122" spans="1:16">
      <c r="A122" s="15">
        <v>119</v>
      </c>
      <c r="B122" s="16" t="s">
        <v>3261</v>
      </c>
      <c r="C122" s="16">
        <v>204</v>
      </c>
      <c r="D122" s="17" t="s">
        <v>29</v>
      </c>
      <c r="E122" s="18" t="s">
        <v>3262</v>
      </c>
      <c r="F122" s="18" t="s">
        <v>3263</v>
      </c>
      <c r="G122" s="18" t="s">
        <v>3142</v>
      </c>
      <c r="H122" s="192" t="s">
        <v>3267</v>
      </c>
      <c r="I122" s="192">
        <v>19345421</v>
      </c>
      <c r="J122" s="9" t="s">
        <v>3133</v>
      </c>
      <c r="K122" s="60"/>
      <c r="L122" s="65"/>
      <c r="M122" s="10">
        <v>1</v>
      </c>
      <c r="N122" s="67" t="s">
        <v>3134</v>
      </c>
      <c r="O122" s="73" t="s">
        <v>3134</v>
      </c>
      <c r="P122" s="65"/>
    </row>
    <row r="123" spans="1:16">
      <c r="A123" s="15">
        <v>120</v>
      </c>
      <c r="B123" s="16" t="s">
        <v>3261</v>
      </c>
      <c r="C123" s="16">
        <v>301</v>
      </c>
      <c r="D123" s="17" t="s">
        <v>29</v>
      </c>
      <c r="E123" s="18" t="s">
        <v>3262</v>
      </c>
      <c r="F123" s="18" t="s">
        <v>3263</v>
      </c>
      <c r="G123" s="18" t="s">
        <v>3142</v>
      </c>
      <c r="H123" s="192" t="s">
        <v>3268</v>
      </c>
      <c r="I123" s="192">
        <v>20382227</v>
      </c>
      <c r="J123" s="9" t="s">
        <v>3133</v>
      </c>
      <c r="K123" s="60"/>
      <c r="L123" s="65"/>
      <c r="M123" s="10">
        <v>1</v>
      </c>
      <c r="N123" s="67" t="s">
        <v>3134</v>
      </c>
      <c r="O123" s="73" t="s">
        <v>3134</v>
      </c>
      <c r="P123" s="65"/>
    </row>
    <row r="124" spans="1:16">
      <c r="A124" s="15">
        <v>121</v>
      </c>
      <c r="B124" s="16" t="s">
        <v>3261</v>
      </c>
      <c r="C124" s="16">
        <v>302</v>
      </c>
      <c r="D124" s="17" t="s">
        <v>29</v>
      </c>
      <c r="E124" s="18" t="s">
        <v>3262</v>
      </c>
      <c r="F124" s="18" t="s">
        <v>3263</v>
      </c>
      <c r="G124" s="18" t="s">
        <v>3142</v>
      </c>
      <c r="H124" s="192" t="s">
        <v>3269</v>
      </c>
      <c r="I124" s="192">
        <v>17495777</v>
      </c>
      <c r="J124" s="9" t="s">
        <v>3133</v>
      </c>
      <c r="K124" s="60"/>
      <c r="L124" s="65"/>
      <c r="M124" s="10">
        <v>1</v>
      </c>
      <c r="N124" s="67" t="s">
        <v>3134</v>
      </c>
      <c r="O124" s="73" t="s">
        <v>3134</v>
      </c>
      <c r="P124" s="65"/>
    </row>
    <row r="125" spans="1:16">
      <c r="A125" s="15">
        <v>122</v>
      </c>
      <c r="B125" s="16" t="s">
        <v>3261</v>
      </c>
      <c r="C125" s="16">
        <v>303</v>
      </c>
      <c r="D125" s="17" t="s">
        <v>29</v>
      </c>
      <c r="E125" s="18" t="s">
        <v>3262</v>
      </c>
      <c r="F125" s="18" t="s">
        <v>3263</v>
      </c>
      <c r="G125" s="18" t="s">
        <v>3142</v>
      </c>
      <c r="H125" s="192" t="s">
        <v>3270</v>
      </c>
      <c r="I125" s="192">
        <v>17818942</v>
      </c>
      <c r="J125" s="9" t="s">
        <v>3133</v>
      </c>
      <c r="K125" s="60"/>
      <c r="L125" s="65"/>
      <c r="M125" s="10">
        <v>1</v>
      </c>
      <c r="N125" s="67" t="s">
        <v>3134</v>
      </c>
      <c r="O125" s="73" t="s">
        <v>3134</v>
      </c>
      <c r="P125" s="65"/>
    </row>
    <row r="126" spans="1:16">
      <c r="A126" s="15">
        <v>123</v>
      </c>
      <c r="B126" s="16" t="s">
        <v>3261</v>
      </c>
      <c r="C126" s="16">
        <v>304</v>
      </c>
      <c r="D126" s="17" t="s">
        <v>29</v>
      </c>
      <c r="E126" s="18" t="s">
        <v>3262</v>
      </c>
      <c r="F126" s="18" t="s">
        <v>3263</v>
      </c>
      <c r="G126" s="18" t="s">
        <v>3142</v>
      </c>
      <c r="H126" s="192" t="s">
        <v>3271</v>
      </c>
      <c r="I126" s="192">
        <v>23861387</v>
      </c>
      <c r="J126" s="9" t="s">
        <v>3133</v>
      </c>
      <c r="K126" s="60"/>
      <c r="L126" s="65"/>
      <c r="M126" s="10">
        <v>1</v>
      </c>
      <c r="N126" s="67" t="s">
        <v>3134</v>
      </c>
      <c r="O126" s="73" t="s">
        <v>3134</v>
      </c>
      <c r="P126" s="65"/>
    </row>
    <row r="127" spans="1:16">
      <c r="A127" s="15">
        <v>124</v>
      </c>
      <c r="B127" s="16" t="s">
        <v>3261</v>
      </c>
      <c r="C127" s="16">
        <v>401</v>
      </c>
      <c r="D127" s="17" t="s">
        <v>29</v>
      </c>
      <c r="E127" s="18" t="s">
        <v>3262</v>
      </c>
      <c r="F127" s="18" t="s">
        <v>3263</v>
      </c>
      <c r="G127" s="18" t="s">
        <v>3142</v>
      </c>
      <c r="H127" s="192" t="s">
        <v>3272</v>
      </c>
      <c r="I127" s="192">
        <v>17655398</v>
      </c>
      <c r="J127" s="9" t="s">
        <v>3133</v>
      </c>
      <c r="K127" s="60"/>
      <c r="L127" s="65"/>
      <c r="M127" s="10">
        <v>1</v>
      </c>
      <c r="N127" s="67" t="s">
        <v>3134</v>
      </c>
      <c r="O127" s="73" t="s">
        <v>3134</v>
      </c>
      <c r="P127" s="65"/>
    </row>
    <row r="128" spans="1:16">
      <c r="A128" s="15">
        <v>125</v>
      </c>
      <c r="B128" s="16" t="s">
        <v>3261</v>
      </c>
      <c r="C128" s="16">
        <v>402</v>
      </c>
      <c r="D128" s="17" t="s">
        <v>29</v>
      </c>
      <c r="E128" s="18" t="s">
        <v>3262</v>
      </c>
      <c r="F128" s="18" t="s">
        <v>3263</v>
      </c>
      <c r="G128" s="18" t="s">
        <v>3142</v>
      </c>
      <c r="H128" s="192" t="s">
        <v>3273</v>
      </c>
      <c r="I128" s="192">
        <v>20860530</v>
      </c>
      <c r="J128" s="9" t="s">
        <v>3133</v>
      </c>
      <c r="K128" s="60"/>
      <c r="L128" s="65"/>
      <c r="M128" s="10">
        <v>1</v>
      </c>
      <c r="N128" s="67" t="s">
        <v>3134</v>
      </c>
      <c r="O128" s="73" t="s">
        <v>3134</v>
      </c>
      <c r="P128" s="65"/>
    </row>
    <row r="129" spans="1:16">
      <c r="A129" s="15">
        <v>126</v>
      </c>
      <c r="B129" s="16" t="s">
        <v>3261</v>
      </c>
      <c r="C129" s="16">
        <v>501</v>
      </c>
      <c r="D129" s="17" t="s">
        <v>29</v>
      </c>
      <c r="E129" s="18" t="s">
        <v>3262</v>
      </c>
      <c r="F129" s="18" t="s">
        <v>3263</v>
      </c>
      <c r="G129" s="18" t="s">
        <v>3142</v>
      </c>
      <c r="H129" s="192" t="s">
        <v>3274</v>
      </c>
      <c r="I129" s="192">
        <v>20726171</v>
      </c>
      <c r="J129" s="9" t="s">
        <v>3133</v>
      </c>
      <c r="K129" s="60"/>
      <c r="L129" s="65"/>
      <c r="M129" s="10">
        <v>1</v>
      </c>
      <c r="N129" s="67" t="s">
        <v>3134</v>
      </c>
      <c r="O129" s="73" t="s">
        <v>3134</v>
      </c>
      <c r="P129" s="65"/>
    </row>
    <row r="130" spans="1:16">
      <c r="A130" s="15">
        <v>127</v>
      </c>
      <c r="B130" s="16" t="s">
        <v>3261</v>
      </c>
      <c r="C130" s="16">
        <v>502</v>
      </c>
      <c r="D130" s="17" t="s">
        <v>29</v>
      </c>
      <c r="E130" s="18" t="s">
        <v>3262</v>
      </c>
      <c r="F130" s="18" t="s">
        <v>3263</v>
      </c>
      <c r="G130" s="18" t="s">
        <v>3142</v>
      </c>
      <c r="H130" s="192" t="s">
        <v>3275</v>
      </c>
      <c r="I130" s="192">
        <v>16889747</v>
      </c>
      <c r="J130" s="9" t="s">
        <v>3133</v>
      </c>
      <c r="K130" s="60"/>
      <c r="L130" s="65"/>
      <c r="M130" s="10">
        <v>1</v>
      </c>
      <c r="N130" s="67" t="s">
        <v>3134</v>
      </c>
      <c r="O130" s="73" t="s">
        <v>3134</v>
      </c>
      <c r="P130" s="65"/>
    </row>
    <row r="131" spans="1:16">
      <c r="A131" s="15">
        <v>128</v>
      </c>
      <c r="B131" s="16" t="s">
        <v>3276</v>
      </c>
      <c r="C131" s="16">
        <v>201</v>
      </c>
      <c r="D131" s="17" t="s">
        <v>30</v>
      </c>
      <c r="E131" s="18" t="s">
        <v>3277</v>
      </c>
      <c r="F131" s="18" t="s">
        <v>3142</v>
      </c>
      <c r="G131" s="18"/>
      <c r="H131" s="192" t="s">
        <v>3278</v>
      </c>
      <c r="I131" s="192">
        <v>21881178</v>
      </c>
      <c r="J131" s="9" t="s">
        <v>3133</v>
      </c>
      <c r="K131" s="60"/>
      <c r="L131" s="65"/>
      <c r="M131" s="10">
        <v>1</v>
      </c>
      <c r="N131" s="67" t="s">
        <v>3134</v>
      </c>
      <c r="O131" s="73" t="s">
        <v>3134</v>
      </c>
      <c r="P131" s="65"/>
    </row>
    <row r="132" spans="1:16">
      <c r="A132" s="15">
        <v>129</v>
      </c>
      <c r="B132" s="16" t="s">
        <v>3276</v>
      </c>
      <c r="C132" s="16">
        <v>202</v>
      </c>
      <c r="D132" s="17" t="s">
        <v>30</v>
      </c>
      <c r="E132" s="18" t="s">
        <v>3277</v>
      </c>
      <c r="F132" s="18" t="s">
        <v>3142</v>
      </c>
      <c r="G132" s="18"/>
      <c r="H132" s="192" t="s">
        <v>3279</v>
      </c>
      <c r="I132" s="192">
        <v>24684732</v>
      </c>
      <c r="J132" s="9" t="s">
        <v>3133</v>
      </c>
      <c r="K132" s="60"/>
      <c r="L132" s="65"/>
      <c r="M132" s="10">
        <v>1</v>
      </c>
      <c r="N132" s="67" t="s">
        <v>3134</v>
      </c>
      <c r="O132" s="73" t="s">
        <v>3134</v>
      </c>
      <c r="P132" s="65"/>
    </row>
    <row r="133" spans="1:16">
      <c r="A133" s="15">
        <v>130</v>
      </c>
      <c r="B133" s="16" t="s">
        <v>3276</v>
      </c>
      <c r="C133" s="16">
        <v>203</v>
      </c>
      <c r="D133" s="17" t="s">
        <v>30</v>
      </c>
      <c r="E133" s="18" t="s">
        <v>3277</v>
      </c>
      <c r="F133" s="18" t="s">
        <v>3142</v>
      </c>
      <c r="G133" s="18"/>
      <c r="H133" s="192" t="s">
        <v>3280</v>
      </c>
      <c r="I133" s="192">
        <v>20558458</v>
      </c>
      <c r="J133" s="9" t="s">
        <v>3133</v>
      </c>
      <c r="K133" s="60"/>
      <c r="L133" s="65"/>
      <c r="M133" s="10">
        <v>1</v>
      </c>
      <c r="N133" s="67" t="s">
        <v>3134</v>
      </c>
      <c r="O133" s="73" t="s">
        <v>3134</v>
      </c>
      <c r="P133" s="65"/>
    </row>
    <row r="134" spans="1:16">
      <c r="A134" s="15">
        <v>131</v>
      </c>
      <c r="B134" s="16" t="s">
        <v>3276</v>
      </c>
      <c r="C134" s="16">
        <v>204</v>
      </c>
      <c r="D134" s="17" t="s">
        <v>30</v>
      </c>
      <c r="E134" s="18" t="s">
        <v>3277</v>
      </c>
      <c r="F134" s="18" t="s">
        <v>3142</v>
      </c>
      <c r="G134" s="18"/>
      <c r="H134" s="192" t="s">
        <v>3281</v>
      </c>
      <c r="I134" s="192">
        <v>27846647</v>
      </c>
      <c r="J134" s="9" t="s">
        <v>3133</v>
      </c>
      <c r="K134" s="60"/>
      <c r="L134" s="65"/>
      <c r="M134" s="10">
        <v>1</v>
      </c>
      <c r="N134" s="67" t="s">
        <v>3134</v>
      </c>
      <c r="O134" s="73" t="s">
        <v>3134</v>
      </c>
      <c r="P134" s="65"/>
    </row>
    <row r="135" spans="1:16">
      <c r="A135" s="15">
        <v>132</v>
      </c>
      <c r="B135" s="16" t="s">
        <v>3276</v>
      </c>
      <c r="C135" s="16">
        <v>205</v>
      </c>
      <c r="D135" s="17" t="s">
        <v>30</v>
      </c>
      <c r="E135" s="18" t="s">
        <v>3277</v>
      </c>
      <c r="F135" s="18" t="s">
        <v>3142</v>
      </c>
      <c r="G135" s="18"/>
      <c r="H135" s="192" t="s">
        <v>3282</v>
      </c>
      <c r="I135" s="192">
        <v>20566338</v>
      </c>
      <c r="J135" s="9" t="s">
        <v>3133</v>
      </c>
      <c r="K135" s="60"/>
      <c r="L135" s="65"/>
      <c r="M135" s="10">
        <v>1</v>
      </c>
      <c r="N135" s="67" t="s">
        <v>3134</v>
      </c>
      <c r="O135" s="73" t="s">
        <v>3134</v>
      </c>
      <c r="P135" s="65"/>
    </row>
    <row r="136" spans="1:16">
      <c r="A136" s="15">
        <v>133</v>
      </c>
      <c r="B136" s="16" t="s">
        <v>3276</v>
      </c>
      <c r="C136" s="16">
        <v>301</v>
      </c>
      <c r="D136" s="17" t="s">
        <v>30</v>
      </c>
      <c r="E136" s="18" t="s">
        <v>3277</v>
      </c>
      <c r="F136" s="18" t="s">
        <v>3142</v>
      </c>
      <c r="G136" s="18"/>
      <c r="H136" s="192" t="s">
        <v>3283</v>
      </c>
      <c r="I136" s="192">
        <v>20049227</v>
      </c>
      <c r="J136" s="9" t="s">
        <v>3133</v>
      </c>
      <c r="K136" s="60"/>
      <c r="L136" s="65"/>
      <c r="M136" s="10">
        <v>1</v>
      </c>
      <c r="N136" s="67" t="s">
        <v>3134</v>
      </c>
      <c r="O136" s="73" t="s">
        <v>3134</v>
      </c>
      <c r="P136" s="65"/>
    </row>
    <row r="137" spans="1:16">
      <c r="A137" s="15">
        <v>134</v>
      </c>
      <c r="B137" s="16" t="s">
        <v>3276</v>
      </c>
      <c r="C137" s="16">
        <v>302</v>
      </c>
      <c r="D137" s="17" t="s">
        <v>30</v>
      </c>
      <c r="E137" s="18" t="s">
        <v>3277</v>
      </c>
      <c r="F137" s="18" t="s">
        <v>3142</v>
      </c>
      <c r="G137" s="18"/>
      <c r="H137" s="192" t="s">
        <v>3284</v>
      </c>
      <c r="I137" s="192">
        <v>19522733</v>
      </c>
      <c r="J137" s="9" t="s">
        <v>3133</v>
      </c>
      <c r="K137" s="60"/>
      <c r="L137" s="65"/>
      <c r="M137" s="10">
        <v>1</v>
      </c>
      <c r="N137" s="67" t="s">
        <v>3134</v>
      </c>
      <c r="O137" s="73" t="s">
        <v>3134</v>
      </c>
      <c r="P137" s="65"/>
    </row>
    <row r="138" spans="1:16">
      <c r="A138" s="15">
        <v>135</v>
      </c>
      <c r="B138" s="16" t="s">
        <v>3276</v>
      </c>
      <c r="C138" s="16">
        <v>303</v>
      </c>
      <c r="D138" s="17" t="s">
        <v>30</v>
      </c>
      <c r="E138" s="18" t="s">
        <v>3277</v>
      </c>
      <c r="F138" s="18" t="s">
        <v>3142</v>
      </c>
      <c r="G138" s="18"/>
      <c r="H138" s="192" t="s">
        <v>3285</v>
      </c>
      <c r="I138" s="23"/>
      <c r="J138" s="9" t="s">
        <v>3133</v>
      </c>
      <c r="K138" s="60"/>
      <c r="L138" s="65"/>
      <c r="M138" s="10">
        <v>1</v>
      </c>
      <c r="N138" s="67" t="s">
        <v>3134</v>
      </c>
      <c r="O138" s="73" t="s">
        <v>3134</v>
      </c>
      <c r="P138" s="65"/>
    </row>
    <row r="139" spans="1:16">
      <c r="A139" s="15">
        <v>136</v>
      </c>
      <c r="B139" s="16" t="s">
        <v>3276</v>
      </c>
      <c r="C139" s="16">
        <v>304</v>
      </c>
      <c r="D139" s="17" t="s">
        <v>30</v>
      </c>
      <c r="E139" s="18" t="s">
        <v>3277</v>
      </c>
      <c r="F139" s="18" t="s">
        <v>3142</v>
      </c>
      <c r="G139" s="18"/>
      <c r="H139" s="192" t="s">
        <v>3286</v>
      </c>
      <c r="I139" s="192">
        <v>20470825</v>
      </c>
      <c r="J139" s="9" t="s">
        <v>3133</v>
      </c>
      <c r="K139" s="60"/>
      <c r="L139" s="65"/>
      <c r="M139" s="10">
        <v>1</v>
      </c>
      <c r="N139" s="67" t="s">
        <v>3134</v>
      </c>
      <c r="O139" s="73" t="s">
        <v>3134</v>
      </c>
      <c r="P139" s="65"/>
    </row>
    <row r="140" spans="1:16">
      <c r="A140" s="15">
        <v>137</v>
      </c>
      <c r="B140" s="16" t="s">
        <v>3276</v>
      </c>
      <c r="C140" s="16">
        <v>305</v>
      </c>
      <c r="D140" s="17" t="s">
        <v>30</v>
      </c>
      <c r="E140" s="18" t="s">
        <v>3277</v>
      </c>
      <c r="F140" s="18" t="s">
        <v>3142</v>
      </c>
      <c r="G140" s="18"/>
      <c r="H140" s="192" t="s">
        <v>3287</v>
      </c>
      <c r="I140" s="192">
        <v>19045333</v>
      </c>
      <c r="J140" s="9" t="s">
        <v>3133</v>
      </c>
      <c r="K140" s="60"/>
      <c r="L140" s="65"/>
      <c r="M140" s="10">
        <v>1</v>
      </c>
      <c r="N140" s="67" t="s">
        <v>3134</v>
      </c>
      <c r="O140" s="73" t="s">
        <v>3134</v>
      </c>
      <c r="P140" s="65"/>
    </row>
    <row r="141" spans="1:16">
      <c r="A141" s="15">
        <v>138</v>
      </c>
      <c r="B141" s="16" t="s">
        <v>3276</v>
      </c>
      <c r="C141" s="16">
        <v>401</v>
      </c>
      <c r="D141" s="17" t="s">
        <v>30</v>
      </c>
      <c r="E141" s="18" t="s">
        <v>3277</v>
      </c>
      <c r="F141" s="18" t="s">
        <v>3142</v>
      </c>
      <c r="G141" s="18"/>
      <c r="H141" s="192" t="s">
        <v>3288</v>
      </c>
      <c r="I141" s="192">
        <v>20554077</v>
      </c>
      <c r="J141" s="9" t="s">
        <v>3133</v>
      </c>
      <c r="K141" s="60"/>
      <c r="L141" s="65"/>
      <c r="M141" s="10">
        <v>1</v>
      </c>
      <c r="N141" s="67" t="s">
        <v>3134</v>
      </c>
      <c r="O141" s="73" t="s">
        <v>3134</v>
      </c>
      <c r="P141" s="65"/>
    </row>
    <row r="142" spans="1:16">
      <c r="A142" s="15">
        <v>139</v>
      </c>
      <c r="B142" s="16" t="s">
        <v>3276</v>
      </c>
      <c r="C142" s="16">
        <v>402</v>
      </c>
      <c r="D142" s="17" t="s">
        <v>30</v>
      </c>
      <c r="E142" s="18" t="s">
        <v>3277</v>
      </c>
      <c r="F142" s="18" t="s">
        <v>3142</v>
      </c>
      <c r="G142" s="18"/>
      <c r="H142" s="192" t="s">
        <v>3289</v>
      </c>
      <c r="I142" s="192">
        <v>20382229</v>
      </c>
      <c r="J142" s="9" t="s">
        <v>3133</v>
      </c>
      <c r="K142" s="60"/>
      <c r="L142" s="65"/>
      <c r="M142" s="10">
        <v>1</v>
      </c>
      <c r="N142" s="67" t="s">
        <v>3134</v>
      </c>
      <c r="O142" s="73" t="s">
        <v>3134</v>
      </c>
      <c r="P142" s="65"/>
    </row>
    <row r="143" spans="1:16">
      <c r="A143" s="15">
        <v>140</v>
      </c>
      <c r="B143" s="16" t="s">
        <v>3276</v>
      </c>
      <c r="C143" s="16">
        <v>403</v>
      </c>
      <c r="D143" s="17" t="s">
        <v>30</v>
      </c>
      <c r="E143" s="18" t="s">
        <v>3290</v>
      </c>
      <c r="F143" s="18" t="s">
        <v>3142</v>
      </c>
      <c r="G143" s="18"/>
      <c r="H143" s="192" t="s">
        <v>3291</v>
      </c>
      <c r="I143" s="192">
        <v>23107112</v>
      </c>
      <c r="J143" s="9" t="s">
        <v>3133</v>
      </c>
      <c r="K143" s="60"/>
      <c r="L143" s="65"/>
      <c r="M143" s="10">
        <v>1</v>
      </c>
      <c r="N143" s="67" t="s">
        <v>3134</v>
      </c>
      <c r="O143" s="73" t="s">
        <v>3134</v>
      </c>
      <c r="P143" s="65"/>
    </row>
    <row r="144" spans="1:16">
      <c r="A144" s="15">
        <v>141</v>
      </c>
      <c r="B144" s="16" t="s">
        <v>3276</v>
      </c>
      <c r="C144" s="16">
        <v>404</v>
      </c>
      <c r="D144" s="17" t="s">
        <v>30</v>
      </c>
      <c r="E144" s="18" t="s">
        <v>3277</v>
      </c>
      <c r="F144" s="18" t="s">
        <v>3142</v>
      </c>
      <c r="G144" s="18"/>
      <c r="H144" s="192" t="s">
        <v>3292</v>
      </c>
      <c r="I144" s="192">
        <v>20285206</v>
      </c>
      <c r="J144" s="9" t="s">
        <v>3133</v>
      </c>
      <c r="K144" s="60"/>
      <c r="L144" s="65"/>
      <c r="M144" s="10">
        <v>1</v>
      </c>
      <c r="N144" s="67" t="s">
        <v>3134</v>
      </c>
      <c r="O144" s="73" t="s">
        <v>3134</v>
      </c>
      <c r="P144" s="65"/>
    </row>
    <row r="145" spans="1:16">
      <c r="A145" s="15">
        <v>142</v>
      </c>
      <c r="B145" s="16" t="s">
        <v>3276</v>
      </c>
      <c r="C145" s="16">
        <v>405</v>
      </c>
      <c r="D145" s="17" t="s">
        <v>30</v>
      </c>
      <c r="E145" s="18" t="s">
        <v>3277</v>
      </c>
      <c r="F145" s="18" t="s">
        <v>3142</v>
      </c>
      <c r="G145" s="18"/>
      <c r="H145" s="192" t="s">
        <v>3293</v>
      </c>
      <c r="I145" s="192">
        <v>23867361</v>
      </c>
      <c r="J145" s="9" t="s">
        <v>3133</v>
      </c>
      <c r="K145" s="60"/>
      <c r="L145" s="65"/>
      <c r="M145" s="10">
        <v>1</v>
      </c>
      <c r="N145" s="67" t="s">
        <v>3134</v>
      </c>
      <c r="O145" s="73" t="s">
        <v>3134</v>
      </c>
      <c r="P145" s="65"/>
    </row>
    <row r="146" spans="1:16">
      <c r="A146" s="15">
        <v>143</v>
      </c>
      <c r="B146" s="16" t="s">
        <v>3276</v>
      </c>
      <c r="C146" s="16">
        <v>501</v>
      </c>
      <c r="D146" s="17" t="s">
        <v>29</v>
      </c>
      <c r="E146" s="18"/>
      <c r="F146" s="18"/>
      <c r="G146" s="18"/>
      <c r="H146" s="192"/>
      <c r="I146" s="192"/>
      <c r="J146" s="9"/>
      <c r="K146" s="60"/>
      <c r="L146" s="65"/>
      <c r="M146" s="10"/>
      <c r="N146" s="67"/>
      <c r="O146" s="73"/>
      <c r="P146" s="65"/>
    </row>
    <row r="147" spans="1:16">
      <c r="A147" s="15">
        <v>144</v>
      </c>
      <c r="B147" s="16" t="s">
        <v>3294</v>
      </c>
      <c r="C147" s="16">
        <v>102</v>
      </c>
      <c r="D147" s="17" t="s">
        <v>30</v>
      </c>
      <c r="E147" s="18" t="s">
        <v>3295</v>
      </c>
      <c r="F147" s="18" t="s">
        <v>3142</v>
      </c>
      <c r="G147" s="18"/>
      <c r="H147" s="192" t="s">
        <v>3296</v>
      </c>
      <c r="I147" s="192">
        <v>15505946</v>
      </c>
      <c r="J147" s="9" t="s">
        <v>3133</v>
      </c>
      <c r="K147" s="60"/>
      <c r="L147" s="65"/>
      <c r="M147" s="10">
        <v>1</v>
      </c>
      <c r="N147" s="67" t="s">
        <v>3134</v>
      </c>
      <c r="O147" s="73" t="s">
        <v>3134</v>
      </c>
      <c r="P147" s="65"/>
    </row>
    <row r="148" spans="1:16">
      <c r="A148" s="15">
        <v>145</v>
      </c>
      <c r="B148" s="16" t="s">
        <v>3294</v>
      </c>
      <c r="C148" s="16">
        <v>201</v>
      </c>
      <c r="D148" s="17" t="s">
        <v>30</v>
      </c>
      <c r="E148" s="18" t="s">
        <v>3295</v>
      </c>
      <c r="F148" s="18" t="s">
        <v>3142</v>
      </c>
      <c r="G148" s="18"/>
      <c r="H148" s="192" t="s">
        <v>3297</v>
      </c>
      <c r="I148" s="192">
        <v>27872695</v>
      </c>
      <c r="J148" s="9" t="s">
        <v>3133</v>
      </c>
      <c r="K148" s="60"/>
      <c r="L148" s="65"/>
      <c r="M148" s="10">
        <v>1</v>
      </c>
      <c r="N148" s="67" t="s">
        <v>3134</v>
      </c>
      <c r="O148" s="73" t="s">
        <v>3134</v>
      </c>
      <c r="P148" s="65"/>
    </row>
    <row r="149" spans="1:16">
      <c r="A149" s="15">
        <v>146</v>
      </c>
      <c r="B149" s="16" t="s">
        <v>3294</v>
      </c>
      <c r="C149" s="16">
        <v>202</v>
      </c>
      <c r="D149" s="17" t="s">
        <v>30</v>
      </c>
      <c r="E149" s="18" t="s">
        <v>3295</v>
      </c>
      <c r="F149" s="18" t="s">
        <v>3142</v>
      </c>
      <c r="G149" s="18"/>
      <c r="H149" s="192" t="s">
        <v>3298</v>
      </c>
      <c r="I149" s="192">
        <v>20248853</v>
      </c>
      <c r="J149" s="9" t="s">
        <v>3133</v>
      </c>
      <c r="K149" s="60"/>
      <c r="L149" s="65"/>
      <c r="M149" s="10">
        <v>1</v>
      </c>
      <c r="N149" s="67" t="s">
        <v>3134</v>
      </c>
      <c r="O149" s="73" t="s">
        <v>3134</v>
      </c>
      <c r="P149" s="65"/>
    </row>
    <row r="150" spans="1:16">
      <c r="A150" s="15">
        <v>147</v>
      </c>
      <c r="B150" s="16" t="s">
        <v>3294</v>
      </c>
      <c r="C150" s="16">
        <v>203</v>
      </c>
      <c r="D150" s="17" t="s">
        <v>30</v>
      </c>
      <c r="E150" s="18" t="s">
        <v>3295</v>
      </c>
      <c r="F150" s="18" t="s">
        <v>3142</v>
      </c>
      <c r="G150" s="18"/>
      <c r="H150" s="192" t="s">
        <v>3299</v>
      </c>
      <c r="I150" s="192">
        <v>18457278</v>
      </c>
      <c r="J150" s="9" t="s">
        <v>3133</v>
      </c>
      <c r="K150" s="60"/>
      <c r="L150" s="65"/>
      <c r="M150" s="10">
        <v>1</v>
      </c>
      <c r="N150" s="67" t="s">
        <v>3134</v>
      </c>
      <c r="O150" s="73" t="s">
        <v>3134</v>
      </c>
      <c r="P150" s="65"/>
    </row>
    <row r="151" spans="1:16">
      <c r="A151" s="15">
        <v>148</v>
      </c>
      <c r="B151" s="16" t="s">
        <v>3294</v>
      </c>
      <c r="C151" s="16">
        <v>204</v>
      </c>
      <c r="D151" s="17" t="s">
        <v>30</v>
      </c>
      <c r="E151" s="18" t="s">
        <v>3295</v>
      </c>
      <c r="F151" s="18" t="s">
        <v>3142</v>
      </c>
      <c r="G151" s="18"/>
      <c r="H151" s="192" t="s">
        <v>3300</v>
      </c>
      <c r="I151" s="192">
        <v>19949280</v>
      </c>
      <c r="J151" s="9" t="s">
        <v>3133</v>
      </c>
      <c r="K151" s="60"/>
      <c r="L151" s="65"/>
      <c r="M151" s="10">
        <v>1</v>
      </c>
      <c r="N151" s="67" t="s">
        <v>3134</v>
      </c>
      <c r="O151" s="73" t="s">
        <v>3134</v>
      </c>
      <c r="P151" s="65"/>
    </row>
    <row r="152" spans="1:16">
      <c r="A152" s="15">
        <v>149</v>
      </c>
      <c r="B152" s="16" t="s">
        <v>3294</v>
      </c>
      <c r="C152" s="16">
        <v>301</v>
      </c>
      <c r="D152" s="17" t="s">
        <v>30</v>
      </c>
      <c r="E152" s="18" t="s">
        <v>3295</v>
      </c>
      <c r="F152" s="18" t="s">
        <v>3142</v>
      </c>
      <c r="G152" s="18"/>
      <c r="H152" s="192" t="s">
        <v>3301</v>
      </c>
      <c r="I152" s="192">
        <v>19949281</v>
      </c>
      <c r="J152" s="9" t="s">
        <v>3133</v>
      </c>
      <c r="K152" s="60"/>
      <c r="L152" s="65"/>
      <c r="M152" s="10">
        <v>1</v>
      </c>
      <c r="N152" s="67" t="s">
        <v>3134</v>
      </c>
      <c r="O152" s="73" t="s">
        <v>3134</v>
      </c>
      <c r="P152" s="65"/>
    </row>
    <row r="153" spans="1:16">
      <c r="A153" s="15">
        <v>150</v>
      </c>
      <c r="B153" s="16" t="s">
        <v>3294</v>
      </c>
      <c r="C153" s="16">
        <v>302</v>
      </c>
      <c r="D153" s="17" t="s">
        <v>30</v>
      </c>
      <c r="E153" s="18" t="s">
        <v>3295</v>
      </c>
      <c r="F153" s="18" t="s">
        <v>3142</v>
      </c>
      <c r="G153" s="18"/>
      <c r="H153" s="192" t="s">
        <v>3302</v>
      </c>
      <c r="I153" s="192">
        <v>20339823</v>
      </c>
      <c r="J153" s="9" t="s">
        <v>3133</v>
      </c>
      <c r="K153" s="60"/>
      <c r="L153" s="65"/>
      <c r="M153" s="10">
        <v>1</v>
      </c>
      <c r="N153" s="67" t="s">
        <v>3134</v>
      </c>
      <c r="O153" s="73" t="s">
        <v>3134</v>
      </c>
      <c r="P153" s="65"/>
    </row>
    <row r="154" spans="1:16">
      <c r="A154" s="15">
        <v>151</v>
      </c>
      <c r="B154" s="16" t="s">
        <v>3294</v>
      </c>
      <c r="C154" s="16">
        <v>303</v>
      </c>
      <c r="D154" s="17" t="s">
        <v>30</v>
      </c>
      <c r="E154" s="18" t="s">
        <v>3295</v>
      </c>
      <c r="F154" s="18" t="s">
        <v>3142</v>
      </c>
      <c r="G154" s="18"/>
      <c r="H154" s="192" t="s">
        <v>3303</v>
      </c>
      <c r="I154" s="192">
        <v>19949279</v>
      </c>
      <c r="J154" s="9" t="s">
        <v>3133</v>
      </c>
      <c r="K154" s="60"/>
      <c r="L154" s="65"/>
      <c r="M154" s="10">
        <v>1</v>
      </c>
      <c r="N154" s="67" t="s">
        <v>3134</v>
      </c>
      <c r="O154" s="73" t="s">
        <v>3134</v>
      </c>
      <c r="P154" s="65"/>
    </row>
    <row r="155" spans="1:16">
      <c r="A155" s="15">
        <v>152</v>
      </c>
      <c r="B155" s="16" t="s">
        <v>3294</v>
      </c>
      <c r="C155" s="16">
        <v>304</v>
      </c>
      <c r="D155" s="17" t="s">
        <v>30</v>
      </c>
      <c r="E155" s="18" t="s">
        <v>3295</v>
      </c>
      <c r="F155" s="18" t="s">
        <v>3142</v>
      </c>
      <c r="G155" s="18"/>
      <c r="H155" s="192" t="s">
        <v>3304</v>
      </c>
      <c r="I155" s="192">
        <v>19742017</v>
      </c>
      <c r="J155" s="9" t="s">
        <v>3133</v>
      </c>
      <c r="K155" s="60"/>
      <c r="L155" s="65"/>
      <c r="M155" s="10">
        <v>1</v>
      </c>
      <c r="N155" s="67" t="s">
        <v>3134</v>
      </c>
      <c r="O155" s="73" t="s">
        <v>3134</v>
      </c>
      <c r="P155" s="65"/>
    </row>
    <row r="156" spans="1:16">
      <c r="A156" s="15">
        <v>153</v>
      </c>
      <c r="B156" s="16" t="s">
        <v>3305</v>
      </c>
      <c r="C156" s="16">
        <v>201</v>
      </c>
      <c r="D156" s="17" t="s">
        <v>29</v>
      </c>
      <c r="E156" s="18" t="s">
        <v>3306</v>
      </c>
      <c r="F156" s="18" t="s">
        <v>3307</v>
      </c>
      <c r="G156" s="18" t="s">
        <v>3142</v>
      </c>
      <c r="H156" s="192" t="s">
        <v>3308</v>
      </c>
      <c r="I156" s="192">
        <v>25149270</v>
      </c>
      <c r="J156" s="9" t="s">
        <v>3133</v>
      </c>
      <c r="K156" s="60"/>
      <c r="L156" s="65"/>
      <c r="M156" s="10">
        <v>1</v>
      </c>
      <c r="N156" s="67" t="s">
        <v>3134</v>
      </c>
      <c r="O156" s="73" t="s">
        <v>3134</v>
      </c>
      <c r="P156" s="65"/>
    </row>
    <row r="157" spans="1:16">
      <c r="A157" s="15">
        <v>154</v>
      </c>
      <c r="B157" s="16" t="s">
        <v>3305</v>
      </c>
      <c r="C157" s="16">
        <v>202</v>
      </c>
      <c r="D157" s="17" t="s">
        <v>29</v>
      </c>
      <c r="E157" s="18" t="s">
        <v>3306</v>
      </c>
      <c r="F157" s="19" t="s">
        <v>3309</v>
      </c>
      <c r="G157" s="18" t="s">
        <v>3142</v>
      </c>
      <c r="H157" s="192" t="s">
        <v>3310</v>
      </c>
      <c r="I157" s="192">
        <v>20866553</v>
      </c>
      <c r="J157" s="9" t="s">
        <v>3133</v>
      </c>
      <c r="K157" s="60"/>
      <c r="L157" s="65"/>
      <c r="M157" s="10">
        <v>1</v>
      </c>
      <c r="N157" s="67" t="s">
        <v>3134</v>
      </c>
      <c r="O157" s="73" t="s">
        <v>3134</v>
      </c>
      <c r="P157" s="65"/>
    </row>
    <row r="158" spans="1:16">
      <c r="A158" s="15">
        <v>155</v>
      </c>
      <c r="B158" s="16" t="s">
        <v>3305</v>
      </c>
      <c r="C158" s="16">
        <v>203</v>
      </c>
      <c r="D158" s="17" t="s">
        <v>29</v>
      </c>
      <c r="E158" s="18" t="s">
        <v>3306</v>
      </c>
      <c r="F158" s="18" t="s">
        <v>3307</v>
      </c>
      <c r="G158" s="18" t="s">
        <v>3142</v>
      </c>
      <c r="H158" s="192" t="s">
        <v>3311</v>
      </c>
      <c r="I158" s="192">
        <v>20866554</v>
      </c>
      <c r="J158" s="9" t="s">
        <v>3133</v>
      </c>
      <c r="K158" s="60"/>
      <c r="L158" s="65"/>
      <c r="M158" s="10">
        <v>1</v>
      </c>
      <c r="N158" s="67" t="s">
        <v>3134</v>
      </c>
      <c r="O158" s="73" t="s">
        <v>3134</v>
      </c>
      <c r="P158" s="65"/>
    </row>
    <row r="159" spans="1:16">
      <c r="A159" s="15">
        <v>156</v>
      </c>
      <c r="B159" s="16" t="s">
        <v>3305</v>
      </c>
      <c r="C159" s="16">
        <v>204</v>
      </c>
      <c r="D159" s="17" t="s">
        <v>29</v>
      </c>
      <c r="E159" s="18" t="s">
        <v>3306</v>
      </c>
      <c r="F159" s="18" t="s">
        <v>3307</v>
      </c>
      <c r="G159" s="18" t="s">
        <v>3142</v>
      </c>
      <c r="H159" s="192" t="s">
        <v>3312</v>
      </c>
      <c r="I159" s="192">
        <v>20866552</v>
      </c>
      <c r="J159" s="9" t="s">
        <v>3133</v>
      </c>
      <c r="K159" s="60"/>
      <c r="L159" s="65"/>
      <c r="M159" s="10">
        <v>1</v>
      </c>
      <c r="N159" s="67" t="s">
        <v>3134</v>
      </c>
      <c r="O159" s="73" t="s">
        <v>3134</v>
      </c>
      <c r="P159" s="65"/>
    </row>
    <row r="160" spans="1:16">
      <c r="A160" s="15">
        <v>157</v>
      </c>
      <c r="B160" s="16" t="s">
        <v>3305</v>
      </c>
      <c r="C160" s="16">
        <v>301</v>
      </c>
      <c r="D160" s="17" t="s">
        <v>29</v>
      </c>
      <c r="E160" s="18" t="s">
        <v>3306</v>
      </c>
      <c r="F160" s="19" t="s">
        <v>3309</v>
      </c>
      <c r="G160" s="18" t="s">
        <v>3142</v>
      </c>
      <c r="H160" s="192" t="s">
        <v>3313</v>
      </c>
      <c r="I160" s="192">
        <v>20866559</v>
      </c>
      <c r="J160" s="9" t="s">
        <v>3133</v>
      </c>
      <c r="K160" s="60"/>
      <c r="L160" s="65"/>
      <c r="M160" s="10">
        <v>1</v>
      </c>
      <c r="N160" s="67" t="s">
        <v>3134</v>
      </c>
      <c r="O160" s="73" t="s">
        <v>3134</v>
      </c>
      <c r="P160" s="65"/>
    </row>
    <row r="161" spans="1:16">
      <c r="A161" s="15">
        <v>158</v>
      </c>
      <c r="B161" s="16" t="s">
        <v>3305</v>
      </c>
      <c r="C161" s="16">
        <v>302</v>
      </c>
      <c r="D161" s="17" t="s">
        <v>29</v>
      </c>
      <c r="E161" s="18" t="s">
        <v>3306</v>
      </c>
      <c r="F161" s="19" t="s">
        <v>3309</v>
      </c>
      <c r="G161" s="18" t="s">
        <v>3142</v>
      </c>
      <c r="H161" s="192" t="s">
        <v>3314</v>
      </c>
      <c r="I161" s="192">
        <v>20866556</v>
      </c>
      <c r="J161" s="9" t="s">
        <v>3133</v>
      </c>
      <c r="K161" s="60"/>
      <c r="L161" s="65"/>
      <c r="M161" s="10">
        <v>1</v>
      </c>
      <c r="N161" s="67" t="s">
        <v>3134</v>
      </c>
      <c r="O161" s="73" t="s">
        <v>3134</v>
      </c>
      <c r="P161" s="65"/>
    </row>
    <row r="162" spans="1:16">
      <c r="A162" s="15">
        <v>159</v>
      </c>
      <c r="B162" s="16" t="s">
        <v>3305</v>
      </c>
      <c r="C162" s="16">
        <v>303</v>
      </c>
      <c r="D162" s="17" t="s">
        <v>29</v>
      </c>
      <c r="E162" s="18" t="s">
        <v>3306</v>
      </c>
      <c r="F162" s="18" t="s">
        <v>3307</v>
      </c>
      <c r="G162" s="18" t="s">
        <v>3142</v>
      </c>
      <c r="H162" s="192" t="s">
        <v>3315</v>
      </c>
      <c r="I162" s="192">
        <v>20866558</v>
      </c>
      <c r="J162" s="9" t="s">
        <v>3133</v>
      </c>
      <c r="K162" s="60"/>
      <c r="L162" s="65"/>
      <c r="M162" s="10">
        <v>1</v>
      </c>
      <c r="N162" s="67" t="s">
        <v>3134</v>
      </c>
      <c r="O162" s="73" t="s">
        <v>3134</v>
      </c>
      <c r="P162" s="65"/>
    </row>
    <row r="163" spans="1:16">
      <c r="A163" s="15">
        <v>160</v>
      </c>
      <c r="B163" s="16" t="s">
        <v>3305</v>
      </c>
      <c r="C163" s="16">
        <v>304</v>
      </c>
      <c r="D163" s="17" t="s">
        <v>29</v>
      </c>
      <c r="E163" s="18" t="s">
        <v>3306</v>
      </c>
      <c r="F163" s="18" t="s">
        <v>3307</v>
      </c>
      <c r="G163" s="18" t="s">
        <v>3142</v>
      </c>
      <c r="H163" s="192" t="s">
        <v>3316</v>
      </c>
      <c r="I163" s="192">
        <v>20866557</v>
      </c>
      <c r="J163" s="9" t="s">
        <v>3133</v>
      </c>
      <c r="K163" s="60"/>
      <c r="L163" s="65"/>
      <c r="M163" s="10">
        <v>1</v>
      </c>
      <c r="N163" s="67" t="s">
        <v>3134</v>
      </c>
      <c r="O163" s="73" t="s">
        <v>3134</v>
      </c>
      <c r="P163" s="65"/>
    </row>
    <row r="164" spans="1:16">
      <c r="A164" s="15">
        <v>161</v>
      </c>
      <c r="B164" s="16" t="s">
        <v>3305</v>
      </c>
      <c r="C164" s="16">
        <v>401</v>
      </c>
      <c r="D164" s="17" t="s">
        <v>29</v>
      </c>
      <c r="E164" s="18" t="s">
        <v>3306</v>
      </c>
      <c r="F164" s="19" t="s">
        <v>3309</v>
      </c>
      <c r="G164" s="18" t="s">
        <v>3142</v>
      </c>
      <c r="H164" s="192" t="s">
        <v>3317</v>
      </c>
      <c r="I164" s="192">
        <v>20866560</v>
      </c>
      <c r="J164" s="9" t="s">
        <v>3133</v>
      </c>
      <c r="K164" s="60"/>
      <c r="L164" s="65"/>
      <c r="M164" s="10">
        <v>1</v>
      </c>
      <c r="N164" s="67" t="s">
        <v>3134</v>
      </c>
      <c r="O164" s="73" t="s">
        <v>3134</v>
      </c>
      <c r="P164" s="65"/>
    </row>
    <row r="165" spans="1:16">
      <c r="A165" s="15">
        <v>162</v>
      </c>
      <c r="B165" s="16" t="s">
        <v>3305</v>
      </c>
      <c r="C165" s="16">
        <v>402</v>
      </c>
      <c r="D165" s="17" t="s">
        <v>29</v>
      </c>
      <c r="E165" s="18" t="s">
        <v>3306</v>
      </c>
      <c r="F165" s="18" t="s">
        <v>3307</v>
      </c>
      <c r="G165" s="18" t="s">
        <v>3142</v>
      </c>
      <c r="H165" s="192" t="s">
        <v>3318</v>
      </c>
      <c r="I165" s="192">
        <v>20866561</v>
      </c>
      <c r="J165" s="9" t="s">
        <v>3133</v>
      </c>
      <c r="K165" s="60"/>
      <c r="L165" s="65"/>
      <c r="M165" s="10">
        <v>1</v>
      </c>
      <c r="N165" s="67" t="s">
        <v>3134</v>
      </c>
      <c r="O165" s="73" t="s">
        <v>3134</v>
      </c>
      <c r="P165" s="65"/>
    </row>
    <row r="166" spans="1:16">
      <c r="A166" s="15">
        <v>163</v>
      </c>
      <c r="B166" s="16" t="s">
        <v>3305</v>
      </c>
      <c r="C166" s="16">
        <v>403</v>
      </c>
      <c r="D166" s="17" t="s">
        <v>29</v>
      </c>
      <c r="E166" s="18" t="s">
        <v>3306</v>
      </c>
      <c r="F166" s="18" t="s">
        <v>3319</v>
      </c>
      <c r="G166" s="18" t="s">
        <v>3142</v>
      </c>
      <c r="H166" s="192" t="s">
        <v>3320</v>
      </c>
      <c r="I166" s="192">
        <v>20866562</v>
      </c>
      <c r="J166" s="9" t="s">
        <v>3133</v>
      </c>
      <c r="K166" s="60"/>
      <c r="L166" s="65"/>
      <c r="M166" s="10">
        <v>1</v>
      </c>
      <c r="N166" s="67" t="s">
        <v>3134</v>
      </c>
      <c r="O166" s="73" t="s">
        <v>3134</v>
      </c>
      <c r="P166" s="65"/>
    </row>
    <row r="167" spans="1:16">
      <c r="A167" s="15">
        <v>164</v>
      </c>
      <c r="B167" s="16" t="s">
        <v>3305</v>
      </c>
      <c r="C167" s="16">
        <v>404</v>
      </c>
      <c r="D167" s="17" t="s">
        <v>29</v>
      </c>
      <c r="E167" s="18" t="s">
        <v>3306</v>
      </c>
      <c r="F167" s="18" t="s">
        <v>3307</v>
      </c>
      <c r="G167" s="18" t="s">
        <v>3142</v>
      </c>
      <c r="H167" s="192" t="s">
        <v>3321</v>
      </c>
      <c r="I167" s="192">
        <v>20866563</v>
      </c>
      <c r="J167" s="9" t="s">
        <v>3133</v>
      </c>
      <c r="K167" s="60"/>
      <c r="L167" s="65"/>
      <c r="M167" s="10">
        <v>1</v>
      </c>
      <c r="N167" s="67" t="s">
        <v>3134</v>
      </c>
      <c r="O167" s="73" t="s">
        <v>3134</v>
      </c>
      <c r="P167" s="65"/>
    </row>
    <row r="168" spans="1:16">
      <c r="A168" s="15">
        <v>165</v>
      </c>
      <c r="B168" s="16" t="s">
        <v>3305</v>
      </c>
      <c r="C168" s="16">
        <v>501</v>
      </c>
      <c r="D168" s="17" t="s">
        <v>29</v>
      </c>
      <c r="E168" s="18" t="s">
        <v>3306</v>
      </c>
      <c r="F168" s="18" t="s">
        <v>3307</v>
      </c>
      <c r="G168" s="18" t="s">
        <v>3142</v>
      </c>
      <c r="H168" s="192" t="s">
        <v>3322</v>
      </c>
      <c r="I168" s="192">
        <v>20953290</v>
      </c>
      <c r="J168" s="9" t="s">
        <v>3133</v>
      </c>
      <c r="K168" s="60"/>
      <c r="L168" s="65"/>
      <c r="M168" s="10">
        <v>1</v>
      </c>
      <c r="N168" s="67" t="s">
        <v>3134</v>
      </c>
      <c r="O168" s="73" t="s">
        <v>3134</v>
      </c>
      <c r="P168" s="65"/>
    </row>
    <row r="169" spans="1:16">
      <c r="A169" s="15">
        <v>166</v>
      </c>
      <c r="B169" s="16" t="s">
        <v>3305</v>
      </c>
      <c r="C169" s="16">
        <v>502</v>
      </c>
      <c r="D169" s="17" t="s">
        <v>29</v>
      </c>
      <c r="E169" s="18" t="s">
        <v>3306</v>
      </c>
      <c r="F169" s="18" t="s">
        <v>3307</v>
      </c>
      <c r="G169" s="18" t="s">
        <v>3142</v>
      </c>
      <c r="H169" s="192" t="s">
        <v>3323</v>
      </c>
      <c r="I169" s="192">
        <v>20866564</v>
      </c>
      <c r="J169" s="9" t="s">
        <v>3133</v>
      </c>
      <c r="K169" s="60"/>
      <c r="L169" s="65"/>
      <c r="M169" s="10">
        <v>1</v>
      </c>
      <c r="N169" s="67" t="s">
        <v>3134</v>
      </c>
      <c r="O169" s="73" t="s">
        <v>3134</v>
      </c>
      <c r="P169" s="65"/>
    </row>
    <row r="170" spans="1:16">
      <c r="A170" s="15">
        <v>167</v>
      </c>
      <c r="B170" s="16" t="s">
        <v>3324</v>
      </c>
      <c r="C170" s="16" t="s">
        <v>3325</v>
      </c>
      <c r="D170" s="17" t="s">
        <v>29</v>
      </c>
      <c r="E170" s="18" t="s">
        <v>3326</v>
      </c>
      <c r="F170" s="18" t="s">
        <v>2928</v>
      </c>
      <c r="G170" s="18" t="s">
        <v>3142</v>
      </c>
      <c r="H170" s="192" t="s">
        <v>3327</v>
      </c>
      <c r="I170" s="192">
        <v>27443349</v>
      </c>
      <c r="J170" s="9" t="s">
        <v>3133</v>
      </c>
      <c r="K170" s="60"/>
      <c r="L170" s="65"/>
      <c r="M170" s="10">
        <v>1</v>
      </c>
      <c r="N170" s="67" t="s">
        <v>3134</v>
      </c>
      <c r="O170" s="73" t="s">
        <v>3134</v>
      </c>
      <c r="P170" s="65"/>
    </row>
    <row r="171" spans="1:16">
      <c r="A171" s="15">
        <v>168</v>
      </c>
      <c r="B171" s="16" t="s">
        <v>3324</v>
      </c>
      <c r="C171" s="16" t="s">
        <v>2597</v>
      </c>
      <c r="D171" s="17" t="s">
        <v>29</v>
      </c>
      <c r="E171" s="18" t="s">
        <v>3326</v>
      </c>
      <c r="F171" s="18" t="s">
        <v>2928</v>
      </c>
      <c r="G171" s="18" t="s">
        <v>3142</v>
      </c>
      <c r="H171" s="192" t="s">
        <v>3328</v>
      </c>
      <c r="I171" s="192">
        <v>20874967</v>
      </c>
      <c r="J171" s="9" t="s">
        <v>3133</v>
      </c>
      <c r="K171" s="60"/>
      <c r="L171" s="65"/>
      <c r="M171" s="10">
        <v>1</v>
      </c>
      <c r="N171" s="67" t="s">
        <v>3134</v>
      </c>
      <c r="O171" s="73" t="s">
        <v>3134</v>
      </c>
      <c r="P171" s="65"/>
    </row>
    <row r="172" spans="1:16">
      <c r="A172" s="15">
        <v>169</v>
      </c>
      <c r="B172" s="16" t="s">
        <v>3324</v>
      </c>
      <c r="C172" s="16" t="s">
        <v>3329</v>
      </c>
      <c r="D172" s="17" t="s">
        <v>29</v>
      </c>
      <c r="E172" s="18" t="s">
        <v>3326</v>
      </c>
      <c r="F172" s="18" t="s">
        <v>2928</v>
      </c>
      <c r="G172" s="18" t="s">
        <v>3142</v>
      </c>
      <c r="H172" s="192" t="s">
        <v>3330</v>
      </c>
      <c r="I172" s="192">
        <v>24267006</v>
      </c>
      <c r="J172" s="9" t="s">
        <v>3133</v>
      </c>
      <c r="K172" s="60"/>
      <c r="L172" s="65"/>
      <c r="M172" s="10">
        <v>1</v>
      </c>
      <c r="N172" s="67" t="s">
        <v>3134</v>
      </c>
      <c r="O172" s="73" t="s">
        <v>3134</v>
      </c>
      <c r="P172" s="65"/>
    </row>
    <row r="173" spans="1:16">
      <c r="A173" s="15">
        <v>170</v>
      </c>
      <c r="B173" s="16" t="s">
        <v>3324</v>
      </c>
      <c r="C173" s="16" t="s">
        <v>3331</v>
      </c>
      <c r="D173" s="17" t="s">
        <v>29</v>
      </c>
      <c r="E173" s="18" t="s">
        <v>3326</v>
      </c>
      <c r="F173" s="18" t="s">
        <v>2928</v>
      </c>
      <c r="G173" s="18" t="s">
        <v>3142</v>
      </c>
      <c r="H173" s="192" t="s">
        <v>3332</v>
      </c>
      <c r="I173" s="192">
        <v>21802623</v>
      </c>
      <c r="J173" s="9" t="s">
        <v>3133</v>
      </c>
      <c r="K173" s="60"/>
      <c r="L173" s="65"/>
      <c r="M173" s="10">
        <v>1</v>
      </c>
      <c r="N173" s="67" t="s">
        <v>3134</v>
      </c>
      <c r="O173" s="73" t="s">
        <v>3134</v>
      </c>
      <c r="P173" s="65"/>
    </row>
    <row r="174" spans="1:16">
      <c r="A174" s="15">
        <v>171</v>
      </c>
      <c r="B174" s="16" t="s">
        <v>3324</v>
      </c>
      <c r="C174" s="16">
        <v>101</v>
      </c>
      <c r="D174" s="17" t="s">
        <v>29</v>
      </c>
      <c r="E174" s="18" t="s">
        <v>3326</v>
      </c>
      <c r="F174" s="18" t="s">
        <v>2928</v>
      </c>
      <c r="G174" s="18" t="s">
        <v>3142</v>
      </c>
      <c r="H174" s="192" t="s">
        <v>3333</v>
      </c>
      <c r="I174" s="192">
        <v>21246050</v>
      </c>
      <c r="J174" s="9" t="s">
        <v>3133</v>
      </c>
      <c r="K174" s="60"/>
      <c r="L174" s="65"/>
      <c r="M174" s="10">
        <v>1</v>
      </c>
      <c r="N174" s="67" t="s">
        <v>3134</v>
      </c>
      <c r="O174" s="73" t="s">
        <v>3134</v>
      </c>
      <c r="P174" s="65"/>
    </row>
    <row r="175" spans="1:16">
      <c r="A175" s="15">
        <v>172</v>
      </c>
      <c r="B175" s="16" t="s">
        <v>3324</v>
      </c>
      <c r="C175" s="16">
        <v>102</v>
      </c>
      <c r="D175" s="17" t="s">
        <v>29</v>
      </c>
      <c r="E175" s="18" t="s">
        <v>3326</v>
      </c>
      <c r="F175" s="18" t="s">
        <v>2928</v>
      </c>
      <c r="G175" s="18" t="s">
        <v>3142</v>
      </c>
      <c r="H175" s="192" t="s">
        <v>3334</v>
      </c>
      <c r="I175" s="192">
        <v>21243016</v>
      </c>
      <c r="J175" s="9" t="s">
        <v>3133</v>
      </c>
      <c r="K175" s="60"/>
      <c r="L175" s="65"/>
      <c r="M175" s="10">
        <v>1</v>
      </c>
      <c r="N175" s="67" t="s">
        <v>3134</v>
      </c>
      <c r="O175" s="73" t="s">
        <v>3134</v>
      </c>
      <c r="P175" s="65"/>
    </row>
    <row r="176" spans="1:16">
      <c r="A176" s="15">
        <v>173</v>
      </c>
      <c r="B176" s="16" t="s">
        <v>3324</v>
      </c>
      <c r="C176" s="16">
        <v>103</v>
      </c>
      <c r="D176" s="17" t="s">
        <v>29</v>
      </c>
      <c r="E176" s="18" t="s">
        <v>3326</v>
      </c>
      <c r="F176" s="18" t="s">
        <v>2928</v>
      </c>
      <c r="G176" s="18" t="s">
        <v>3142</v>
      </c>
      <c r="H176" s="192" t="s">
        <v>3335</v>
      </c>
      <c r="I176" s="192">
        <v>21246046</v>
      </c>
      <c r="J176" s="9" t="s">
        <v>3133</v>
      </c>
      <c r="K176" s="60"/>
      <c r="L176" s="65"/>
      <c r="M176" s="10">
        <v>1</v>
      </c>
      <c r="N176" s="67" t="s">
        <v>3134</v>
      </c>
      <c r="O176" s="73" t="s">
        <v>3134</v>
      </c>
      <c r="P176" s="65"/>
    </row>
    <row r="177" spans="1:16">
      <c r="A177" s="15">
        <v>174</v>
      </c>
      <c r="B177" s="16" t="s">
        <v>3324</v>
      </c>
      <c r="C177" s="16">
        <v>104</v>
      </c>
      <c r="D177" s="17" t="s">
        <v>29</v>
      </c>
      <c r="E177" s="18" t="s">
        <v>3326</v>
      </c>
      <c r="F177" s="18" t="s">
        <v>2928</v>
      </c>
      <c r="G177" s="18" t="s">
        <v>3142</v>
      </c>
      <c r="H177" s="192" t="s">
        <v>3336</v>
      </c>
      <c r="I177" s="192">
        <v>21246043</v>
      </c>
      <c r="J177" s="9" t="s">
        <v>3133</v>
      </c>
      <c r="K177" s="60"/>
      <c r="L177" s="65"/>
      <c r="M177" s="10">
        <v>1</v>
      </c>
      <c r="N177" s="67" t="s">
        <v>3134</v>
      </c>
      <c r="O177" s="73" t="s">
        <v>3134</v>
      </c>
      <c r="P177" s="65"/>
    </row>
    <row r="178" spans="1:16">
      <c r="A178" s="15">
        <v>175</v>
      </c>
      <c r="B178" s="16" t="s">
        <v>3324</v>
      </c>
      <c r="C178" s="16">
        <v>201</v>
      </c>
      <c r="D178" s="17" t="s">
        <v>29</v>
      </c>
      <c r="E178" s="18" t="s">
        <v>3326</v>
      </c>
      <c r="F178" s="18" t="s">
        <v>2928</v>
      </c>
      <c r="G178" s="18" t="s">
        <v>3142</v>
      </c>
      <c r="H178" s="192" t="s">
        <v>3337</v>
      </c>
      <c r="I178" s="192">
        <v>21246051</v>
      </c>
      <c r="J178" s="9" t="s">
        <v>3133</v>
      </c>
      <c r="K178" s="60"/>
      <c r="L178" s="65"/>
      <c r="M178" s="10">
        <v>1</v>
      </c>
      <c r="N178" s="67" t="s">
        <v>3134</v>
      </c>
      <c r="O178" s="73" t="s">
        <v>3134</v>
      </c>
      <c r="P178" s="65"/>
    </row>
    <row r="179" spans="1:16">
      <c r="A179" s="15">
        <v>176</v>
      </c>
      <c r="B179" s="16" t="s">
        <v>3324</v>
      </c>
      <c r="C179" s="16">
        <v>202</v>
      </c>
      <c r="D179" s="17" t="s">
        <v>29</v>
      </c>
      <c r="E179" s="18" t="s">
        <v>3326</v>
      </c>
      <c r="F179" s="18" t="s">
        <v>2928</v>
      </c>
      <c r="G179" s="18" t="s">
        <v>3142</v>
      </c>
      <c r="H179" s="192" t="s">
        <v>3338</v>
      </c>
      <c r="I179" s="192">
        <v>21243015</v>
      </c>
      <c r="J179" s="9" t="s">
        <v>3133</v>
      </c>
      <c r="K179" s="60"/>
      <c r="L179" s="65"/>
      <c r="M179" s="10">
        <v>1</v>
      </c>
      <c r="N179" s="67" t="s">
        <v>3134</v>
      </c>
      <c r="O179" s="73" t="s">
        <v>3134</v>
      </c>
      <c r="P179" s="65"/>
    </row>
    <row r="180" spans="1:16">
      <c r="A180" s="15">
        <v>177</v>
      </c>
      <c r="B180" s="16" t="s">
        <v>3324</v>
      </c>
      <c r="C180" s="16">
        <v>203</v>
      </c>
      <c r="D180" s="17" t="s">
        <v>29</v>
      </c>
      <c r="E180" s="18" t="s">
        <v>3326</v>
      </c>
      <c r="F180" s="18" t="s">
        <v>2928</v>
      </c>
      <c r="G180" s="18" t="s">
        <v>3142</v>
      </c>
      <c r="H180" s="192" t="s">
        <v>3339</v>
      </c>
      <c r="I180" s="192">
        <v>21485443</v>
      </c>
      <c r="J180" s="9" t="s">
        <v>3133</v>
      </c>
      <c r="K180" s="60"/>
      <c r="L180" s="65"/>
      <c r="M180" s="10">
        <v>1</v>
      </c>
      <c r="N180" s="67" t="s">
        <v>3134</v>
      </c>
      <c r="O180" s="73" t="s">
        <v>3134</v>
      </c>
      <c r="P180" s="65"/>
    </row>
    <row r="181" spans="1:16">
      <c r="A181" s="15">
        <v>178</v>
      </c>
      <c r="B181" s="16" t="s">
        <v>3324</v>
      </c>
      <c r="C181" s="16">
        <v>204</v>
      </c>
      <c r="D181" s="17" t="s">
        <v>29</v>
      </c>
      <c r="E181" s="18" t="s">
        <v>3326</v>
      </c>
      <c r="F181" s="18" t="s">
        <v>2928</v>
      </c>
      <c r="G181" s="18" t="s">
        <v>3142</v>
      </c>
      <c r="H181" s="192" t="s">
        <v>3340</v>
      </c>
      <c r="I181" s="192">
        <v>20099879</v>
      </c>
      <c r="J181" s="9" t="s">
        <v>3133</v>
      </c>
      <c r="K181" s="60"/>
      <c r="L181" s="65"/>
      <c r="M181" s="10">
        <v>1</v>
      </c>
      <c r="N181" s="67" t="s">
        <v>3134</v>
      </c>
      <c r="O181" s="73" t="s">
        <v>3134</v>
      </c>
      <c r="P181" s="65"/>
    </row>
    <row r="182" spans="1:16">
      <c r="A182" s="15">
        <v>179</v>
      </c>
      <c r="B182" s="16" t="s">
        <v>3324</v>
      </c>
      <c r="C182" s="16">
        <v>301</v>
      </c>
      <c r="D182" s="17" t="s">
        <v>29</v>
      </c>
      <c r="E182" s="18" t="s">
        <v>3326</v>
      </c>
      <c r="F182" s="18" t="s">
        <v>2928</v>
      </c>
      <c r="G182" s="18" t="s">
        <v>3142</v>
      </c>
      <c r="H182" s="192" t="s">
        <v>3341</v>
      </c>
      <c r="I182" s="192">
        <v>21586776</v>
      </c>
      <c r="J182" s="9" t="s">
        <v>3133</v>
      </c>
      <c r="K182" s="60"/>
      <c r="L182" s="65"/>
      <c r="M182" s="10">
        <v>1</v>
      </c>
      <c r="N182" s="67" t="s">
        <v>3134</v>
      </c>
      <c r="O182" s="73" t="s">
        <v>3134</v>
      </c>
      <c r="P182" s="65"/>
    </row>
    <row r="183" spans="1:16">
      <c r="A183" s="15">
        <v>180</v>
      </c>
      <c r="B183" s="16" t="s">
        <v>3324</v>
      </c>
      <c r="C183" s="16">
        <v>302</v>
      </c>
      <c r="D183" s="17" t="s">
        <v>29</v>
      </c>
      <c r="E183" s="18" t="s">
        <v>3326</v>
      </c>
      <c r="F183" s="18" t="s">
        <v>2928</v>
      </c>
      <c r="G183" s="18" t="s">
        <v>3142</v>
      </c>
      <c r="H183" s="192" t="s">
        <v>3342</v>
      </c>
      <c r="I183" s="192">
        <v>19582907</v>
      </c>
      <c r="J183" s="9" t="s">
        <v>3133</v>
      </c>
      <c r="K183" s="60"/>
      <c r="L183" s="65"/>
      <c r="M183" s="10">
        <v>1</v>
      </c>
      <c r="N183" s="67" t="s">
        <v>3134</v>
      </c>
      <c r="O183" s="73" t="s">
        <v>3134</v>
      </c>
      <c r="P183" s="65"/>
    </row>
    <row r="184" spans="1:16">
      <c r="A184" s="15">
        <v>181</v>
      </c>
      <c r="B184" s="16" t="s">
        <v>3324</v>
      </c>
      <c r="C184" s="16">
        <v>303</v>
      </c>
      <c r="D184" s="17" t="s">
        <v>29</v>
      </c>
      <c r="E184" s="18" t="s">
        <v>3326</v>
      </c>
      <c r="F184" s="18" t="s">
        <v>2928</v>
      </c>
      <c r="G184" s="18" t="s">
        <v>3142</v>
      </c>
      <c r="H184" s="192" t="s">
        <v>3343</v>
      </c>
      <c r="I184" s="192">
        <v>21246044</v>
      </c>
      <c r="J184" s="9" t="s">
        <v>3133</v>
      </c>
      <c r="K184" s="60"/>
      <c r="L184" s="65"/>
      <c r="M184" s="10">
        <v>1</v>
      </c>
      <c r="N184" s="67" t="s">
        <v>3134</v>
      </c>
      <c r="O184" s="73" t="s">
        <v>3134</v>
      </c>
      <c r="P184" s="65"/>
    </row>
    <row r="185" spans="1:16">
      <c r="A185" s="15">
        <v>182</v>
      </c>
      <c r="B185" s="16" t="s">
        <v>3324</v>
      </c>
      <c r="C185" s="16">
        <v>304</v>
      </c>
      <c r="D185" s="17" t="s">
        <v>29</v>
      </c>
      <c r="E185" s="18" t="s">
        <v>3326</v>
      </c>
      <c r="F185" s="18" t="s">
        <v>2928</v>
      </c>
      <c r="G185" s="18" t="s">
        <v>3142</v>
      </c>
      <c r="H185" s="192" t="s">
        <v>3344</v>
      </c>
      <c r="I185" s="192">
        <v>21246037</v>
      </c>
      <c r="J185" s="9" t="s">
        <v>3133</v>
      </c>
      <c r="K185" s="60"/>
      <c r="L185" s="65"/>
      <c r="M185" s="10">
        <v>1</v>
      </c>
      <c r="N185" s="67" t="s">
        <v>3134</v>
      </c>
      <c r="O185" s="73" t="s">
        <v>3134</v>
      </c>
      <c r="P185" s="65"/>
    </row>
    <row r="186" spans="1:16">
      <c r="A186" s="15">
        <v>183</v>
      </c>
      <c r="B186" s="16" t="s">
        <v>2027</v>
      </c>
      <c r="C186" s="16">
        <v>201</v>
      </c>
      <c r="D186" s="17" t="s">
        <v>30</v>
      </c>
      <c r="E186" s="18" t="s">
        <v>3345</v>
      </c>
      <c r="F186" s="18" t="s">
        <v>3142</v>
      </c>
      <c r="G186" s="18"/>
      <c r="H186" s="192" t="s">
        <v>3346</v>
      </c>
      <c r="I186" s="192">
        <v>21607333</v>
      </c>
      <c r="J186" s="9" t="s">
        <v>3133</v>
      </c>
      <c r="K186" s="60"/>
      <c r="L186" s="65"/>
      <c r="M186" s="10">
        <v>1</v>
      </c>
      <c r="N186" s="67" t="s">
        <v>3166</v>
      </c>
      <c r="O186" s="73" t="s">
        <v>3166</v>
      </c>
      <c r="P186" s="65"/>
    </row>
    <row r="187" spans="1:16">
      <c r="A187" s="15">
        <v>184</v>
      </c>
      <c r="B187" s="16" t="s">
        <v>2027</v>
      </c>
      <c r="C187" s="16">
        <v>202</v>
      </c>
      <c r="D187" s="17" t="s">
        <v>30</v>
      </c>
      <c r="E187" s="18" t="s">
        <v>3345</v>
      </c>
      <c r="F187" s="18" t="s">
        <v>3142</v>
      </c>
      <c r="G187" s="18"/>
      <c r="H187" s="192" t="s">
        <v>3347</v>
      </c>
      <c r="I187" s="192">
        <v>21607330</v>
      </c>
      <c r="J187" s="9" t="s">
        <v>3133</v>
      </c>
      <c r="K187" s="60"/>
      <c r="L187" s="65"/>
      <c r="M187" s="10">
        <v>1</v>
      </c>
      <c r="N187" s="67" t="s">
        <v>3166</v>
      </c>
      <c r="O187" s="73" t="s">
        <v>3166</v>
      </c>
      <c r="P187" s="65"/>
    </row>
    <row r="188" spans="1:16">
      <c r="A188" s="15">
        <v>185</v>
      </c>
      <c r="B188" s="16" t="s">
        <v>2027</v>
      </c>
      <c r="C188" s="16">
        <v>203</v>
      </c>
      <c r="D188" s="17" t="s">
        <v>30</v>
      </c>
      <c r="E188" s="18" t="s">
        <v>3345</v>
      </c>
      <c r="F188" s="18" t="s">
        <v>3142</v>
      </c>
      <c r="G188" s="18"/>
      <c r="H188" s="192" t="s">
        <v>3348</v>
      </c>
      <c r="I188" s="192">
        <v>21607327</v>
      </c>
      <c r="J188" s="9" t="s">
        <v>3133</v>
      </c>
      <c r="K188" s="60"/>
      <c r="L188" s="65"/>
      <c r="M188" s="10">
        <v>1</v>
      </c>
      <c r="N188" s="67" t="s">
        <v>3166</v>
      </c>
      <c r="O188" s="73" t="s">
        <v>3166</v>
      </c>
      <c r="P188" s="65"/>
    </row>
    <row r="189" spans="1:16">
      <c r="A189" s="15">
        <v>186</v>
      </c>
      <c r="B189" s="16" t="s">
        <v>2027</v>
      </c>
      <c r="C189" s="16">
        <v>204</v>
      </c>
      <c r="D189" s="17" t="s">
        <v>30</v>
      </c>
      <c r="E189" s="18" t="s">
        <v>3345</v>
      </c>
      <c r="F189" s="18" t="s">
        <v>3142</v>
      </c>
      <c r="G189" s="18"/>
      <c r="H189" s="192" t="s">
        <v>3349</v>
      </c>
      <c r="I189" s="192">
        <v>21607326</v>
      </c>
      <c r="J189" s="9" t="s">
        <v>3133</v>
      </c>
      <c r="K189" s="60"/>
      <c r="L189" s="65"/>
      <c r="M189" s="10">
        <v>1</v>
      </c>
      <c r="N189" s="67" t="s">
        <v>3166</v>
      </c>
      <c r="O189" s="73" t="s">
        <v>3166</v>
      </c>
      <c r="P189" s="65"/>
    </row>
    <row r="190" spans="1:16">
      <c r="A190" s="15">
        <v>187</v>
      </c>
      <c r="B190" s="16" t="s">
        <v>2027</v>
      </c>
      <c r="C190" s="16">
        <v>301</v>
      </c>
      <c r="D190" s="17" t="s">
        <v>30</v>
      </c>
      <c r="E190" s="18" t="s">
        <v>3345</v>
      </c>
      <c r="F190" s="18" t="s">
        <v>3142</v>
      </c>
      <c r="G190" s="18"/>
      <c r="H190" s="192" t="s">
        <v>3350</v>
      </c>
      <c r="I190" s="192">
        <v>21607332</v>
      </c>
      <c r="J190" s="9" t="s">
        <v>3133</v>
      </c>
      <c r="K190" s="60"/>
      <c r="L190" s="65"/>
      <c r="M190" s="10">
        <v>1</v>
      </c>
      <c r="N190" s="67" t="s">
        <v>3166</v>
      </c>
      <c r="O190" s="73" t="s">
        <v>3166</v>
      </c>
      <c r="P190" s="65"/>
    </row>
    <row r="191" spans="1:16">
      <c r="A191" s="15">
        <v>188</v>
      </c>
      <c r="B191" s="16" t="s">
        <v>2027</v>
      </c>
      <c r="C191" s="16">
        <v>302</v>
      </c>
      <c r="D191" s="17" t="s">
        <v>30</v>
      </c>
      <c r="E191" s="18" t="s">
        <v>3345</v>
      </c>
      <c r="F191" s="18" t="s">
        <v>3142</v>
      </c>
      <c r="G191" s="18"/>
      <c r="H191" s="192" t="s">
        <v>3351</v>
      </c>
      <c r="I191" s="192">
        <v>21607331</v>
      </c>
      <c r="J191" s="9" t="s">
        <v>3133</v>
      </c>
      <c r="K191" s="60"/>
      <c r="L191" s="65"/>
      <c r="M191" s="10">
        <v>1</v>
      </c>
      <c r="N191" s="67" t="s">
        <v>3166</v>
      </c>
      <c r="O191" s="73" t="s">
        <v>3166</v>
      </c>
      <c r="P191" s="65"/>
    </row>
    <row r="192" spans="1:16">
      <c r="A192" s="15">
        <v>189</v>
      </c>
      <c r="B192" s="16" t="s">
        <v>2027</v>
      </c>
      <c r="C192" s="16">
        <v>303</v>
      </c>
      <c r="D192" s="17" t="s">
        <v>30</v>
      </c>
      <c r="E192" s="18" t="s">
        <v>3345</v>
      </c>
      <c r="F192" s="18" t="s">
        <v>3142</v>
      </c>
      <c r="G192" s="18"/>
      <c r="H192" s="192" t="s">
        <v>3352</v>
      </c>
      <c r="I192" s="192">
        <v>21607329</v>
      </c>
      <c r="J192" s="9" t="s">
        <v>3133</v>
      </c>
      <c r="K192" s="60"/>
      <c r="L192" s="65"/>
      <c r="M192" s="10">
        <v>1</v>
      </c>
      <c r="N192" s="67" t="s">
        <v>3166</v>
      </c>
      <c r="O192" s="73" t="s">
        <v>3166</v>
      </c>
      <c r="P192" s="65"/>
    </row>
    <row r="193" spans="1:16">
      <c r="A193" s="15">
        <v>190</v>
      </c>
      <c r="B193" s="16" t="s">
        <v>2027</v>
      </c>
      <c r="C193" s="16">
        <v>304</v>
      </c>
      <c r="D193" s="17" t="s">
        <v>30</v>
      </c>
      <c r="E193" s="18" t="s">
        <v>3345</v>
      </c>
      <c r="F193" s="18" t="s">
        <v>3142</v>
      </c>
      <c r="G193" s="18"/>
      <c r="H193" s="192" t="s">
        <v>3353</v>
      </c>
      <c r="I193" s="192">
        <v>21605625</v>
      </c>
      <c r="J193" s="9" t="s">
        <v>3133</v>
      </c>
      <c r="K193" s="60"/>
      <c r="L193" s="65"/>
      <c r="M193" s="10">
        <v>1</v>
      </c>
      <c r="N193" s="67" t="s">
        <v>3166</v>
      </c>
      <c r="O193" s="73" t="s">
        <v>3166</v>
      </c>
      <c r="P193" s="65"/>
    </row>
    <row r="194" spans="1:16">
      <c r="A194" s="15">
        <v>191</v>
      </c>
      <c r="B194" s="16" t="s">
        <v>2027</v>
      </c>
      <c r="C194" s="16">
        <v>401</v>
      </c>
      <c r="D194" s="17" t="s">
        <v>30</v>
      </c>
      <c r="E194" s="18" t="s">
        <v>3345</v>
      </c>
      <c r="F194" s="18" t="s">
        <v>3142</v>
      </c>
      <c r="G194" s="18"/>
      <c r="H194" s="192" t="s">
        <v>3354</v>
      </c>
      <c r="I194" s="192">
        <v>27317143</v>
      </c>
      <c r="J194" s="9" t="s">
        <v>3133</v>
      </c>
      <c r="K194" s="60"/>
      <c r="L194" s="65"/>
      <c r="M194" s="10">
        <v>1</v>
      </c>
      <c r="N194" s="67" t="s">
        <v>3166</v>
      </c>
      <c r="O194" s="73" t="s">
        <v>3166</v>
      </c>
      <c r="P194" s="65"/>
    </row>
    <row r="195" spans="1:16">
      <c r="A195" s="15">
        <v>192</v>
      </c>
      <c r="B195" s="16" t="s">
        <v>3355</v>
      </c>
      <c r="C195" s="16" t="s">
        <v>3325</v>
      </c>
      <c r="D195" s="17" t="s">
        <v>29</v>
      </c>
      <c r="E195" s="18" t="s">
        <v>3356</v>
      </c>
      <c r="F195" s="18" t="s">
        <v>3357</v>
      </c>
      <c r="G195" s="18"/>
      <c r="H195" s="192"/>
      <c r="I195" s="192"/>
      <c r="J195" s="9" t="s">
        <v>3136</v>
      </c>
      <c r="K195" s="60"/>
      <c r="L195" s="65"/>
      <c r="M195" s="10">
        <v>2</v>
      </c>
      <c r="N195" s="67" t="s">
        <v>3134</v>
      </c>
      <c r="O195" s="73"/>
      <c r="P195" s="65"/>
    </row>
    <row r="196" spans="1:16">
      <c r="A196" s="15">
        <v>193</v>
      </c>
      <c r="B196" s="16" t="s">
        <v>2004</v>
      </c>
      <c r="C196" s="16">
        <v>101</v>
      </c>
      <c r="D196" s="17" t="s">
        <v>29</v>
      </c>
      <c r="E196" s="18" t="s">
        <v>3356</v>
      </c>
      <c r="F196" s="18" t="s">
        <v>3357</v>
      </c>
      <c r="G196" s="18"/>
      <c r="H196" s="192"/>
      <c r="I196" s="192"/>
      <c r="J196" s="9" t="s">
        <v>3136</v>
      </c>
      <c r="K196" s="60"/>
      <c r="L196" s="65"/>
      <c r="M196" s="10">
        <v>2</v>
      </c>
      <c r="N196" s="67" t="s">
        <v>3134</v>
      </c>
      <c r="O196" s="73"/>
      <c r="P196" s="65"/>
    </row>
    <row r="197" spans="1:16">
      <c r="A197" s="15">
        <v>194</v>
      </c>
      <c r="B197" s="16" t="s">
        <v>3355</v>
      </c>
      <c r="C197" s="16">
        <v>102</v>
      </c>
      <c r="D197" s="17" t="s">
        <v>29</v>
      </c>
      <c r="E197" s="18" t="s">
        <v>3356</v>
      </c>
      <c r="F197" s="18" t="s">
        <v>3357</v>
      </c>
      <c r="G197" s="18"/>
      <c r="H197" s="192"/>
      <c r="I197" s="192"/>
      <c r="J197" s="9" t="s">
        <v>3136</v>
      </c>
      <c r="K197" s="60"/>
      <c r="L197" s="65"/>
      <c r="M197" s="10">
        <v>2</v>
      </c>
      <c r="N197" s="67" t="s">
        <v>3134</v>
      </c>
      <c r="O197" s="73"/>
      <c r="P197" s="65"/>
    </row>
    <row r="198" spans="1:16">
      <c r="A198" s="15">
        <v>195</v>
      </c>
      <c r="B198" s="16" t="s">
        <v>3355</v>
      </c>
      <c r="C198" s="16" t="s">
        <v>3358</v>
      </c>
      <c r="D198" s="17" t="s">
        <v>29</v>
      </c>
      <c r="E198" s="18" t="s">
        <v>3356</v>
      </c>
      <c r="F198" s="18" t="s">
        <v>3357</v>
      </c>
      <c r="G198" s="18"/>
      <c r="H198" s="192"/>
      <c r="I198" s="192"/>
      <c r="J198" s="9" t="s">
        <v>3136</v>
      </c>
      <c r="K198" s="60"/>
      <c r="L198" s="65"/>
      <c r="M198" s="10">
        <v>2</v>
      </c>
      <c r="N198" s="67" t="s">
        <v>3134</v>
      </c>
      <c r="O198" s="73"/>
      <c r="P198" s="65"/>
    </row>
    <row r="199" spans="1:16">
      <c r="A199" s="15">
        <v>196</v>
      </c>
      <c r="B199" s="16" t="s">
        <v>3355</v>
      </c>
      <c r="C199" s="16">
        <v>301</v>
      </c>
      <c r="D199" s="17" t="s">
        <v>29</v>
      </c>
      <c r="E199" s="18" t="s">
        <v>3356</v>
      </c>
      <c r="F199" s="18" t="s">
        <v>3357</v>
      </c>
      <c r="G199" s="18"/>
      <c r="H199" s="192"/>
      <c r="I199" s="192"/>
      <c r="J199" s="9" t="s">
        <v>3136</v>
      </c>
      <c r="K199" s="60"/>
      <c r="L199" s="65"/>
      <c r="M199" s="10">
        <v>2</v>
      </c>
      <c r="N199" s="67" t="s">
        <v>3134</v>
      </c>
      <c r="O199" s="73"/>
      <c r="P199" s="65"/>
    </row>
    <row r="200" spans="1:16">
      <c r="A200" s="15">
        <v>197</v>
      </c>
      <c r="B200" s="16" t="s">
        <v>3355</v>
      </c>
      <c r="C200" s="16">
        <v>302</v>
      </c>
      <c r="D200" s="17" t="s">
        <v>29</v>
      </c>
      <c r="E200" s="18" t="s">
        <v>3356</v>
      </c>
      <c r="F200" s="18" t="s">
        <v>3357</v>
      </c>
      <c r="G200" s="18"/>
      <c r="H200" s="192"/>
      <c r="I200" s="192"/>
      <c r="J200" s="9" t="s">
        <v>3136</v>
      </c>
      <c r="K200" s="60"/>
      <c r="L200" s="65"/>
      <c r="M200" s="10">
        <v>2</v>
      </c>
      <c r="N200" s="67" t="s">
        <v>3134</v>
      </c>
      <c r="O200" s="73"/>
      <c r="P200" s="65"/>
    </row>
    <row r="201" spans="1:16">
      <c r="A201" s="15">
        <v>198</v>
      </c>
      <c r="B201" s="16" t="s">
        <v>3355</v>
      </c>
      <c r="C201" s="16" t="s">
        <v>3359</v>
      </c>
      <c r="D201" s="17" t="s">
        <v>29</v>
      </c>
      <c r="E201" s="18" t="s">
        <v>3356</v>
      </c>
      <c r="F201" s="18" t="s">
        <v>3357</v>
      </c>
      <c r="G201" s="18"/>
      <c r="H201" s="192"/>
      <c r="I201" s="192"/>
      <c r="J201" s="9" t="s">
        <v>3136</v>
      </c>
      <c r="K201" s="60"/>
      <c r="L201" s="65"/>
      <c r="M201" s="10">
        <v>2</v>
      </c>
      <c r="N201" s="67" t="s">
        <v>3134</v>
      </c>
      <c r="O201" s="73"/>
      <c r="P201" s="65"/>
    </row>
    <row r="202" spans="1:16">
      <c r="A202" s="15">
        <v>199</v>
      </c>
      <c r="B202" s="16" t="s">
        <v>3360</v>
      </c>
      <c r="C202" s="16">
        <v>201</v>
      </c>
      <c r="D202" s="17" t="s">
        <v>30</v>
      </c>
      <c r="E202" s="18" t="s">
        <v>3361</v>
      </c>
      <c r="F202" s="18" t="s">
        <v>3142</v>
      </c>
      <c r="G202" s="18"/>
      <c r="H202" s="192" t="s">
        <v>3362</v>
      </c>
      <c r="I202" s="192">
        <v>23423077</v>
      </c>
      <c r="J202" s="9" t="s">
        <v>3133</v>
      </c>
      <c r="K202" s="60"/>
      <c r="L202" s="65"/>
      <c r="M202" s="10">
        <v>1</v>
      </c>
      <c r="N202" s="67" t="s">
        <v>3134</v>
      </c>
      <c r="O202" s="73" t="s">
        <v>3134</v>
      </c>
      <c r="P202" s="65"/>
    </row>
    <row r="203" spans="1:16">
      <c r="A203" s="15">
        <v>200</v>
      </c>
      <c r="B203" s="16" t="s">
        <v>3360</v>
      </c>
      <c r="C203" s="16">
        <v>202</v>
      </c>
      <c r="D203" s="17" t="s">
        <v>30</v>
      </c>
      <c r="E203" s="18" t="s">
        <v>3361</v>
      </c>
      <c r="F203" s="18" t="s">
        <v>3142</v>
      </c>
      <c r="G203" s="18"/>
      <c r="H203" s="192" t="s">
        <v>3363</v>
      </c>
      <c r="I203" s="192">
        <v>21873902</v>
      </c>
      <c r="J203" s="9" t="s">
        <v>3133</v>
      </c>
      <c r="K203" s="60"/>
      <c r="L203" s="65"/>
      <c r="M203" s="10">
        <v>1</v>
      </c>
      <c r="N203" s="67" t="s">
        <v>3134</v>
      </c>
      <c r="O203" s="73" t="s">
        <v>3134</v>
      </c>
      <c r="P203" s="65"/>
    </row>
    <row r="204" spans="1:16">
      <c r="A204" s="15">
        <v>201</v>
      </c>
      <c r="B204" s="16" t="s">
        <v>3360</v>
      </c>
      <c r="C204" s="16">
        <v>203</v>
      </c>
      <c r="D204" s="17" t="s">
        <v>29</v>
      </c>
      <c r="E204" s="18" t="s">
        <v>3361</v>
      </c>
      <c r="F204" s="18" t="s">
        <v>3142</v>
      </c>
      <c r="G204" s="18"/>
      <c r="H204" s="192" t="s">
        <v>3364</v>
      </c>
      <c r="I204" s="192">
        <v>23751491</v>
      </c>
      <c r="J204" s="9" t="s">
        <v>3133</v>
      </c>
      <c r="K204" s="60"/>
      <c r="L204" s="65"/>
      <c r="M204" s="10">
        <v>1</v>
      </c>
      <c r="N204" s="67" t="s">
        <v>3134</v>
      </c>
      <c r="O204" s="73" t="s">
        <v>3134</v>
      </c>
      <c r="P204" s="65"/>
    </row>
    <row r="205" spans="1:16">
      <c r="A205" s="15">
        <v>202</v>
      </c>
      <c r="B205" s="16" t="s">
        <v>3360</v>
      </c>
      <c r="C205" s="16">
        <v>301</v>
      </c>
      <c r="D205" s="17" t="s">
        <v>30</v>
      </c>
      <c r="E205" s="18" t="s">
        <v>3361</v>
      </c>
      <c r="F205" s="18" t="s">
        <v>3142</v>
      </c>
      <c r="G205" s="18"/>
      <c r="H205" s="192" t="s">
        <v>3365</v>
      </c>
      <c r="I205" s="192">
        <v>24257406</v>
      </c>
      <c r="J205" s="9" t="s">
        <v>3133</v>
      </c>
      <c r="K205" s="60"/>
      <c r="L205" s="65"/>
      <c r="M205" s="10">
        <v>1</v>
      </c>
      <c r="N205" s="67" t="s">
        <v>3134</v>
      </c>
      <c r="O205" s="73" t="s">
        <v>3134</v>
      </c>
      <c r="P205" s="65"/>
    </row>
    <row r="206" spans="1:16">
      <c r="A206" s="15">
        <v>203</v>
      </c>
      <c r="B206" s="16" t="s">
        <v>3360</v>
      </c>
      <c r="C206" s="16">
        <v>302</v>
      </c>
      <c r="D206" s="17" t="s">
        <v>30</v>
      </c>
      <c r="E206" s="18" t="s">
        <v>3361</v>
      </c>
      <c r="F206" s="18" t="s">
        <v>3142</v>
      </c>
      <c r="G206" s="18"/>
      <c r="H206" s="192" t="s">
        <v>3366</v>
      </c>
      <c r="I206" s="192">
        <v>22541011</v>
      </c>
      <c r="J206" s="9" t="s">
        <v>3133</v>
      </c>
      <c r="K206" s="60"/>
      <c r="L206" s="65"/>
      <c r="M206" s="10">
        <v>1</v>
      </c>
      <c r="N206" s="67" t="s">
        <v>3134</v>
      </c>
      <c r="O206" s="73" t="s">
        <v>3134</v>
      </c>
      <c r="P206" s="65"/>
    </row>
    <row r="207" spans="1:16">
      <c r="A207" s="15">
        <v>204</v>
      </c>
      <c r="B207" s="16" t="s">
        <v>3360</v>
      </c>
      <c r="C207" s="16">
        <v>303</v>
      </c>
      <c r="D207" s="17" t="s">
        <v>30</v>
      </c>
      <c r="E207" s="18" t="s">
        <v>3361</v>
      </c>
      <c r="F207" s="18" t="s">
        <v>3142</v>
      </c>
      <c r="G207" s="18"/>
      <c r="H207" s="192" t="s">
        <v>3367</v>
      </c>
      <c r="I207" s="192">
        <v>22125110</v>
      </c>
      <c r="J207" s="9" t="s">
        <v>3133</v>
      </c>
      <c r="K207" s="60"/>
      <c r="L207" s="65"/>
      <c r="M207" s="10">
        <v>1</v>
      </c>
      <c r="N207" s="67" t="s">
        <v>3134</v>
      </c>
      <c r="O207" s="73" t="s">
        <v>3134</v>
      </c>
      <c r="P207" s="65"/>
    </row>
    <row r="208" spans="1:16">
      <c r="A208" s="15">
        <v>205</v>
      </c>
      <c r="B208" s="16" t="s">
        <v>3360</v>
      </c>
      <c r="C208" s="16">
        <v>401</v>
      </c>
      <c r="D208" s="17" t="s">
        <v>30</v>
      </c>
      <c r="E208" s="18" t="s">
        <v>3361</v>
      </c>
      <c r="F208" s="18" t="s">
        <v>3142</v>
      </c>
      <c r="G208" s="18"/>
      <c r="H208" s="192" t="s">
        <v>3368</v>
      </c>
      <c r="I208" s="192">
        <v>21506293</v>
      </c>
      <c r="J208" s="9" t="s">
        <v>3133</v>
      </c>
      <c r="K208" s="60"/>
      <c r="L208" s="65"/>
      <c r="M208" s="10">
        <v>1</v>
      </c>
      <c r="N208" s="67" t="s">
        <v>3134</v>
      </c>
      <c r="O208" s="73" t="s">
        <v>3134</v>
      </c>
      <c r="P208" s="65"/>
    </row>
    <row r="209" spans="1:16">
      <c r="A209" s="15">
        <v>206</v>
      </c>
      <c r="B209" s="16" t="s">
        <v>3360</v>
      </c>
      <c r="C209" s="16">
        <v>601</v>
      </c>
      <c r="D209" s="17" t="s">
        <v>30</v>
      </c>
      <c r="E209" s="18" t="s">
        <v>3361</v>
      </c>
      <c r="F209" s="18" t="s">
        <v>3142</v>
      </c>
      <c r="G209" s="18"/>
      <c r="H209" s="192" t="s">
        <v>3369</v>
      </c>
      <c r="I209" s="192" t="s">
        <v>3370</v>
      </c>
      <c r="J209" s="9" t="s">
        <v>3133</v>
      </c>
      <c r="K209" s="60"/>
      <c r="L209" s="65"/>
      <c r="M209" s="10">
        <v>1</v>
      </c>
      <c r="N209" s="67" t="s">
        <v>3134</v>
      </c>
      <c r="O209" s="73" t="s">
        <v>3134</v>
      </c>
      <c r="P209" s="65"/>
    </row>
    <row r="210" spans="1:16">
      <c r="A210" s="15">
        <v>207</v>
      </c>
      <c r="B210" s="16" t="s">
        <v>3371</v>
      </c>
      <c r="C210" s="16">
        <v>501</v>
      </c>
      <c r="D210" s="17" t="s">
        <v>30</v>
      </c>
      <c r="E210" s="18" t="s">
        <v>3372</v>
      </c>
      <c r="F210" s="18" t="s">
        <v>3142</v>
      </c>
      <c r="G210" s="18"/>
      <c r="H210" s="192" t="s">
        <v>3373</v>
      </c>
      <c r="I210" s="192">
        <v>23652646</v>
      </c>
      <c r="J210" s="9" t="s">
        <v>3133</v>
      </c>
      <c r="K210" s="60"/>
      <c r="L210" s="65"/>
      <c r="M210" s="10">
        <v>1</v>
      </c>
      <c r="N210" s="67" t="s">
        <v>3134</v>
      </c>
      <c r="O210" s="73" t="s">
        <v>3134</v>
      </c>
      <c r="P210" s="65"/>
    </row>
    <row r="211" spans="1:16">
      <c r="A211" s="15">
        <v>208</v>
      </c>
      <c r="B211" s="16" t="s">
        <v>3371</v>
      </c>
      <c r="C211" s="16">
        <v>502</v>
      </c>
      <c r="D211" s="17" t="s">
        <v>30</v>
      </c>
      <c r="E211" s="18" t="s">
        <v>3372</v>
      </c>
      <c r="F211" s="18" t="s">
        <v>3142</v>
      </c>
      <c r="G211" s="18"/>
      <c r="H211" s="192" t="s">
        <v>3374</v>
      </c>
      <c r="I211" s="192">
        <v>23652647</v>
      </c>
      <c r="J211" s="9" t="s">
        <v>3133</v>
      </c>
      <c r="K211" s="60"/>
      <c r="L211" s="65"/>
      <c r="M211" s="10">
        <v>1</v>
      </c>
      <c r="N211" s="67" t="s">
        <v>3134</v>
      </c>
      <c r="O211" s="73" t="s">
        <v>3134</v>
      </c>
      <c r="P211" s="65"/>
    </row>
    <row r="212" spans="1:16">
      <c r="A212" s="15">
        <v>209</v>
      </c>
      <c r="B212" s="16" t="s">
        <v>3371</v>
      </c>
      <c r="C212" s="16">
        <v>503</v>
      </c>
      <c r="D212" s="17" t="s">
        <v>30</v>
      </c>
      <c r="E212" s="18" t="s">
        <v>3372</v>
      </c>
      <c r="F212" s="18" t="s">
        <v>3142</v>
      </c>
      <c r="G212" s="18"/>
      <c r="H212" s="192" t="s">
        <v>3375</v>
      </c>
      <c r="I212" s="192">
        <v>23652645</v>
      </c>
      <c r="J212" s="9" t="s">
        <v>3133</v>
      </c>
      <c r="K212" s="60"/>
      <c r="L212" s="65"/>
      <c r="M212" s="10">
        <v>1</v>
      </c>
      <c r="N212" s="67" t="s">
        <v>3134</v>
      </c>
      <c r="O212" s="73" t="s">
        <v>3134</v>
      </c>
      <c r="P212" s="65"/>
    </row>
    <row r="213" spans="1:16">
      <c r="A213" s="15">
        <v>210</v>
      </c>
      <c r="B213" s="16" t="s">
        <v>3371</v>
      </c>
      <c r="C213" s="16">
        <v>504</v>
      </c>
      <c r="D213" s="17" t="s">
        <v>30</v>
      </c>
      <c r="E213" s="18" t="s">
        <v>3372</v>
      </c>
      <c r="F213" s="18" t="s">
        <v>3142</v>
      </c>
      <c r="G213" s="18"/>
      <c r="H213" s="192" t="s">
        <v>3376</v>
      </c>
      <c r="I213" s="192">
        <v>23652644</v>
      </c>
      <c r="J213" s="9" t="s">
        <v>3133</v>
      </c>
      <c r="K213" s="60"/>
      <c r="L213" s="65"/>
      <c r="M213" s="10">
        <v>1</v>
      </c>
      <c r="N213" s="67" t="s">
        <v>3134</v>
      </c>
      <c r="O213" s="73" t="s">
        <v>3134</v>
      </c>
      <c r="P213" s="65"/>
    </row>
    <row r="214" spans="1:16">
      <c r="A214" s="15">
        <v>211</v>
      </c>
      <c r="B214" s="16" t="s">
        <v>3371</v>
      </c>
      <c r="C214" s="16">
        <v>505</v>
      </c>
      <c r="D214" s="17" t="s">
        <v>30</v>
      </c>
      <c r="E214" s="18" t="s">
        <v>3372</v>
      </c>
      <c r="F214" s="18" t="s">
        <v>3142</v>
      </c>
      <c r="G214" s="18"/>
      <c r="H214" s="192" t="s">
        <v>3377</v>
      </c>
      <c r="I214" s="192">
        <v>23652643</v>
      </c>
      <c r="J214" s="9" t="s">
        <v>3133</v>
      </c>
      <c r="K214" s="60"/>
      <c r="L214" s="65"/>
      <c r="M214" s="10">
        <v>1</v>
      </c>
      <c r="N214" s="67" t="s">
        <v>3134</v>
      </c>
      <c r="O214" s="73" t="s">
        <v>3134</v>
      </c>
      <c r="P214" s="65"/>
    </row>
    <row r="215" spans="1:16">
      <c r="A215" s="15">
        <v>212</v>
      </c>
      <c r="B215" s="16" t="s">
        <v>3371</v>
      </c>
      <c r="C215" s="16">
        <v>506</v>
      </c>
      <c r="D215" s="17" t="s">
        <v>30</v>
      </c>
      <c r="E215" s="18" t="s">
        <v>3372</v>
      </c>
      <c r="F215" s="18" t="s">
        <v>3142</v>
      </c>
      <c r="G215" s="18"/>
      <c r="H215" s="192" t="s">
        <v>3378</v>
      </c>
      <c r="I215" s="192">
        <v>23652642</v>
      </c>
      <c r="J215" s="9" t="s">
        <v>3133</v>
      </c>
      <c r="K215" s="60"/>
      <c r="L215" s="65"/>
      <c r="M215" s="10">
        <v>1</v>
      </c>
      <c r="N215" s="67" t="s">
        <v>3134</v>
      </c>
      <c r="O215" s="73" t="s">
        <v>3134</v>
      </c>
      <c r="P215" s="65"/>
    </row>
    <row r="216" spans="1:16">
      <c r="A216" s="15">
        <v>213</v>
      </c>
      <c r="B216" s="16" t="s">
        <v>3371</v>
      </c>
      <c r="C216" s="16">
        <v>601</v>
      </c>
      <c r="D216" s="17" t="s">
        <v>30</v>
      </c>
      <c r="E216" s="18" t="s">
        <v>3372</v>
      </c>
      <c r="F216" s="18" t="s">
        <v>3142</v>
      </c>
      <c r="G216" s="18"/>
      <c r="H216" s="192" t="s">
        <v>3379</v>
      </c>
      <c r="I216" s="192">
        <v>23652649</v>
      </c>
      <c r="J216" s="9" t="s">
        <v>3133</v>
      </c>
      <c r="K216" s="60"/>
      <c r="L216" s="65"/>
      <c r="M216" s="10">
        <v>1</v>
      </c>
      <c r="N216" s="67" t="s">
        <v>3134</v>
      </c>
      <c r="O216" s="73" t="s">
        <v>3134</v>
      </c>
      <c r="P216" s="65"/>
    </row>
    <row r="217" spans="1:16">
      <c r="A217" s="15">
        <v>214</v>
      </c>
      <c r="B217" s="16" t="s">
        <v>3371</v>
      </c>
      <c r="C217" s="16">
        <v>602</v>
      </c>
      <c r="D217" s="17" t="s">
        <v>30</v>
      </c>
      <c r="E217" s="18" t="s">
        <v>3372</v>
      </c>
      <c r="F217" s="18" t="s">
        <v>3142</v>
      </c>
      <c r="G217" s="18"/>
      <c r="H217" s="192" t="s">
        <v>3380</v>
      </c>
      <c r="I217" s="192">
        <v>23652648</v>
      </c>
      <c r="J217" s="9" t="s">
        <v>3133</v>
      </c>
      <c r="K217" s="60"/>
      <c r="L217" s="65"/>
      <c r="M217" s="10">
        <v>1</v>
      </c>
      <c r="N217" s="67" t="s">
        <v>3134</v>
      </c>
      <c r="O217" s="73" t="s">
        <v>3134</v>
      </c>
      <c r="P217" s="65"/>
    </row>
    <row r="218" spans="1:16">
      <c r="A218" s="15">
        <v>215</v>
      </c>
      <c r="B218" s="16" t="s">
        <v>3371</v>
      </c>
      <c r="C218" s="16">
        <v>603</v>
      </c>
      <c r="D218" s="17" t="s">
        <v>30</v>
      </c>
      <c r="E218" s="18" t="s">
        <v>3372</v>
      </c>
      <c r="F218" s="18" t="s">
        <v>3142</v>
      </c>
      <c r="G218" s="18"/>
      <c r="H218" s="192" t="s">
        <v>3381</v>
      </c>
      <c r="I218" s="192">
        <v>23652650</v>
      </c>
      <c r="J218" s="9" t="s">
        <v>3133</v>
      </c>
      <c r="K218" s="60"/>
      <c r="L218" s="65"/>
      <c r="M218" s="10">
        <v>1</v>
      </c>
      <c r="N218" s="67" t="s">
        <v>3134</v>
      </c>
      <c r="O218" s="73" t="s">
        <v>3134</v>
      </c>
      <c r="P218" s="65"/>
    </row>
    <row r="219" spans="1:16">
      <c r="A219" s="15">
        <v>216</v>
      </c>
      <c r="B219" s="16" t="s">
        <v>3371</v>
      </c>
      <c r="C219" s="16">
        <v>604</v>
      </c>
      <c r="D219" s="17" t="s">
        <v>30</v>
      </c>
      <c r="E219" s="18" t="s">
        <v>3372</v>
      </c>
      <c r="F219" s="18" t="s">
        <v>3142</v>
      </c>
      <c r="G219" s="18"/>
      <c r="H219" s="192" t="s">
        <v>3382</v>
      </c>
      <c r="I219" s="192">
        <v>23652651</v>
      </c>
      <c r="J219" s="9" t="s">
        <v>3133</v>
      </c>
      <c r="K219" s="60"/>
      <c r="L219" s="65"/>
      <c r="M219" s="10">
        <v>1</v>
      </c>
      <c r="N219" s="67" t="s">
        <v>3134</v>
      </c>
      <c r="O219" s="73" t="s">
        <v>3134</v>
      </c>
      <c r="P219" s="65"/>
    </row>
    <row r="220" spans="1:16">
      <c r="A220" s="15">
        <v>217</v>
      </c>
      <c r="B220" s="16" t="s">
        <v>3371</v>
      </c>
      <c r="C220" s="16">
        <v>605</v>
      </c>
      <c r="D220" s="17" t="s">
        <v>30</v>
      </c>
      <c r="E220" s="18" t="s">
        <v>3372</v>
      </c>
      <c r="F220" s="18" t="s">
        <v>3142</v>
      </c>
      <c r="G220" s="18"/>
      <c r="H220" s="192" t="s">
        <v>3383</v>
      </c>
      <c r="I220" s="192">
        <v>23652652</v>
      </c>
      <c r="J220" s="9" t="s">
        <v>3133</v>
      </c>
      <c r="K220" s="60"/>
      <c r="L220" s="65"/>
      <c r="M220" s="10">
        <v>1</v>
      </c>
      <c r="N220" s="67" t="s">
        <v>3134</v>
      </c>
      <c r="O220" s="73" t="s">
        <v>3134</v>
      </c>
      <c r="P220" s="65"/>
    </row>
    <row r="221" spans="1:16">
      <c r="A221" s="15">
        <v>218</v>
      </c>
      <c r="B221" s="16" t="s">
        <v>3371</v>
      </c>
      <c r="C221" s="16">
        <v>606</v>
      </c>
      <c r="D221" s="17" t="s">
        <v>30</v>
      </c>
      <c r="E221" s="18" t="s">
        <v>3372</v>
      </c>
      <c r="F221" s="18" t="s">
        <v>3142</v>
      </c>
      <c r="G221" s="18"/>
      <c r="H221" s="192" t="s">
        <v>3384</v>
      </c>
      <c r="I221" s="192">
        <v>23652653</v>
      </c>
      <c r="J221" s="9" t="s">
        <v>3133</v>
      </c>
      <c r="K221" s="60"/>
      <c r="L221" s="65"/>
      <c r="M221" s="10">
        <v>1</v>
      </c>
      <c r="N221" s="67" t="s">
        <v>3134</v>
      </c>
      <c r="O221" s="73" t="s">
        <v>3134</v>
      </c>
      <c r="P221" s="65"/>
    </row>
    <row r="222" spans="1:16">
      <c r="A222" s="15">
        <v>219</v>
      </c>
      <c r="B222" s="16" t="s">
        <v>3371</v>
      </c>
      <c r="C222" s="16">
        <v>701</v>
      </c>
      <c r="D222" s="17" t="s">
        <v>30</v>
      </c>
      <c r="E222" s="18" t="s">
        <v>3372</v>
      </c>
      <c r="F222" s="18" t="s">
        <v>3142</v>
      </c>
      <c r="G222" s="18"/>
      <c r="H222" s="192" t="s">
        <v>3385</v>
      </c>
      <c r="I222" s="192">
        <v>23652656</v>
      </c>
      <c r="J222" s="9" t="s">
        <v>3133</v>
      </c>
      <c r="K222" s="60"/>
      <c r="L222" s="65"/>
      <c r="M222" s="10">
        <v>1</v>
      </c>
      <c r="N222" s="67" t="s">
        <v>3134</v>
      </c>
      <c r="O222" s="73" t="s">
        <v>3134</v>
      </c>
      <c r="P222" s="65"/>
    </row>
    <row r="223" spans="1:16">
      <c r="A223" s="15">
        <v>220</v>
      </c>
      <c r="B223" s="16" t="s">
        <v>3371</v>
      </c>
      <c r="C223" s="16">
        <v>702</v>
      </c>
      <c r="D223" s="17" t="s">
        <v>30</v>
      </c>
      <c r="E223" s="18" t="s">
        <v>3372</v>
      </c>
      <c r="F223" s="18" t="s">
        <v>3142</v>
      </c>
      <c r="G223" s="18"/>
      <c r="H223" s="192" t="s">
        <v>3386</v>
      </c>
      <c r="I223" s="192">
        <v>23652655</v>
      </c>
      <c r="J223" s="9" t="s">
        <v>3133</v>
      </c>
      <c r="K223" s="60"/>
      <c r="L223" s="65"/>
      <c r="M223" s="10">
        <v>1</v>
      </c>
      <c r="N223" s="67" t="s">
        <v>3134</v>
      </c>
      <c r="O223" s="73" t="s">
        <v>3134</v>
      </c>
      <c r="P223" s="65"/>
    </row>
    <row r="224" spans="1:16">
      <c r="A224" s="15">
        <v>221</v>
      </c>
      <c r="B224" s="16" t="s">
        <v>3371</v>
      </c>
      <c r="C224" s="16">
        <v>703</v>
      </c>
      <c r="D224" s="17" t="s">
        <v>30</v>
      </c>
      <c r="E224" s="18" t="s">
        <v>3372</v>
      </c>
      <c r="F224" s="18" t="s">
        <v>3142</v>
      </c>
      <c r="G224" s="18"/>
      <c r="H224" s="192" t="s">
        <v>3387</v>
      </c>
      <c r="I224" s="192">
        <v>23652657</v>
      </c>
      <c r="J224" s="9" t="s">
        <v>3133</v>
      </c>
      <c r="K224" s="60"/>
      <c r="L224" s="65"/>
      <c r="M224" s="10">
        <v>1</v>
      </c>
      <c r="N224" s="67" t="s">
        <v>3134</v>
      </c>
      <c r="O224" s="73" t="s">
        <v>3134</v>
      </c>
      <c r="P224" s="65"/>
    </row>
    <row r="225" spans="1:16">
      <c r="A225" s="15">
        <v>222</v>
      </c>
      <c r="B225" s="16" t="s">
        <v>3371</v>
      </c>
      <c r="C225" s="16">
        <v>704</v>
      </c>
      <c r="D225" s="17" t="s">
        <v>30</v>
      </c>
      <c r="E225" s="18" t="s">
        <v>3372</v>
      </c>
      <c r="F225" s="18" t="s">
        <v>3142</v>
      </c>
      <c r="G225" s="18"/>
      <c r="H225" s="192" t="s">
        <v>3388</v>
      </c>
      <c r="I225" s="192">
        <v>23474195</v>
      </c>
      <c r="J225" s="9" t="s">
        <v>3133</v>
      </c>
      <c r="K225" s="60"/>
      <c r="L225" s="65"/>
      <c r="M225" s="10">
        <v>1</v>
      </c>
      <c r="N225" s="67" t="s">
        <v>3134</v>
      </c>
      <c r="O225" s="73" t="s">
        <v>3134</v>
      </c>
      <c r="P225" s="65"/>
    </row>
    <row r="226" spans="1:16">
      <c r="A226" s="15">
        <v>223</v>
      </c>
      <c r="B226" s="16" t="s">
        <v>3371</v>
      </c>
      <c r="C226" s="16">
        <v>705</v>
      </c>
      <c r="D226" s="17" t="s">
        <v>30</v>
      </c>
      <c r="E226" s="18" t="s">
        <v>3372</v>
      </c>
      <c r="F226" s="18" t="s">
        <v>3142</v>
      </c>
      <c r="G226" s="18"/>
      <c r="H226" s="192" t="s">
        <v>3389</v>
      </c>
      <c r="I226" s="192">
        <v>23652658</v>
      </c>
      <c r="J226" s="9" t="s">
        <v>3133</v>
      </c>
      <c r="K226" s="60"/>
      <c r="L226" s="65"/>
      <c r="M226" s="10">
        <v>1</v>
      </c>
      <c r="N226" s="67" t="s">
        <v>3134</v>
      </c>
      <c r="O226" s="73" t="s">
        <v>3134</v>
      </c>
      <c r="P226" s="65"/>
    </row>
    <row r="227" spans="1:16">
      <c r="A227" s="15">
        <v>224</v>
      </c>
      <c r="B227" s="16" t="s">
        <v>3371</v>
      </c>
      <c r="C227" s="16">
        <v>706</v>
      </c>
      <c r="D227" s="17" t="s">
        <v>30</v>
      </c>
      <c r="E227" s="18" t="s">
        <v>3372</v>
      </c>
      <c r="F227" s="18" t="s">
        <v>3142</v>
      </c>
      <c r="G227" s="18"/>
      <c r="H227" s="192" t="s">
        <v>3390</v>
      </c>
      <c r="I227" s="192">
        <v>23652659</v>
      </c>
      <c r="J227" s="9" t="s">
        <v>3133</v>
      </c>
      <c r="K227" s="60"/>
      <c r="L227" s="65"/>
      <c r="M227" s="10">
        <v>1</v>
      </c>
      <c r="N227" s="67" t="s">
        <v>3134</v>
      </c>
      <c r="O227" s="73" t="s">
        <v>3134</v>
      </c>
      <c r="P227" s="65"/>
    </row>
    <row r="228" spans="1:16">
      <c r="A228" s="15">
        <v>225</v>
      </c>
      <c r="B228" s="16" t="s">
        <v>3391</v>
      </c>
      <c r="C228" s="16">
        <v>201</v>
      </c>
      <c r="D228" s="17" t="s">
        <v>29</v>
      </c>
      <c r="E228" s="18" t="s">
        <v>2006</v>
      </c>
      <c r="F228" s="18" t="s">
        <v>3392</v>
      </c>
      <c r="G228" s="18" t="s">
        <v>3142</v>
      </c>
      <c r="H228" s="192" t="s">
        <v>3393</v>
      </c>
      <c r="I228" s="192">
        <v>24266993</v>
      </c>
      <c r="J228" s="9" t="s">
        <v>3133</v>
      </c>
      <c r="K228" s="60"/>
      <c r="L228" s="65"/>
      <c r="M228" s="10">
        <v>1</v>
      </c>
      <c r="N228" s="67" t="s">
        <v>3166</v>
      </c>
      <c r="O228" s="73" t="s">
        <v>3134</v>
      </c>
      <c r="P228" s="65"/>
    </row>
    <row r="229" spans="1:16">
      <c r="A229" s="15">
        <v>226</v>
      </c>
      <c r="B229" s="16" t="s">
        <v>3391</v>
      </c>
      <c r="C229" s="16">
        <v>202</v>
      </c>
      <c r="D229" s="17" t="s">
        <v>29</v>
      </c>
      <c r="E229" s="18" t="s">
        <v>2006</v>
      </c>
      <c r="F229" s="18" t="s">
        <v>3392</v>
      </c>
      <c r="G229" s="18" t="s">
        <v>3142</v>
      </c>
      <c r="H229" s="192" t="s">
        <v>3394</v>
      </c>
      <c r="I229" s="192">
        <v>24266995</v>
      </c>
      <c r="J229" s="9" t="s">
        <v>3133</v>
      </c>
      <c r="K229" s="60"/>
      <c r="L229" s="65"/>
      <c r="M229" s="10">
        <v>1</v>
      </c>
      <c r="N229" s="67" t="s">
        <v>3166</v>
      </c>
      <c r="O229" s="73" t="s">
        <v>3134</v>
      </c>
      <c r="P229" s="65"/>
    </row>
    <row r="230" spans="1:16">
      <c r="A230" s="15">
        <v>227</v>
      </c>
      <c r="B230" s="16" t="s">
        <v>3391</v>
      </c>
      <c r="C230" s="16">
        <v>203</v>
      </c>
      <c r="D230" s="17" t="s">
        <v>29</v>
      </c>
      <c r="E230" s="18" t="s">
        <v>2006</v>
      </c>
      <c r="F230" s="18" t="s">
        <v>3392</v>
      </c>
      <c r="G230" s="18" t="s">
        <v>3142</v>
      </c>
      <c r="H230" s="192" t="s">
        <v>3395</v>
      </c>
      <c r="I230" s="192">
        <v>24266996</v>
      </c>
      <c r="J230" s="9" t="s">
        <v>3133</v>
      </c>
      <c r="K230" s="60"/>
      <c r="L230" s="65"/>
      <c r="M230" s="10">
        <v>1</v>
      </c>
      <c r="N230" s="67" t="s">
        <v>3166</v>
      </c>
      <c r="O230" s="73" t="s">
        <v>3134</v>
      </c>
      <c r="P230" s="65"/>
    </row>
    <row r="231" spans="1:16">
      <c r="A231" s="15">
        <v>228</v>
      </c>
      <c r="B231" s="16" t="s">
        <v>3391</v>
      </c>
      <c r="C231" s="16">
        <v>204</v>
      </c>
      <c r="D231" s="17" t="s">
        <v>29</v>
      </c>
      <c r="E231" s="18" t="s">
        <v>2006</v>
      </c>
      <c r="F231" s="18" t="s">
        <v>3392</v>
      </c>
      <c r="G231" s="18" t="s">
        <v>3142</v>
      </c>
      <c r="H231" s="192" t="s">
        <v>3396</v>
      </c>
      <c r="I231" s="192">
        <v>24267000</v>
      </c>
      <c r="J231" s="9" t="s">
        <v>3133</v>
      </c>
      <c r="K231" s="60"/>
      <c r="L231" s="65"/>
      <c r="M231" s="10">
        <v>1</v>
      </c>
      <c r="N231" s="67" t="s">
        <v>3166</v>
      </c>
      <c r="O231" s="73" t="s">
        <v>3134</v>
      </c>
      <c r="P231" s="65"/>
    </row>
    <row r="232" spans="1:16">
      <c r="A232" s="15">
        <v>229</v>
      </c>
      <c r="B232" s="16" t="s">
        <v>3391</v>
      </c>
      <c r="C232" s="16">
        <v>205</v>
      </c>
      <c r="D232" s="17" t="s">
        <v>29</v>
      </c>
      <c r="E232" s="18" t="s">
        <v>2006</v>
      </c>
      <c r="F232" s="18" t="s">
        <v>3392</v>
      </c>
      <c r="G232" s="18" t="s">
        <v>3142</v>
      </c>
      <c r="H232" s="192" t="s">
        <v>3397</v>
      </c>
      <c r="I232" s="192">
        <v>24266999</v>
      </c>
      <c r="J232" s="9" t="s">
        <v>3133</v>
      </c>
      <c r="K232" s="60"/>
      <c r="L232" s="65"/>
      <c r="M232" s="10">
        <v>1</v>
      </c>
      <c r="N232" s="67" t="s">
        <v>3166</v>
      </c>
      <c r="O232" s="73" t="s">
        <v>3134</v>
      </c>
      <c r="P232" s="65"/>
    </row>
    <row r="233" spans="1:16">
      <c r="A233" s="15">
        <v>230</v>
      </c>
      <c r="B233" s="16" t="s">
        <v>3391</v>
      </c>
      <c r="C233" s="16">
        <v>301</v>
      </c>
      <c r="D233" s="17" t="s">
        <v>29</v>
      </c>
      <c r="E233" s="18" t="s">
        <v>2006</v>
      </c>
      <c r="F233" s="18" t="s">
        <v>3392</v>
      </c>
      <c r="G233" s="18" t="s">
        <v>3142</v>
      </c>
      <c r="H233" s="192" t="s">
        <v>3398</v>
      </c>
      <c r="I233" s="192">
        <v>24266992</v>
      </c>
      <c r="J233" s="9" t="s">
        <v>3133</v>
      </c>
      <c r="K233" s="60"/>
      <c r="L233" s="65"/>
      <c r="M233" s="10">
        <v>1</v>
      </c>
      <c r="N233" s="67" t="s">
        <v>3166</v>
      </c>
      <c r="O233" s="73" t="s">
        <v>3134</v>
      </c>
      <c r="P233" s="65"/>
    </row>
    <row r="234" spans="1:16">
      <c r="A234" s="15">
        <v>231</v>
      </c>
      <c r="B234" s="16" t="s">
        <v>3391</v>
      </c>
      <c r="C234" s="16">
        <v>302</v>
      </c>
      <c r="D234" s="17" t="s">
        <v>29</v>
      </c>
      <c r="E234" s="18" t="s">
        <v>2006</v>
      </c>
      <c r="F234" s="18" t="s">
        <v>3392</v>
      </c>
      <c r="G234" s="18" t="s">
        <v>3142</v>
      </c>
      <c r="H234" s="192" t="s">
        <v>3399</v>
      </c>
      <c r="I234" s="192">
        <v>24266991</v>
      </c>
      <c r="J234" s="9" t="s">
        <v>3133</v>
      </c>
      <c r="K234" s="60"/>
      <c r="L234" s="65"/>
      <c r="M234" s="10">
        <v>1</v>
      </c>
      <c r="N234" s="67" t="s">
        <v>3166</v>
      </c>
      <c r="O234" s="73" t="s">
        <v>3134</v>
      </c>
      <c r="P234" s="65"/>
    </row>
    <row r="235" spans="1:16">
      <c r="A235" s="15">
        <v>232</v>
      </c>
      <c r="B235" s="16" t="s">
        <v>3391</v>
      </c>
      <c r="C235" s="16">
        <v>303</v>
      </c>
      <c r="D235" s="17" t="s">
        <v>29</v>
      </c>
      <c r="E235" s="18" t="s">
        <v>2006</v>
      </c>
      <c r="F235" s="18" t="s">
        <v>3392</v>
      </c>
      <c r="G235" s="18" t="s">
        <v>3142</v>
      </c>
      <c r="H235" s="192" t="s">
        <v>3400</v>
      </c>
      <c r="I235" s="192">
        <v>24266986</v>
      </c>
      <c r="J235" s="9" t="s">
        <v>3133</v>
      </c>
      <c r="K235" s="60"/>
      <c r="L235" s="65"/>
      <c r="M235" s="10">
        <v>1</v>
      </c>
      <c r="N235" s="67" t="s">
        <v>3166</v>
      </c>
      <c r="O235" s="73" t="s">
        <v>3134</v>
      </c>
      <c r="P235" s="65"/>
    </row>
    <row r="236" spans="1:16">
      <c r="A236" s="15">
        <v>233</v>
      </c>
      <c r="B236" s="16" t="s">
        <v>3391</v>
      </c>
      <c r="C236" s="16">
        <v>304</v>
      </c>
      <c r="D236" s="17" t="s">
        <v>29</v>
      </c>
      <c r="E236" s="18" t="s">
        <v>2006</v>
      </c>
      <c r="F236" s="18" t="s">
        <v>3392</v>
      </c>
      <c r="G236" s="18" t="s">
        <v>3142</v>
      </c>
      <c r="H236" s="192" t="s">
        <v>3401</v>
      </c>
      <c r="I236" s="192">
        <v>24267002</v>
      </c>
      <c r="J236" s="9" t="s">
        <v>3133</v>
      </c>
      <c r="K236" s="60"/>
      <c r="L236" s="65"/>
      <c r="M236" s="10">
        <v>1</v>
      </c>
      <c r="N236" s="67" t="s">
        <v>3166</v>
      </c>
      <c r="O236" s="73" t="s">
        <v>3134</v>
      </c>
      <c r="P236" s="65"/>
    </row>
    <row r="237" spans="1:16">
      <c r="A237" s="15">
        <v>234</v>
      </c>
      <c r="B237" s="16" t="s">
        <v>3391</v>
      </c>
      <c r="C237" s="16">
        <v>305</v>
      </c>
      <c r="D237" s="17" t="s">
        <v>29</v>
      </c>
      <c r="E237" s="18" t="s">
        <v>2006</v>
      </c>
      <c r="F237" s="18" t="s">
        <v>3392</v>
      </c>
      <c r="G237" s="18" t="s">
        <v>3142</v>
      </c>
      <c r="H237" s="192" t="s">
        <v>3402</v>
      </c>
      <c r="I237" s="192">
        <v>24267001</v>
      </c>
      <c r="J237" s="9" t="s">
        <v>3133</v>
      </c>
      <c r="K237" s="60"/>
      <c r="L237" s="65"/>
      <c r="M237" s="10">
        <v>1</v>
      </c>
      <c r="N237" s="67" t="s">
        <v>3166</v>
      </c>
      <c r="O237" s="73" t="s">
        <v>3134</v>
      </c>
      <c r="P237" s="65"/>
    </row>
    <row r="238" spans="1:16">
      <c r="A238" s="15">
        <v>235</v>
      </c>
      <c r="B238" s="16" t="s">
        <v>3391</v>
      </c>
      <c r="C238" s="16">
        <v>401</v>
      </c>
      <c r="D238" s="17" t="s">
        <v>29</v>
      </c>
      <c r="E238" s="18" t="s">
        <v>2006</v>
      </c>
      <c r="F238" s="18" t="s">
        <v>3392</v>
      </c>
      <c r="G238" s="18" t="s">
        <v>3142</v>
      </c>
      <c r="H238" s="192" t="s">
        <v>3403</v>
      </c>
      <c r="I238" s="192">
        <v>24266985</v>
      </c>
      <c r="J238" s="9" t="s">
        <v>3133</v>
      </c>
      <c r="K238" s="60"/>
      <c r="L238" s="65"/>
      <c r="M238" s="10">
        <v>1</v>
      </c>
      <c r="N238" s="67" t="s">
        <v>3166</v>
      </c>
      <c r="O238" s="73" t="s">
        <v>3134</v>
      </c>
      <c r="P238" s="65"/>
    </row>
    <row r="239" spans="1:16">
      <c r="A239" s="15">
        <v>236</v>
      </c>
      <c r="B239" s="16" t="s">
        <v>3391</v>
      </c>
      <c r="C239" s="16">
        <v>402</v>
      </c>
      <c r="D239" s="17" t="s">
        <v>29</v>
      </c>
      <c r="E239" s="18" t="s">
        <v>2006</v>
      </c>
      <c r="F239" s="18" t="s">
        <v>3392</v>
      </c>
      <c r="G239" s="18" t="s">
        <v>3142</v>
      </c>
      <c r="H239" s="192" t="s">
        <v>3404</v>
      </c>
      <c r="I239" s="192">
        <v>24266984</v>
      </c>
      <c r="J239" s="9" t="s">
        <v>3133</v>
      </c>
      <c r="K239" s="60"/>
      <c r="L239" s="65"/>
      <c r="M239" s="10">
        <v>1</v>
      </c>
      <c r="N239" s="67" t="s">
        <v>3166</v>
      </c>
      <c r="O239" s="73" t="s">
        <v>3134</v>
      </c>
      <c r="P239" s="65"/>
    </row>
    <row r="240" spans="1:16">
      <c r="A240" s="15">
        <v>237</v>
      </c>
      <c r="B240" s="16" t="s">
        <v>3391</v>
      </c>
      <c r="C240" s="16">
        <v>403</v>
      </c>
      <c r="D240" s="17" t="s">
        <v>29</v>
      </c>
      <c r="E240" s="18" t="s">
        <v>2006</v>
      </c>
      <c r="F240" s="18" t="s">
        <v>3392</v>
      </c>
      <c r="G240" s="18" t="s">
        <v>3142</v>
      </c>
      <c r="H240" s="192" t="s">
        <v>3405</v>
      </c>
      <c r="I240" s="192">
        <v>24266983</v>
      </c>
      <c r="J240" s="9" t="s">
        <v>3133</v>
      </c>
      <c r="K240" s="60"/>
      <c r="L240" s="65"/>
      <c r="M240" s="10">
        <v>1</v>
      </c>
      <c r="N240" s="67" t="s">
        <v>3166</v>
      </c>
      <c r="O240" s="73" t="s">
        <v>3134</v>
      </c>
      <c r="P240" s="65"/>
    </row>
    <row r="241" spans="1:16">
      <c r="A241" s="15">
        <v>238</v>
      </c>
      <c r="B241" s="16" t="s">
        <v>3391</v>
      </c>
      <c r="C241" s="16">
        <v>404</v>
      </c>
      <c r="D241" s="17" t="s">
        <v>29</v>
      </c>
      <c r="E241" s="18" t="s">
        <v>2006</v>
      </c>
      <c r="F241" s="18" t="s">
        <v>3392</v>
      </c>
      <c r="G241" s="18" t="s">
        <v>3142</v>
      </c>
      <c r="H241" s="192" t="s">
        <v>3406</v>
      </c>
      <c r="I241" s="192">
        <v>24267004</v>
      </c>
      <c r="J241" s="9" t="s">
        <v>3133</v>
      </c>
      <c r="K241" s="60"/>
      <c r="L241" s="65"/>
      <c r="M241" s="10">
        <v>1</v>
      </c>
      <c r="N241" s="67" t="s">
        <v>3166</v>
      </c>
      <c r="O241" s="73" t="s">
        <v>3134</v>
      </c>
      <c r="P241" s="65"/>
    </row>
    <row r="242" spans="1:16">
      <c r="A242" s="15">
        <v>239</v>
      </c>
      <c r="B242" s="16" t="s">
        <v>3391</v>
      </c>
      <c r="C242" s="16">
        <v>405</v>
      </c>
      <c r="D242" s="17" t="s">
        <v>29</v>
      </c>
      <c r="E242" s="18" t="s">
        <v>2006</v>
      </c>
      <c r="F242" s="18" t="s">
        <v>3392</v>
      </c>
      <c r="G242" s="18" t="s">
        <v>3142</v>
      </c>
      <c r="H242" s="192" t="s">
        <v>3407</v>
      </c>
      <c r="I242" s="192">
        <v>24267003</v>
      </c>
      <c r="J242" s="9" t="s">
        <v>3133</v>
      </c>
      <c r="K242" s="60"/>
      <c r="L242" s="65"/>
      <c r="M242" s="10">
        <v>1</v>
      </c>
      <c r="N242" s="67" t="s">
        <v>3166</v>
      </c>
      <c r="O242" s="73" t="s">
        <v>3134</v>
      </c>
      <c r="P242" s="65"/>
    </row>
    <row r="243" spans="1:16">
      <c r="A243" s="15">
        <v>240</v>
      </c>
      <c r="B243" s="16" t="s">
        <v>3391</v>
      </c>
      <c r="C243" s="16">
        <v>501</v>
      </c>
      <c r="D243" s="17" t="s">
        <v>29</v>
      </c>
      <c r="E243" s="18" t="s">
        <v>2006</v>
      </c>
      <c r="F243" s="18" t="s">
        <v>3392</v>
      </c>
      <c r="G243" s="18" t="s">
        <v>3142</v>
      </c>
      <c r="H243" s="192" t="s">
        <v>3408</v>
      </c>
      <c r="I243" s="192">
        <v>24266982</v>
      </c>
      <c r="J243" s="9" t="s">
        <v>3133</v>
      </c>
      <c r="K243" s="60"/>
      <c r="L243" s="65"/>
      <c r="M243" s="10">
        <v>1</v>
      </c>
      <c r="N243" s="67" t="s">
        <v>3166</v>
      </c>
      <c r="O243" s="73" t="s">
        <v>3134</v>
      </c>
      <c r="P243" s="65"/>
    </row>
    <row r="244" spans="1:16">
      <c r="A244" s="15">
        <v>241</v>
      </c>
      <c r="B244" s="16" t="s">
        <v>3391</v>
      </c>
      <c r="C244" s="16">
        <v>502</v>
      </c>
      <c r="D244" s="17" t="s">
        <v>29</v>
      </c>
      <c r="E244" s="18" t="s">
        <v>2006</v>
      </c>
      <c r="F244" s="18" t="s">
        <v>3392</v>
      </c>
      <c r="G244" s="18" t="s">
        <v>3142</v>
      </c>
      <c r="H244" s="192" t="s">
        <v>3409</v>
      </c>
      <c r="I244" s="192">
        <v>24266998</v>
      </c>
      <c r="J244" s="9" t="s">
        <v>3133</v>
      </c>
      <c r="K244" s="60"/>
      <c r="L244" s="65"/>
      <c r="M244" s="10">
        <v>1</v>
      </c>
      <c r="N244" s="67" t="s">
        <v>3166</v>
      </c>
      <c r="O244" s="73" t="s">
        <v>3134</v>
      </c>
      <c r="P244" s="65"/>
    </row>
    <row r="245" spans="1:16">
      <c r="A245" s="15">
        <v>242</v>
      </c>
      <c r="B245" s="16" t="s">
        <v>3391</v>
      </c>
      <c r="C245" s="16">
        <v>503</v>
      </c>
      <c r="D245" s="17" t="s">
        <v>29</v>
      </c>
      <c r="E245" s="18" t="s">
        <v>2006</v>
      </c>
      <c r="F245" s="18" t="s">
        <v>3392</v>
      </c>
      <c r="G245" s="18" t="s">
        <v>3142</v>
      </c>
      <c r="H245" s="192" t="s">
        <v>3410</v>
      </c>
      <c r="I245" s="192">
        <v>23652641</v>
      </c>
      <c r="J245" s="9" t="s">
        <v>3133</v>
      </c>
      <c r="K245" s="60"/>
      <c r="L245" s="65"/>
      <c r="M245" s="10">
        <v>1</v>
      </c>
      <c r="N245" s="67" t="s">
        <v>3166</v>
      </c>
      <c r="O245" s="73" t="s">
        <v>3134</v>
      </c>
      <c r="P245" s="65"/>
    </row>
    <row r="246" spans="1:16">
      <c r="A246" s="15">
        <v>243</v>
      </c>
      <c r="B246" s="16" t="s">
        <v>3391</v>
      </c>
      <c r="C246" s="16">
        <v>504</v>
      </c>
      <c r="D246" s="17" t="s">
        <v>29</v>
      </c>
      <c r="E246" s="18" t="s">
        <v>2006</v>
      </c>
      <c r="F246" s="18" t="s">
        <v>3392</v>
      </c>
      <c r="G246" s="18" t="s">
        <v>3142</v>
      </c>
      <c r="H246" s="192" t="s">
        <v>3411</v>
      </c>
      <c r="I246" s="192">
        <v>24267005</v>
      </c>
      <c r="J246" s="9" t="s">
        <v>3133</v>
      </c>
      <c r="K246" s="60"/>
      <c r="L246" s="65"/>
      <c r="M246" s="10">
        <v>1</v>
      </c>
      <c r="N246" s="67" t="s">
        <v>3166</v>
      </c>
      <c r="O246" s="73" t="s">
        <v>3134</v>
      </c>
      <c r="P246" s="65"/>
    </row>
    <row r="247" spans="1:16">
      <c r="A247" s="15">
        <v>244</v>
      </c>
      <c r="B247" s="16" t="s">
        <v>3412</v>
      </c>
      <c r="C247" s="16">
        <v>201</v>
      </c>
      <c r="D247" s="17" t="s">
        <v>29</v>
      </c>
      <c r="E247" s="18" t="s">
        <v>2009</v>
      </c>
      <c r="F247" s="18" t="s">
        <v>3413</v>
      </c>
      <c r="G247" s="18" t="s">
        <v>3142</v>
      </c>
      <c r="H247" s="192" t="s">
        <v>3414</v>
      </c>
      <c r="I247" s="192">
        <v>24263015</v>
      </c>
      <c r="J247" s="9" t="s">
        <v>3133</v>
      </c>
      <c r="K247" s="60"/>
      <c r="L247" s="65"/>
      <c r="M247" s="10">
        <v>1</v>
      </c>
      <c r="N247" s="67" t="s">
        <v>3166</v>
      </c>
      <c r="O247" s="73" t="s">
        <v>3134</v>
      </c>
      <c r="P247" s="65"/>
    </row>
    <row r="248" spans="1:16">
      <c r="A248" s="15">
        <v>245</v>
      </c>
      <c r="B248" s="16" t="s">
        <v>3412</v>
      </c>
      <c r="C248" s="16">
        <v>202</v>
      </c>
      <c r="D248" s="17" t="s">
        <v>29</v>
      </c>
      <c r="E248" s="18" t="s">
        <v>2009</v>
      </c>
      <c r="F248" s="18" t="s">
        <v>3413</v>
      </c>
      <c r="G248" s="18" t="s">
        <v>3142</v>
      </c>
      <c r="H248" s="192" t="s">
        <v>3415</v>
      </c>
      <c r="I248" s="192">
        <v>24263014</v>
      </c>
      <c r="J248" s="9" t="s">
        <v>3133</v>
      </c>
      <c r="K248" s="60"/>
      <c r="L248" s="65"/>
      <c r="M248" s="10">
        <v>1</v>
      </c>
      <c r="N248" s="67" t="s">
        <v>3166</v>
      </c>
      <c r="O248" s="73" t="s">
        <v>3134</v>
      </c>
      <c r="P248" s="65"/>
    </row>
    <row r="249" spans="1:16">
      <c r="A249" s="15">
        <v>246</v>
      </c>
      <c r="B249" s="16" t="s">
        <v>3412</v>
      </c>
      <c r="C249" s="16">
        <v>203</v>
      </c>
      <c r="D249" s="17" t="s">
        <v>29</v>
      </c>
      <c r="E249" s="18" t="s">
        <v>2009</v>
      </c>
      <c r="F249" s="18" t="s">
        <v>3413</v>
      </c>
      <c r="G249" s="18" t="s">
        <v>3142</v>
      </c>
      <c r="H249" s="192" t="s">
        <v>3416</v>
      </c>
      <c r="I249" s="192">
        <v>24263009</v>
      </c>
      <c r="J249" s="9" t="s">
        <v>3133</v>
      </c>
      <c r="K249" s="60"/>
      <c r="L249" s="65"/>
      <c r="M249" s="10">
        <v>1</v>
      </c>
      <c r="N249" s="67" t="s">
        <v>3166</v>
      </c>
      <c r="O249" s="73" t="s">
        <v>3134</v>
      </c>
      <c r="P249" s="65"/>
    </row>
    <row r="250" spans="1:16">
      <c r="A250" s="15">
        <v>247</v>
      </c>
      <c r="B250" s="16" t="s">
        <v>3412</v>
      </c>
      <c r="C250" s="16">
        <v>204</v>
      </c>
      <c r="D250" s="17" t="s">
        <v>29</v>
      </c>
      <c r="E250" s="18" t="s">
        <v>2009</v>
      </c>
      <c r="F250" s="18" t="s">
        <v>3413</v>
      </c>
      <c r="G250" s="18" t="s">
        <v>3142</v>
      </c>
      <c r="H250" s="192" t="s">
        <v>3417</v>
      </c>
      <c r="I250" s="192">
        <v>24910490</v>
      </c>
      <c r="J250" s="9" t="s">
        <v>3133</v>
      </c>
      <c r="K250" s="60"/>
      <c r="L250" s="65"/>
      <c r="M250" s="10">
        <v>1</v>
      </c>
      <c r="N250" s="67" t="s">
        <v>3166</v>
      </c>
      <c r="O250" s="73" t="s">
        <v>3134</v>
      </c>
      <c r="P250" s="65"/>
    </row>
    <row r="251" spans="1:16">
      <c r="A251" s="15">
        <v>248</v>
      </c>
      <c r="B251" s="16" t="s">
        <v>3412</v>
      </c>
      <c r="C251" s="16">
        <v>301</v>
      </c>
      <c r="D251" s="17" t="s">
        <v>29</v>
      </c>
      <c r="E251" s="18" t="s">
        <v>2009</v>
      </c>
      <c r="F251" s="18" t="s">
        <v>3413</v>
      </c>
      <c r="G251" s="18" t="s">
        <v>3142</v>
      </c>
      <c r="H251" s="192" t="s">
        <v>3418</v>
      </c>
      <c r="I251" s="192">
        <v>23120152</v>
      </c>
      <c r="J251" s="9" t="s">
        <v>3133</v>
      </c>
      <c r="K251" s="60"/>
      <c r="L251" s="65"/>
      <c r="M251" s="10">
        <v>1</v>
      </c>
      <c r="N251" s="67" t="s">
        <v>3166</v>
      </c>
      <c r="O251" s="73" t="s">
        <v>3134</v>
      </c>
      <c r="P251" s="65"/>
    </row>
    <row r="252" spans="1:16">
      <c r="A252" s="15">
        <v>249</v>
      </c>
      <c r="B252" s="16" t="s">
        <v>3412</v>
      </c>
      <c r="C252" s="16">
        <v>302</v>
      </c>
      <c r="D252" s="17" t="s">
        <v>29</v>
      </c>
      <c r="E252" s="18" t="s">
        <v>2009</v>
      </c>
      <c r="F252" s="18" t="s">
        <v>3413</v>
      </c>
      <c r="G252" s="18" t="s">
        <v>3142</v>
      </c>
      <c r="H252" s="192" t="s">
        <v>3419</v>
      </c>
      <c r="I252" s="192">
        <v>24263016</v>
      </c>
      <c r="J252" s="9" t="s">
        <v>3133</v>
      </c>
      <c r="K252" s="60"/>
      <c r="L252" s="65"/>
      <c r="M252" s="10">
        <v>1</v>
      </c>
      <c r="N252" s="67" t="s">
        <v>3166</v>
      </c>
      <c r="O252" s="73" t="s">
        <v>3134</v>
      </c>
      <c r="P252" s="65"/>
    </row>
    <row r="253" spans="1:16">
      <c r="A253" s="15">
        <v>250</v>
      </c>
      <c r="B253" s="16" t="s">
        <v>3412</v>
      </c>
      <c r="C253" s="16">
        <v>303</v>
      </c>
      <c r="D253" s="17" t="s">
        <v>29</v>
      </c>
      <c r="E253" s="18" t="s">
        <v>2009</v>
      </c>
      <c r="F253" s="18" t="s">
        <v>3413</v>
      </c>
      <c r="G253" s="18" t="s">
        <v>3142</v>
      </c>
      <c r="H253" s="192" t="s">
        <v>3420</v>
      </c>
      <c r="I253" s="192">
        <v>23032526</v>
      </c>
      <c r="J253" s="9" t="s">
        <v>3133</v>
      </c>
      <c r="K253" s="60"/>
      <c r="L253" s="65"/>
      <c r="M253" s="10">
        <v>1</v>
      </c>
      <c r="N253" s="67" t="s">
        <v>3166</v>
      </c>
      <c r="O253" s="73" t="s">
        <v>3134</v>
      </c>
      <c r="P253" s="65"/>
    </row>
    <row r="254" spans="1:16">
      <c r="A254" s="15">
        <v>251</v>
      </c>
      <c r="B254" s="16" t="s">
        <v>3412</v>
      </c>
      <c r="C254" s="16">
        <v>304</v>
      </c>
      <c r="D254" s="17" t="s">
        <v>29</v>
      </c>
      <c r="E254" s="18" t="s">
        <v>2009</v>
      </c>
      <c r="F254" s="18" t="s">
        <v>3413</v>
      </c>
      <c r="G254" s="18" t="s">
        <v>3142</v>
      </c>
      <c r="H254" s="192" t="s">
        <v>3421</v>
      </c>
      <c r="I254" s="192">
        <v>24263004</v>
      </c>
      <c r="J254" s="9" t="s">
        <v>3133</v>
      </c>
      <c r="K254" s="60"/>
      <c r="L254" s="65"/>
      <c r="M254" s="10">
        <v>1</v>
      </c>
      <c r="N254" s="67" t="s">
        <v>3166</v>
      </c>
      <c r="O254" s="73" t="s">
        <v>3134</v>
      </c>
      <c r="P254" s="65"/>
    </row>
    <row r="255" spans="1:16">
      <c r="A255" s="15">
        <v>252</v>
      </c>
      <c r="B255" s="16" t="s">
        <v>3412</v>
      </c>
      <c r="C255" s="16">
        <v>401</v>
      </c>
      <c r="D255" s="17" t="s">
        <v>29</v>
      </c>
      <c r="E255" s="18" t="s">
        <v>2009</v>
      </c>
      <c r="F255" s="18" t="s">
        <v>3413</v>
      </c>
      <c r="G255" s="18" t="s">
        <v>3142</v>
      </c>
      <c r="H255" s="192" t="s">
        <v>3422</v>
      </c>
      <c r="I255" s="192">
        <v>24263018</v>
      </c>
      <c r="J255" s="9" t="s">
        <v>3133</v>
      </c>
      <c r="K255" s="60"/>
      <c r="L255" s="65"/>
      <c r="M255" s="10">
        <v>1</v>
      </c>
      <c r="N255" s="67" t="s">
        <v>3166</v>
      </c>
      <c r="O255" s="73" t="s">
        <v>3134</v>
      </c>
      <c r="P255" s="65"/>
    </row>
    <row r="256" spans="1:16">
      <c r="A256" s="15">
        <v>253</v>
      </c>
      <c r="B256" s="16" t="s">
        <v>3412</v>
      </c>
      <c r="C256" s="16">
        <v>402</v>
      </c>
      <c r="D256" s="17" t="s">
        <v>29</v>
      </c>
      <c r="E256" s="18" t="s">
        <v>2009</v>
      </c>
      <c r="F256" s="18" t="s">
        <v>3413</v>
      </c>
      <c r="G256" s="18" t="s">
        <v>3142</v>
      </c>
      <c r="H256" s="192" t="s">
        <v>3423</v>
      </c>
      <c r="I256" s="192">
        <v>24263017</v>
      </c>
      <c r="J256" s="9" t="s">
        <v>3133</v>
      </c>
      <c r="K256" s="60"/>
      <c r="L256" s="65"/>
      <c r="M256" s="10">
        <v>1</v>
      </c>
      <c r="N256" s="67" t="s">
        <v>3166</v>
      </c>
      <c r="O256" s="73" t="s">
        <v>3134</v>
      </c>
      <c r="P256" s="65"/>
    </row>
    <row r="257" spans="1:16">
      <c r="A257" s="15">
        <v>254</v>
      </c>
      <c r="B257" s="16" t="s">
        <v>3412</v>
      </c>
      <c r="C257" s="16">
        <v>403</v>
      </c>
      <c r="D257" s="17" t="s">
        <v>29</v>
      </c>
      <c r="E257" s="18" t="s">
        <v>2009</v>
      </c>
      <c r="F257" s="18" t="s">
        <v>3413</v>
      </c>
      <c r="G257" s="18" t="s">
        <v>3142</v>
      </c>
      <c r="H257" s="192" t="s">
        <v>3424</v>
      </c>
      <c r="I257" s="192">
        <v>24263012</v>
      </c>
      <c r="J257" s="9" t="s">
        <v>3133</v>
      </c>
      <c r="K257" s="60"/>
      <c r="L257" s="65"/>
      <c r="M257" s="10">
        <v>1</v>
      </c>
      <c r="N257" s="67" t="s">
        <v>3166</v>
      </c>
      <c r="O257" s="73" t="s">
        <v>3134</v>
      </c>
      <c r="P257" s="65"/>
    </row>
    <row r="258" spans="1:16">
      <c r="A258" s="15">
        <v>255</v>
      </c>
      <c r="B258" s="16" t="s">
        <v>3412</v>
      </c>
      <c r="C258" s="16">
        <v>404</v>
      </c>
      <c r="D258" s="17" t="s">
        <v>29</v>
      </c>
      <c r="E258" s="18" t="s">
        <v>2009</v>
      </c>
      <c r="F258" s="18" t="s">
        <v>3413</v>
      </c>
      <c r="G258" s="18" t="s">
        <v>3142</v>
      </c>
      <c r="H258" s="192" t="s">
        <v>3425</v>
      </c>
      <c r="I258" s="192">
        <v>24263013</v>
      </c>
      <c r="J258" s="9" t="s">
        <v>3133</v>
      </c>
      <c r="K258" s="60"/>
      <c r="L258" s="65"/>
      <c r="M258" s="10">
        <v>1</v>
      </c>
      <c r="N258" s="67" t="s">
        <v>3166</v>
      </c>
      <c r="O258" s="73" t="s">
        <v>3134</v>
      </c>
      <c r="P258" s="65"/>
    </row>
    <row r="259" spans="1:16">
      <c r="A259" s="15">
        <v>256</v>
      </c>
      <c r="B259" s="16" t="s">
        <v>3412</v>
      </c>
      <c r="C259" s="16">
        <v>501</v>
      </c>
      <c r="D259" s="17" t="s">
        <v>29</v>
      </c>
      <c r="E259" s="18" t="s">
        <v>2009</v>
      </c>
      <c r="F259" s="18" t="s">
        <v>3413</v>
      </c>
      <c r="G259" s="18" t="s">
        <v>3142</v>
      </c>
      <c r="H259" s="192" t="s">
        <v>3426</v>
      </c>
      <c r="I259" s="192">
        <v>20478524</v>
      </c>
      <c r="J259" s="9" t="s">
        <v>3133</v>
      </c>
      <c r="K259" s="60"/>
      <c r="L259" s="65"/>
      <c r="M259" s="10">
        <v>1</v>
      </c>
      <c r="N259" s="67" t="s">
        <v>3166</v>
      </c>
      <c r="O259" s="73" t="s">
        <v>3134</v>
      </c>
      <c r="P259" s="65"/>
    </row>
    <row r="260" spans="1:16">
      <c r="A260" s="15">
        <v>257</v>
      </c>
      <c r="B260" s="16" t="s">
        <v>3412</v>
      </c>
      <c r="C260" s="16">
        <v>502</v>
      </c>
      <c r="D260" s="17" t="s">
        <v>29</v>
      </c>
      <c r="E260" s="18" t="s">
        <v>2009</v>
      </c>
      <c r="F260" s="18" t="s">
        <v>3413</v>
      </c>
      <c r="G260" s="18" t="s">
        <v>3142</v>
      </c>
      <c r="H260" s="192" t="s">
        <v>3427</v>
      </c>
      <c r="I260" s="192">
        <v>27215863</v>
      </c>
      <c r="J260" s="9" t="s">
        <v>3133</v>
      </c>
      <c r="K260" s="60"/>
      <c r="L260" s="65"/>
      <c r="M260" s="10">
        <v>1</v>
      </c>
      <c r="N260" s="67" t="s">
        <v>3166</v>
      </c>
      <c r="O260" s="73" t="s">
        <v>3134</v>
      </c>
      <c r="P260" s="65"/>
    </row>
    <row r="261" spans="1:16">
      <c r="A261" s="15">
        <v>258</v>
      </c>
      <c r="B261" s="16" t="s">
        <v>3412</v>
      </c>
      <c r="C261" s="16">
        <v>503</v>
      </c>
      <c r="D261" s="17" t="s">
        <v>29</v>
      </c>
      <c r="E261" s="18" t="s">
        <v>2009</v>
      </c>
      <c r="F261" s="18" t="s">
        <v>3413</v>
      </c>
      <c r="G261" s="18" t="s">
        <v>3142</v>
      </c>
      <c r="H261" s="192" t="s">
        <v>3428</v>
      </c>
      <c r="I261" s="192">
        <v>24263019</v>
      </c>
      <c r="J261" s="9" t="s">
        <v>3133</v>
      </c>
      <c r="K261" s="60"/>
      <c r="L261" s="65"/>
      <c r="M261" s="10">
        <v>1</v>
      </c>
      <c r="N261" s="67" t="s">
        <v>3166</v>
      </c>
      <c r="O261" s="73" t="s">
        <v>3134</v>
      </c>
      <c r="P261" s="65"/>
    </row>
    <row r="262" spans="1:16">
      <c r="A262" s="15">
        <v>259</v>
      </c>
      <c r="B262" s="20" t="s">
        <v>3412</v>
      </c>
      <c r="C262" s="20">
        <v>601</v>
      </c>
      <c r="D262" s="21" t="s">
        <v>29</v>
      </c>
      <c r="E262" s="18" t="s">
        <v>2009</v>
      </c>
      <c r="F262" s="22" t="s">
        <v>3413</v>
      </c>
      <c r="G262" s="22" t="s">
        <v>3142</v>
      </c>
      <c r="H262" s="191" t="s">
        <v>3429</v>
      </c>
      <c r="I262" s="23">
        <v>20478524</v>
      </c>
      <c r="J262" s="24" t="s">
        <v>3133</v>
      </c>
      <c r="K262" s="62"/>
      <c r="L262" s="65"/>
      <c r="M262" s="10">
        <v>1</v>
      </c>
      <c r="N262" s="69" t="s">
        <v>3166</v>
      </c>
      <c r="O262" s="73" t="s">
        <v>3134</v>
      </c>
      <c r="P262" s="65"/>
    </row>
    <row r="263" spans="1:16">
      <c r="A263" s="15">
        <v>260</v>
      </c>
      <c r="B263" s="26" t="s">
        <v>2032</v>
      </c>
      <c r="C263" s="26">
        <v>301</v>
      </c>
      <c r="D263" s="27" t="s">
        <v>30</v>
      </c>
      <c r="E263" s="28" t="s">
        <v>2032</v>
      </c>
      <c r="F263" s="28" t="s">
        <v>3142</v>
      </c>
      <c r="G263" s="28"/>
      <c r="H263" s="29" t="s">
        <v>3430</v>
      </c>
      <c r="I263" s="29">
        <v>25202905</v>
      </c>
      <c r="J263" s="30" t="s">
        <v>3133</v>
      </c>
      <c r="K263" s="63"/>
      <c r="L263" s="65"/>
      <c r="M263" s="10">
        <v>1</v>
      </c>
      <c r="N263" s="70" t="s">
        <v>3166</v>
      </c>
      <c r="O263" s="74" t="s">
        <v>3166</v>
      </c>
      <c r="P263" s="65"/>
    </row>
    <row r="264" spans="1:16">
      <c r="A264" s="15">
        <v>261</v>
      </c>
      <c r="B264" s="26" t="s">
        <v>2032</v>
      </c>
      <c r="C264" s="26">
        <v>302</v>
      </c>
      <c r="D264" s="27" t="s">
        <v>30</v>
      </c>
      <c r="E264" s="28" t="s">
        <v>2032</v>
      </c>
      <c r="F264" s="28" t="s">
        <v>3142</v>
      </c>
      <c r="G264" s="28"/>
      <c r="H264" s="29" t="s">
        <v>3431</v>
      </c>
      <c r="I264" s="29">
        <v>21029223</v>
      </c>
      <c r="J264" s="30" t="s">
        <v>3133</v>
      </c>
      <c r="K264" s="63"/>
      <c r="L264" s="65"/>
      <c r="M264" s="10">
        <v>1</v>
      </c>
      <c r="N264" s="70" t="s">
        <v>3166</v>
      </c>
      <c r="O264" s="74" t="s">
        <v>3166</v>
      </c>
      <c r="P264" s="65"/>
    </row>
    <row r="265" spans="1:16">
      <c r="A265" s="15">
        <v>262</v>
      </c>
      <c r="B265" s="26" t="s">
        <v>2032</v>
      </c>
      <c r="C265" s="26">
        <v>401</v>
      </c>
      <c r="D265" s="27" t="s">
        <v>30</v>
      </c>
      <c r="E265" s="28" t="s">
        <v>2032</v>
      </c>
      <c r="F265" s="28" t="s">
        <v>3142</v>
      </c>
      <c r="G265" s="28"/>
      <c r="H265" s="29" t="s">
        <v>3432</v>
      </c>
      <c r="I265" s="29">
        <v>21246045</v>
      </c>
      <c r="J265" s="30" t="s">
        <v>3133</v>
      </c>
      <c r="K265" s="63"/>
      <c r="L265" s="65"/>
      <c r="M265" s="10">
        <v>1</v>
      </c>
      <c r="N265" s="70" t="s">
        <v>3166</v>
      </c>
      <c r="O265" s="74" t="s">
        <v>3166</v>
      </c>
      <c r="P265" s="65"/>
    </row>
    <row r="266" spans="1:16">
      <c r="A266" s="15">
        <v>263</v>
      </c>
      <c r="B266" s="31" t="s">
        <v>2032</v>
      </c>
      <c r="C266" s="31">
        <v>402</v>
      </c>
      <c r="D266" s="32" t="s">
        <v>30</v>
      </c>
      <c r="E266" s="33" t="s">
        <v>2032</v>
      </c>
      <c r="F266" s="33" t="s">
        <v>3142</v>
      </c>
      <c r="G266" s="33"/>
      <c r="H266" s="34" t="s">
        <v>3433</v>
      </c>
      <c r="I266" s="34">
        <v>21246052</v>
      </c>
      <c r="J266" s="35" t="s">
        <v>3133</v>
      </c>
      <c r="K266" s="64"/>
      <c r="L266" s="65"/>
      <c r="M266" s="10">
        <v>1</v>
      </c>
      <c r="N266" s="71" t="s">
        <v>3166</v>
      </c>
      <c r="O266" s="75" t="s">
        <v>3166</v>
      </c>
      <c r="P266" s="65"/>
    </row>
    <row r="267" spans="1:16">
      <c r="A267" s="15">
        <v>264</v>
      </c>
      <c r="B267" s="15" t="s">
        <v>2977</v>
      </c>
      <c r="C267" s="15" t="s">
        <v>3434</v>
      </c>
      <c r="D267" s="36" t="s">
        <v>29</v>
      </c>
      <c r="E267" s="36"/>
      <c r="F267" s="36" t="s">
        <v>3435</v>
      </c>
      <c r="G267" s="36"/>
      <c r="H267" s="192"/>
      <c r="I267" s="192"/>
      <c r="J267" s="9" t="s">
        <v>3136</v>
      </c>
      <c r="K267" s="60"/>
      <c r="L267" s="65"/>
      <c r="M267" s="25">
        <v>2</v>
      </c>
      <c r="N267" s="67" t="s">
        <v>3166</v>
      </c>
      <c r="O267" s="73" t="s">
        <v>3134</v>
      </c>
      <c r="P267" s="65"/>
    </row>
    <row r="268" spans="1:16">
      <c r="A268" s="15">
        <v>265</v>
      </c>
      <c r="B268" s="15" t="s">
        <v>2977</v>
      </c>
      <c r="C268" s="15" t="s">
        <v>3436</v>
      </c>
      <c r="D268" s="36" t="s">
        <v>29</v>
      </c>
      <c r="E268" s="36"/>
      <c r="F268" s="36" t="s">
        <v>3435</v>
      </c>
      <c r="G268" s="36"/>
      <c r="H268" s="192"/>
      <c r="I268" s="192"/>
      <c r="J268" s="9" t="s">
        <v>3136</v>
      </c>
      <c r="K268" s="60"/>
      <c r="L268" s="65"/>
      <c r="M268" s="25">
        <v>2</v>
      </c>
      <c r="N268" s="67" t="s">
        <v>3166</v>
      </c>
      <c r="O268" s="73" t="s">
        <v>3134</v>
      </c>
      <c r="P268" s="65"/>
    </row>
    <row r="269" spans="1:16">
      <c r="A269" s="15">
        <v>266</v>
      </c>
      <c r="B269" s="15" t="s">
        <v>2977</v>
      </c>
      <c r="C269" s="15" t="s">
        <v>3437</v>
      </c>
      <c r="D269" s="36" t="s">
        <v>29</v>
      </c>
      <c r="E269" s="36"/>
      <c r="F269" s="36" t="s">
        <v>3435</v>
      </c>
      <c r="G269" s="36"/>
      <c r="H269" s="192"/>
      <c r="I269" s="192"/>
      <c r="J269" s="9" t="s">
        <v>3136</v>
      </c>
      <c r="K269" s="60"/>
      <c r="L269" s="65"/>
      <c r="M269" s="25">
        <v>2</v>
      </c>
      <c r="N269" s="67" t="s">
        <v>3166</v>
      </c>
      <c r="O269" s="73" t="s">
        <v>3134</v>
      </c>
      <c r="P269" s="65"/>
    </row>
    <row r="270" spans="1:16">
      <c r="A270" s="15">
        <v>267</v>
      </c>
      <c r="B270" s="15" t="s">
        <v>2977</v>
      </c>
      <c r="C270" s="15">
        <v>501</v>
      </c>
      <c r="D270" s="36" t="s">
        <v>30</v>
      </c>
      <c r="E270" s="36"/>
      <c r="F270" s="33" t="s">
        <v>3142</v>
      </c>
      <c r="G270" s="36"/>
      <c r="H270" s="192" t="s">
        <v>3438</v>
      </c>
      <c r="I270" s="192">
        <v>24862102</v>
      </c>
      <c r="J270" s="9" t="s">
        <v>3133</v>
      </c>
      <c r="K270" s="60"/>
      <c r="L270" s="65"/>
      <c r="M270" s="25">
        <v>1</v>
      </c>
      <c r="N270" s="67" t="s">
        <v>3166</v>
      </c>
      <c r="O270" s="73" t="s">
        <v>3134</v>
      </c>
      <c r="P270" s="65"/>
    </row>
    <row r="271" spans="1:16">
      <c r="A271" s="15">
        <v>268</v>
      </c>
      <c r="B271" s="15" t="s">
        <v>2977</v>
      </c>
      <c r="C271" s="15">
        <v>502</v>
      </c>
      <c r="D271" s="36" t="s">
        <v>30</v>
      </c>
      <c r="E271" s="36"/>
      <c r="F271" s="33" t="s">
        <v>3142</v>
      </c>
      <c r="G271" s="36"/>
      <c r="H271" s="192" t="s">
        <v>3439</v>
      </c>
      <c r="I271" s="192">
        <v>24862104</v>
      </c>
      <c r="J271" s="9" t="s">
        <v>3133</v>
      </c>
      <c r="K271" s="60"/>
      <c r="L271" s="65"/>
      <c r="M271" s="25">
        <v>1</v>
      </c>
      <c r="N271" s="67" t="s">
        <v>3166</v>
      </c>
      <c r="O271" s="73" t="s">
        <v>3134</v>
      </c>
      <c r="P271" s="65"/>
    </row>
    <row r="272" spans="1:16">
      <c r="A272" s="15">
        <v>269</v>
      </c>
      <c r="B272" s="15" t="s">
        <v>2977</v>
      </c>
      <c r="C272" s="15">
        <v>503</v>
      </c>
      <c r="D272" s="36" t="s">
        <v>30</v>
      </c>
      <c r="E272" s="36"/>
      <c r="F272" s="33" t="s">
        <v>3142</v>
      </c>
      <c r="G272" s="36"/>
      <c r="H272" s="192" t="s">
        <v>3440</v>
      </c>
      <c r="I272" s="192">
        <v>24862106</v>
      </c>
      <c r="J272" s="9" t="s">
        <v>3133</v>
      </c>
      <c r="K272" s="60"/>
      <c r="L272" s="65"/>
      <c r="M272" s="25">
        <v>1</v>
      </c>
      <c r="N272" s="67" t="s">
        <v>3166</v>
      </c>
      <c r="O272" s="73" t="s">
        <v>3134</v>
      </c>
      <c r="P272" s="65"/>
    </row>
    <row r="273" spans="1:16">
      <c r="A273" s="15">
        <v>270</v>
      </c>
      <c r="B273" s="15" t="s">
        <v>2977</v>
      </c>
      <c r="C273" s="15">
        <v>505</v>
      </c>
      <c r="D273" s="36" t="s">
        <v>30</v>
      </c>
      <c r="E273" s="37"/>
      <c r="F273" s="33" t="s">
        <v>3142</v>
      </c>
      <c r="G273" s="36"/>
      <c r="H273" s="192" t="s">
        <v>3441</v>
      </c>
      <c r="I273" s="192">
        <v>24862108</v>
      </c>
      <c r="J273" s="9" t="s">
        <v>3133</v>
      </c>
      <c r="K273" s="60"/>
      <c r="L273" s="65"/>
      <c r="M273" s="25">
        <v>1</v>
      </c>
      <c r="N273" s="67" t="s">
        <v>3166</v>
      </c>
      <c r="O273" s="73" t="s">
        <v>3134</v>
      </c>
      <c r="P273" s="65"/>
    </row>
    <row r="274" spans="1:16">
      <c r="A274" s="15">
        <v>271</v>
      </c>
      <c r="B274" s="15" t="s">
        <v>2977</v>
      </c>
      <c r="C274" s="15">
        <v>601</v>
      </c>
      <c r="D274" s="36" t="s">
        <v>30</v>
      </c>
      <c r="E274" s="36"/>
      <c r="F274" s="18" t="s">
        <v>3142</v>
      </c>
      <c r="G274" s="36"/>
      <c r="H274" s="192" t="s">
        <v>3442</v>
      </c>
      <c r="I274" s="192">
        <v>24862109</v>
      </c>
      <c r="J274" s="9" t="s">
        <v>3133</v>
      </c>
      <c r="K274" s="60"/>
      <c r="L274" s="65"/>
      <c r="M274" s="25">
        <v>1</v>
      </c>
      <c r="N274" s="67" t="s">
        <v>3166</v>
      </c>
      <c r="O274" s="73" t="s">
        <v>3134</v>
      </c>
      <c r="P274" s="65"/>
    </row>
    <row r="275" spans="1:16">
      <c r="A275" s="15">
        <v>272</v>
      </c>
      <c r="B275" s="15" t="s">
        <v>2977</v>
      </c>
      <c r="C275" s="15">
        <v>602</v>
      </c>
      <c r="D275" s="36" t="s">
        <v>30</v>
      </c>
      <c r="E275" s="36"/>
      <c r="F275" s="18" t="s">
        <v>3142</v>
      </c>
      <c r="G275" s="36"/>
      <c r="H275" s="192" t="s">
        <v>3443</v>
      </c>
      <c r="I275" s="192">
        <v>24862110</v>
      </c>
      <c r="J275" s="9" t="s">
        <v>3133</v>
      </c>
      <c r="K275" s="60"/>
      <c r="L275" s="65"/>
      <c r="M275" s="25">
        <v>1</v>
      </c>
      <c r="N275" s="67" t="s">
        <v>3166</v>
      </c>
      <c r="O275" s="73" t="s">
        <v>3134</v>
      </c>
      <c r="P275" s="65"/>
    </row>
    <row r="276" spans="1:16">
      <c r="A276" s="15">
        <v>273</v>
      </c>
      <c r="B276" s="39" t="s">
        <v>2984</v>
      </c>
      <c r="C276" s="15" t="s">
        <v>3325</v>
      </c>
      <c r="D276" s="36" t="s">
        <v>29</v>
      </c>
      <c r="E276" s="36"/>
      <c r="F276" s="18" t="s">
        <v>3444</v>
      </c>
      <c r="G276" s="40"/>
      <c r="H276" s="29"/>
      <c r="I276" s="29"/>
      <c r="J276" s="41" t="s">
        <v>1965</v>
      </c>
      <c r="K276" s="60" t="s">
        <v>3226</v>
      </c>
      <c r="L276" s="65"/>
      <c r="M276" s="25">
        <v>2</v>
      </c>
      <c r="N276" s="67" t="s">
        <v>3166</v>
      </c>
      <c r="O276" s="73" t="s">
        <v>3166</v>
      </c>
      <c r="P276" s="65"/>
    </row>
    <row r="277" spans="1:16">
      <c r="A277" s="15">
        <v>274</v>
      </c>
      <c r="B277" s="39" t="s">
        <v>2984</v>
      </c>
      <c r="C277" s="15" t="s">
        <v>3434</v>
      </c>
      <c r="D277" s="36" t="s">
        <v>29</v>
      </c>
      <c r="E277" s="36"/>
      <c r="F277" s="18" t="s">
        <v>3444</v>
      </c>
      <c r="G277" s="40"/>
      <c r="H277" s="29"/>
      <c r="I277" s="29"/>
      <c r="J277" s="41" t="s">
        <v>1965</v>
      </c>
      <c r="K277" s="60" t="s">
        <v>3226</v>
      </c>
      <c r="L277" s="65"/>
      <c r="M277" s="25">
        <v>2</v>
      </c>
      <c r="N277" s="67" t="s">
        <v>3166</v>
      </c>
      <c r="O277" s="73" t="s">
        <v>3166</v>
      </c>
      <c r="P277" s="65"/>
    </row>
    <row r="278" spans="1:16">
      <c r="A278" s="15">
        <v>275</v>
      </c>
      <c r="B278" s="39" t="s">
        <v>2984</v>
      </c>
      <c r="C278" s="15" t="s">
        <v>3436</v>
      </c>
      <c r="D278" s="36" t="s">
        <v>29</v>
      </c>
      <c r="E278" s="36"/>
      <c r="F278" s="18" t="s">
        <v>3444</v>
      </c>
      <c r="G278" s="40"/>
      <c r="H278" s="29"/>
      <c r="I278" s="29"/>
      <c r="J278" s="41" t="s">
        <v>1965</v>
      </c>
      <c r="K278" s="60" t="s">
        <v>3226</v>
      </c>
      <c r="L278" s="65"/>
      <c r="M278" s="25">
        <v>2</v>
      </c>
      <c r="N278" s="67" t="s">
        <v>3166</v>
      </c>
      <c r="O278" s="73" t="s">
        <v>3166</v>
      </c>
      <c r="P278" s="65"/>
    </row>
    <row r="279" spans="1:16">
      <c r="A279" s="15">
        <v>276</v>
      </c>
      <c r="B279" s="39" t="s">
        <v>2984</v>
      </c>
      <c r="C279" s="15" t="s">
        <v>3437</v>
      </c>
      <c r="D279" s="36" t="s">
        <v>29</v>
      </c>
      <c r="E279" s="36"/>
      <c r="F279" s="18" t="s">
        <v>3444</v>
      </c>
      <c r="G279" s="40"/>
      <c r="H279" s="29"/>
      <c r="I279" s="29"/>
      <c r="J279" s="41" t="s">
        <v>1965</v>
      </c>
      <c r="K279" s="60" t="s">
        <v>3226</v>
      </c>
      <c r="L279" s="65"/>
      <c r="M279" s="25">
        <v>2</v>
      </c>
      <c r="N279" s="67" t="s">
        <v>3166</v>
      </c>
      <c r="O279" s="73" t="s">
        <v>3166</v>
      </c>
      <c r="P279" s="65"/>
    </row>
    <row r="280" spans="1:16">
      <c r="A280" s="15">
        <v>277</v>
      </c>
      <c r="B280" s="39" t="s">
        <v>2984</v>
      </c>
      <c r="C280" s="15" t="s">
        <v>3445</v>
      </c>
      <c r="D280" s="36" t="s">
        <v>29</v>
      </c>
      <c r="E280" s="36"/>
      <c r="F280" s="18" t="s">
        <v>3444</v>
      </c>
      <c r="G280" s="40"/>
      <c r="H280" s="29"/>
      <c r="I280" s="29"/>
      <c r="J280" s="41" t="s">
        <v>1965</v>
      </c>
      <c r="K280" s="60" t="s">
        <v>3226</v>
      </c>
      <c r="L280" s="65"/>
      <c r="M280" s="25">
        <v>2</v>
      </c>
      <c r="N280" s="67" t="s">
        <v>3166</v>
      </c>
      <c r="O280" s="73" t="s">
        <v>3166</v>
      </c>
      <c r="P280" s="65"/>
    </row>
    <row r="281" spans="1:16">
      <c r="A281" s="15">
        <v>278</v>
      </c>
      <c r="B281" s="42" t="s">
        <v>2984</v>
      </c>
      <c r="C281" s="15" t="s">
        <v>3446</v>
      </c>
      <c r="D281" s="36" t="s">
        <v>29</v>
      </c>
      <c r="E281" s="36"/>
      <c r="F281" s="18" t="s">
        <v>3444</v>
      </c>
      <c r="G281" s="40"/>
      <c r="H281" s="29"/>
      <c r="I281" s="29"/>
      <c r="J281" s="41" t="s">
        <v>1965</v>
      </c>
      <c r="K281" s="60" t="s">
        <v>3226</v>
      </c>
      <c r="L281" s="65"/>
      <c r="M281" s="25">
        <v>2</v>
      </c>
      <c r="N281" s="67" t="s">
        <v>3166</v>
      </c>
      <c r="O281" s="73" t="s">
        <v>3166</v>
      </c>
      <c r="P281" s="65"/>
    </row>
    <row r="282" spans="1:16">
      <c r="A282" s="15">
        <v>279</v>
      </c>
      <c r="B282" s="38" t="s">
        <v>2991</v>
      </c>
      <c r="C282" s="15" t="s">
        <v>3325</v>
      </c>
      <c r="D282" s="36" t="s">
        <v>29</v>
      </c>
      <c r="E282" s="36"/>
      <c r="F282" s="18" t="s">
        <v>3447</v>
      </c>
      <c r="G282" s="40"/>
      <c r="H282" s="29"/>
      <c r="I282" s="29"/>
      <c r="J282" s="41" t="s">
        <v>1965</v>
      </c>
      <c r="K282" s="60" t="s">
        <v>3226</v>
      </c>
      <c r="L282" s="65"/>
      <c r="M282" s="25">
        <v>2</v>
      </c>
      <c r="N282" s="67" t="s">
        <v>3166</v>
      </c>
      <c r="O282" s="73" t="s">
        <v>3166</v>
      </c>
      <c r="P282" s="65"/>
    </row>
    <row r="283" spans="1:16">
      <c r="A283" s="15">
        <v>280</v>
      </c>
      <c r="B283" s="38" t="s">
        <v>2991</v>
      </c>
      <c r="C283" s="15" t="s">
        <v>2597</v>
      </c>
      <c r="D283" s="36" t="s">
        <v>29</v>
      </c>
      <c r="E283" s="36"/>
      <c r="F283" s="18" t="s">
        <v>3447</v>
      </c>
      <c r="G283" s="40"/>
      <c r="H283" s="29"/>
      <c r="I283" s="29"/>
      <c r="J283" s="41" t="s">
        <v>1965</v>
      </c>
      <c r="K283" s="60" t="s">
        <v>3226</v>
      </c>
      <c r="L283" s="65"/>
      <c r="M283" s="25">
        <v>2</v>
      </c>
      <c r="N283" s="67" t="s">
        <v>3166</v>
      </c>
      <c r="O283" s="73" t="s">
        <v>3166</v>
      </c>
      <c r="P283" s="65"/>
    </row>
    <row r="284" spans="1:16">
      <c r="A284" s="15">
        <v>281</v>
      </c>
      <c r="B284" s="38" t="s">
        <v>2991</v>
      </c>
      <c r="C284" s="15" t="s">
        <v>3434</v>
      </c>
      <c r="D284" s="36" t="s">
        <v>29</v>
      </c>
      <c r="E284" s="36"/>
      <c r="F284" s="18" t="s">
        <v>3447</v>
      </c>
      <c r="G284" s="40"/>
      <c r="H284" s="29"/>
      <c r="I284" s="29"/>
      <c r="J284" s="41" t="s">
        <v>1965</v>
      </c>
      <c r="K284" s="60" t="s">
        <v>3226</v>
      </c>
      <c r="L284" s="65"/>
      <c r="M284" s="25">
        <v>2</v>
      </c>
      <c r="N284" s="67" t="s">
        <v>3166</v>
      </c>
      <c r="O284" s="73" t="s">
        <v>3166</v>
      </c>
      <c r="P284" s="65"/>
    </row>
    <row r="285" spans="1:16">
      <c r="A285" s="15">
        <v>282</v>
      </c>
      <c r="B285" s="38" t="s">
        <v>2991</v>
      </c>
      <c r="C285" s="15" t="s">
        <v>3436</v>
      </c>
      <c r="D285" s="36" t="s">
        <v>29</v>
      </c>
      <c r="E285" s="36"/>
      <c r="F285" s="18" t="s">
        <v>3447</v>
      </c>
      <c r="G285" s="40"/>
      <c r="H285" s="29"/>
      <c r="I285" s="29"/>
      <c r="J285" s="41" t="s">
        <v>1965</v>
      </c>
      <c r="K285" s="60" t="s">
        <v>3226</v>
      </c>
      <c r="L285" s="65"/>
      <c r="M285" s="25">
        <v>2</v>
      </c>
      <c r="N285" s="67" t="s">
        <v>3166</v>
      </c>
      <c r="O285" s="73" t="s">
        <v>3166</v>
      </c>
      <c r="P285" s="65"/>
    </row>
    <row r="286" spans="1:16">
      <c r="A286" s="15">
        <v>283</v>
      </c>
      <c r="B286" s="38" t="s">
        <v>2991</v>
      </c>
      <c r="C286" s="15" t="s">
        <v>3437</v>
      </c>
      <c r="D286" s="36" t="s">
        <v>29</v>
      </c>
      <c r="E286" s="36"/>
      <c r="F286" s="18" t="s">
        <v>3447</v>
      </c>
      <c r="G286" s="40"/>
      <c r="H286" s="29"/>
      <c r="I286" s="29"/>
      <c r="J286" s="41" t="s">
        <v>1965</v>
      </c>
      <c r="K286" s="60" t="s">
        <v>3226</v>
      </c>
      <c r="L286" s="65"/>
      <c r="M286" s="25">
        <v>2</v>
      </c>
      <c r="N286" s="67" t="s">
        <v>3166</v>
      </c>
      <c r="O286" s="73" t="s">
        <v>3166</v>
      </c>
      <c r="P286" s="65"/>
    </row>
    <row r="287" spans="1:16">
      <c r="A287" s="15">
        <v>284</v>
      </c>
      <c r="B287" s="38" t="s">
        <v>2991</v>
      </c>
      <c r="C287" s="15" t="s">
        <v>3445</v>
      </c>
      <c r="D287" s="36" t="s">
        <v>29</v>
      </c>
      <c r="E287" s="36"/>
      <c r="F287" s="18" t="s">
        <v>3447</v>
      </c>
      <c r="G287" s="40"/>
      <c r="H287" s="29"/>
      <c r="I287" s="29"/>
      <c r="J287" s="41" t="s">
        <v>1965</v>
      </c>
      <c r="K287" s="60" t="s">
        <v>3226</v>
      </c>
      <c r="L287" s="65"/>
      <c r="M287" s="25">
        <v>2</v>
      </c>
      <c r="N287" s="67" t="s">
        <v>3166</v>
      </c>
      <c r="O287" s="73" t="s">
        <v>3166</v>
      </c>
      <c r="P287" s="65"/>
    </row>
    <row r="288" spans="1:16">
      <c r="A288" s="15">
        <v>285</v>
      </c>
      <c r="B288" s="38" t="s">
        <v>2991</v>
      </c>
      <c r="C288" s="15" t="s">
        <v>3446</v>
      </c>
      <c r="D288" s="36" t="s">
        <v>29</v>
      </c>
      <c r="E288" s="36"/>
      <c r="F288" s="18" t="s">
        <v>3447</v>
      </c>
      <c r="G288" s="43"/>
      <c r="H288" s="34"/>
      <c r="I288" s="34"/>
      <c r="J288" s="41" t="s">
        <v>1965</v>
      </c>
      <c r="K288" s="60" t="s">
        <v>3226</v>
      </c>
      <c r="L288" s="65"/>
      <c r="M288" s="25">
        <v>2</v>
      </c>
      <c r="N288" s="67" t="s">
        <v>3166</v>
      </c>
      <c r="O288" s="73" t="s">
        <v>3166</v>
      </c>
      <c r="P288" s="65"/>
    </row>
    <row r="289" spans="1:16">
      <c r="A289" s="15">
        <v>286</v>
      </c>
      <c r="B289" s="38" t="s">
        <v>3004</v>
      </c>
      <c r="C289" s="15" t="s">
        <v>3325</v>
      </c>
      <c r="D289" s="36" t="s">
        <v>29</v>
      </c>
      <c r="E289" s="36"/>
      <c r="F289" s="36" t="s">
        <v>3448</v>
      </c>
      <c r="G289" s="44"/>
      <c r="H289" s="192"/>
      <c r="I289" s="192"/>
      <c r="J289" s="41" t="s">
        <v>1965</v>
      </c>
      <c r="K289" s="60" t="s">
        <v>3226</v>
      </c>
      <c r="L289" s="65"/>
      <c r="M289" s="25">
        <v>2</v>
      </c>
      <c r="N289" s="67" t="s">
        <v>3166</v>
      </c>
      <c r="O289" s="73" t="s">
        <v>3166</v>
      </c>
      <c r="P289" s="65"/>
    </row>
    <row r="290" spans="1:16">
      <c r="A290" s="15">
        <v>287</v>
      </c>
      <c r="B290" s="38" t="s">
        <v>3004</v>
      </c>
      <c r="C290" s="15" t="s">
        <v>3200</v>
      </c>
      <c r="D290" s="36" t="s">
        <v>29</v>
      </c>
      <c r="E290" s="36"/>
      <c r="F290" s="36" t="s">
        <v>3448</v>
      </c>
      <c r="G290" s="44"/>
      <c r="H290" s="192"/>
      <c r="I290" s="192"/>
      <c r="J290" s="41" t="s">
        <v>1965</v>
      </c>
      <c r="K290" s="60" t="s">
        <v>3226</v>
      </c>
      <c r="L290" s="65"/>
      <c r="M290" s="25">
        <v>2</v>
      </c>
      <c r="N290" s="67" t="s">
        <v>3166</v>
      </c>
      <c r="O290" s="73" t="s">
        <v>3166</v>
      </c>
      <c r="P290" s="65"/>
    </row>
    <row r="291" spans="1:16">
      <c r="A291" s="15">
        <v>288</v>
      </c>
      <c r="B291" s="38" t="s">
        <v>3004</v>
      </c>
      <c r="C291" s="15" t="s">
        <v>3436</v>
      </c>
      <c r="D291" s="36" t="s">
        <v>29</v>
      </c>
      <c r="E291" s="36"/>
      <c r="F291" s="36" t="s">
        <v>3448</v>
      </c>
      <c r="G291" s="44"/>
      <c r="H291" s="192"/>
      <c r="I291" s="192"/>
      <c r="J291" s="41" t="s">
        <v>1965</v>
      </c>
      <c r="K291" s="60" t="s">
        <v>3226</v>
      </c>
      <c r="L291" s="65"/>
      <c r="M291" s="25">
        <v>2</v>
      </c>
      <c r="N291" s="67" t="s">
        <v>3166</v>
      </c>
      <c r="O291" s="73" t="s">
        <v>3166</v>
      </c>
      <c r="P291" s="65"/>
    </row>
    <row r="292" spans="1:16">
      <c r="A292" s="15">
        <v>289</v>
      </c>
      <c r="B292" s="38" t="s">
        <v>3004</v>
      </c>
      <c r="C292" s="15" t="s">
        <v>3437</v>
      </c>
      <c r="D292" s="36" t="s">
        <v>29</v>
      </c>
      <c r="E292" s="36"/>
      <c r="F292" s="36" t="s">
        <v>3448</v>
      </c>
      <c r="G292" s="44"/>
      <c r="H292" s="192"/>
      <c r="I292" s="192"/>
      <c r="J292" s="41" t="s">
        <v>1965</v>
      </c>
      <c r="K292" s="60" t="s">
        <v>3226</v>
      </c>
      <c r="L292" s="65"/>
      <c r="M292" s="25">
        <v>2</v>
      </c>
      <c r="N292" s="67" t="s">
        <v>3166</v>
      </c>
      <c r="O292" s="73" t="s">
        <v>3166</v>
      </c>
      <c r="P292" s="65"/>
    </row>
    <row r="293" spans="1:16">
      <c r="A293" s="15">
        <v>290</v>
      </c>
      <c r="B293" s="38" t="s">
        <v>3004</v>
      </c>
      <c r="C293" s="15" t="s">
        <v>3449</v>
      </c>
      <c r="D293" s="36" t="s">
        <v>29</v>
      </c>
      <c r="E293" s="36"/>
      <c r="F293" s="36" t="s">
        <v>3448</v>
      </c>
      <c r="G293" s="44"/>
      <c r="H293" s="192"/>
      <c r="I293" s="192"/>
      <c r="J293" s="41" t="s">
        <v>1965</v>
      </c>
      <c r="K293" s="60" t="s">
        <v>3226</v>
      </c>
      <c r="L293" s="65"/>
      <c r="M293" s="25">
        <v>2</v>
      </c>
      <c r="N293" s="67" t="s">
        <v>3166</v>
      </c>
      <c r="O293" s="73" t="s">
        <v>3166</v>
      </c>
      <c r="P293" s="65"/>
    </row>
    <row r="294" spans="1:16">
      <c r="A294" s="15">
        <v>291</v>
      </c>
      <c r="B294" s="38" t="s">
        <v>3450</v>
      </c>
      <c r="C294" s="15">
        <v>101</v>
      </c>
      <c r="D294" s="36" t="s">
        <v>29</v>
      </c>
      <c r="E294" s="36"/>
      <c r="F294" s="36" t="s">
        <v>3451</v>
      </c>
      <c r="G294" s="44"/>
      <c r="H294" s="192"/>
      <c r="I294" s="192"/>
      <c r="J294" s="41" t="s">
        <v>1965</v>
      </c>
      <c r="K294" s="60" t="s">
        <v>3226</v>
      </c>
      <c r="L294" s="65"/>
      <c r="M294" s="25">
        <v>2</v>
      </c>
      <c r="N294" s="67" t="s">
        <v>3166</v>
      </c>
      <c r="O294" s="73" t="s">
        <v>3166</v>
      </c>
      <c r="P294" s="65"/>
    </row>
    <row r="295" spans="1:16">
      <c r="A295" s="15">
        <v>292</v>
      </c>
      <c r="B295" s="38" t="s">
        <v>3450</v>
      </c>
      <c r="C295" s="15">
        <v>102</v>
      </c>
      <c r="D295" s="36" t="s">
        <v>29</v>
      </c>
      <c r="E295" s="36"/>
      <c r="F295" s="36" t="s">
        <v>3451</v>
      </c>
      <c r="G295" s="44"/>
      <c r="H295" s="192"/>
      <c r="I295" s="192"/>
      <c r="J295" s="41" t="s">
        <v>1965</v>
      </c>
      <c r="K295" s="60" t="s">
        <v>3226</v>
      </c>
      <c r="L295" s="65"/>
      <c r="M295" s="25">
        <v>2</v>
      </c>
      <c r="N295" s="67" t="s">
        <v>3166</v>
      </c>
      <c r="O295" s="73" t="s">
        <v>3166</v>
      </c>
      <c r="P295" s="65"/>
    </row>
    <row r="296" spans="1:16">
      <c r="A296" s="15">
        <v>293</v>
      </c>
      <c r="B296" s="38" t="s">
        <v>3450</v>
      </c>
      <c r="C296" s="15">
        <v>103</v>
      </c>
      <c r="D296" s="36" t="s">
        <v>29</v>
      </c>
      <c r="E296" s="36"/>
      <c r="F296" s="36" t="s">
        <v>3451</v>
      </c>
      <c r="G296" s="44"/>
      <c r="H296" s="192"/>
      <c r="I296" s="192"/>
      <c r="J296" s="41" t="s">
        <v>1965</v>
      </c>
      <c r="K296" s="60" t="s">
        <v>3226</v>
      </c>
      <c r="L296" s="65"/>
      <c r="M296" s="25">
        <v>2</v>
      </c>
      <c r="N296" s="67" t="s">
        <v>3166</v>
      </c>
      <c r="O296" s="73" t="s">
        <v>3166</v>
      </c>
      <c r="P296" s="65"/>
    </row>
    <row r="297" spans="1:16">
      <c r="A297" s="15">
        <v>294</v>
      </c>
      <c r="B297" s="38" t="s">
        <v>3450</v>
      </c>
      <c r="C297" s="15">
        <v>301</v>
      </c>
      <c r="D297" s="36" t="s">
        <v>29</v>
      </c>
      <c r="E297" s="36"/>
      <c r="F297" s="36" t="s">
        <v>3451</v>
      </c>
      <c r="G297" s="44"/>
      <c r="H297" s="192"/>
      <c r="I297" s="192"/>
      <c r="J297" s="41" t="s">
        <v>1965</v>
      </c>
      <c r="K297" s="60" t="s">
        <v>3226</v>
      </c>
      <c r="L297" s="65"/>
      <c r="M297" s="25">
        <v>2</v>
      </c>
      <c r="N297" s="67" t="s">
        <v>3166</v>
      </c>
      <c r="O297" s="73" t="s">
        <v>3166</v>
      </c>
      <c r="P297" s="65"/>
    </row>
    <row r="298" spans="1:16">
      <c r="A298" s="15">
        <v>295</v>
      </c>
      <c r="B298" s="38" t="s">
        <v>3450</v>
      </c>
      <c r="C298" s="15">
        <v>302</v>
      </c>
      <c r="D298" s="36" t="s">
        <v>29</v>
      </c>
      <c r="E298" s="36"/>
      <c r="F298" s="36" t="s">
        <v>3451</v>
      </c>
      <c r="G298" s="44"/>
      <c r="H298" s="192"/>
      <c r="I298" s="192"/>
      <c r="J298" s="41" t="s">
        <v>1965</v>
      </c>
      <c r="K298" s="60" t="s">
        <v>3226</v>
      </c>
      <c r="L298" s="65"/>
      <c r="M298" s="25">
        <v>2</v>
      </c>
      <c r="N298" s="67" t="s">
        <v>3166</v>
      </c>
      <c r="O298" s="73" t="s">
        <v>3166</v>
      </c>
      <c r="P298" s="65"/>
    </row>
    <row r="299" spans="1:16">
      <c r="A299" s="15">
        <v>296</v>
      </c>
      <c r="B299" s="38" t="s">
        <v>3450</v>
      </c>
      <c r="C299" s="15">
        <v>401</v>
      </c>
      <c r="D299" s="36" t="s">
        <v>29</v>
      </c>
      <c r="E299" s="36"/>
      <c r="F299" s="36" t="s">
        <v>3451</v>
      </c>
      <c r="G299" s="44"/>
      <c r="H299" s="192"/>
      <c r="I299" s="192"/>
      <c r="J299" s="41" t="s">
        <v>1965</v>
      </c>
      <c r="K299" s="60" t="s">
        <v>3226</v>
      </c>
      <c r="L299" s="65"/>
      <c r="M299" s="25">
        <v>2</v>
      </c>
      <c r="N299" s="67" t="s">
        <v>3166</v>
      </c>
      <c r="O299" s="73" t="s">
        <v>3166</v>
      </c>
      <c r="P299" s="65"/>
    </row>
    <row r="300" spans="1:16">
      <c r="A300" s="15">
        <v>297</v>
      </c>
      <c r="B300" s="38" t="s">
        <v>3450</v>
      </c>
      <c r="C300" s="15">
        <v>402</v>
      </c>
      <c r="D300" s="36" t="s">
        <v>29</v>
      </c>
      <c r="E300" s="36"/>
      <c r="F300" s="36" t="s">
        <v>3451</v>
      </c>
      <c r="G300" s="44"/>
      <c r="H300" s="192"/>
      <c r="I300" s="192"/>
      <c r="J300" s="41" t="s">
        <v>1965</v>
      </c>
      <c r="K300" s="60" t="s">
        <v>3226</v>
      </c>
      <c r="L300" s="65"/>
      <c r="M300" s="25">
        <v>2</v>
      </c>
      <c r="N300" s="67" t="s">
        <v>3166</v>
      </c>
      <c r="O300" s="73" t="s">
        <v>3166</v>
      </c>
      <c r="P300" s="65"/>
    </row>
    <row r="301" spans="1:16">
      <c r="A301" s="15">
        <v>298</v>
      </c>
      <c r="B301" s="38" t="s">
        <v>3450</v>
      </c>
      <c r="C301" s="15">
        <v>501</v>
      </c>
      <c r="D301" s="36" t="s">
        <v>29</v>
      </c>
      <c r="E301" s="36"/>
      <c r="F301" s="36" t="s">
        <v>3451</v>
      </c>
      <c r="G301" s="44"/>
      <c r="H301" s="192"/>
      <c r="I301" s="192"/>
      <c r="J301" s="41" t="s">
        <v>1965</v>
      </c>
      <c r="K301" s="60" t="s">
        <v>3226</v>
      </c>
      <c r="L301" s="65"/>
      <c r="M301" s="25">
        <v>2</v>
      </c>
      <c r="N301" s="67" t="s">
        <v>3166</v>
      </c>
      <c r="O301" s="73" t="s">
        <v>3166</v>
      </c>
      <c r="P301" s="65"/>
    </row>
    <row r="302" spans="1:16">
      <c r="A302" s="15">
        <v>299</v>
      </c>
      <c r="B302" s="45" t="s">
        <v>3450</v>
      </c>
      <c r="C302" s="15">
        <v>502</v>
      </c>
      <c r="D302" s="36" t="s">
        <v>29</v>
      </c>
      <c r="E302" s="36"/>
      <c r="F302" s="36" t="s">
        <v>3451</v>
      </c>
      <c r="G302" s="44"/>
      <c r="H302" s="191"/>
      <c r="I302" s="191"/>
      <c r="J302" s="46" t="s">
        <v>1965</v>
      </c>
      <c r="K302" s="62" t="s">
        <v>3226</v>
      </c>
      <c r="L302" s="65"/>
      <c r="M302" s="25">
        <v>2</v>
      </c>
      <c r="N302" s="69" t="s">
        <v>3166</v>
      </c>
      <c r="O302" s="76" t="s">
        <v>3166</v>
      </c>
      <c r="P302" s="65"/>
    </row>
    <row r="303" spans="1:16">
      <c r="A303" s="15">
        <v>300</v>
      </c>
      <c r="B303" s="38" t="s">
        <v>3452</v>
      </c>
      <c r="C303" s="15">
        <v>201</v>
      </c>
      <c r="D303" s="36" t="s">
        <v>30</v>
      </c>
      <c r="E303" s="36"/>
      <c r="F303" s="18" t="s">
        <v>3142</v>
      </c>
      <c r="G303" s="36"/>
      <c r="H303" s="192" t="s">
        <v>3453</v>
      </c>
      <c r="I303" s="192"/>
      <c r="J303" s="9" t="s">
        <v>1965</v>
      </c>
      <c r="K303" s="60" t="s">
        <v>3226</v>
      </c>
      <c r="L303" s="65"/>
      <c r="M303" s="25">
        <v>3</v>
      </c>
      <c r="N303" s="67" t="s">
        <v>3166</v>
      </c>
      <c r="O303" s="73" t="s">
        <v>3166</v>
      </c>
      <c r="P303" s="65"/>
    </row>
    <row r="304" spans="1:16" ht="16.5" customHeight="1">
      <c r="A304" s="15">
        <v>301</v>
      </c>
      <c r="B304" s="38" t="s">
        <v>3452</v>
      </c>
      <c r="C304" s="15">
        <v>202</v>
      </c>
      <c r="D304" s="36" t="s">
        <v>30</v>
      </c>
      <c r="E304" s="36"/>
      <c r="F304" s="18" t="s">
        <v>3142</v>
      </c>
      <c r="G304" s="36"/>
      <c r="H304" s="192"/>
      <c r="I304" s="192"/>
      <c r="J304" s="9" t="s">
        <v>1965</v>
      </c>
      <c r="K304" s="60" t="s">
        <v>3226</v>
      </c>
      <c r="L304" s="65"/>
      <c r="M304" s="25">
        <v>3</v>
      </c>
      <c r="N304" s="67" t="s">
        <v>3166</v>
      </c>
      <c r="O304" s="73" t="s">
        <v>3166</v>
      </c>
      <c r="P304" s="65"/>
    </row>
    <row r="305" spans="1:16" ht="16.5" customHeight="1">
      <c r="A305" s="15">
        <v>302</v>
      </c>
      <c r="B305" s="38" t="s">
        <v>3452</v>
      </c>
      <c r="C305" s="15">
        <v>203</v>
      </c>
      <c r="D305" s="36" t="s">
        <v>30</v>
      </c>
      <c r="E305" s="36"/>
      <c r="F305" s="18" t="s">
        <v>3142</v>
      </c>
      <c r="G305" s="36"/>
      <c r="H305" s="192"/>
      <c r="I305" s="192"/>
      <c r="J305" s="9" t="s">
        <v>1965</v>
      </c>
      <c r="K305" s="60" t="s">
        <v>3226</v>
      </c>
      <c r="L305" s="65"/>
      <c r="M305" s="25">
        <v>3</v>
      </c>
      <c r="N305" s="67" t="s">
        <v>3166</v>
      </c>
      <c r="O305" s="73" t="s">
        <v>3166</v>
      </c>
      <c r="P305" s="65"/>
    </row>
    <row r="306" spans="1:16" ht="16.5" customHeight="1">
      <c r="A306" s="15">
        <v>303</v>
      </c>
      <c r="B306" s="38" t="s">
        <v>3452</v>
      </c>
      <c r="C306" s="15">
        <v>301</v>
      </c>
      <c r="D306" s="36" t="s">
        <v>30</v>
      </c>
      <c r="E306" s="36"/>
      <c r="F306" s="18" t="s">
        <v>3142</v>
      </c>
      <c r="G306" s="36"/>
      <c r="H306" s="192"/>
      <c r="I306" s="192"/>
      <c r="J306" s="9" t="s">
        <v>1965</v>
      </c>
      <c r="K306" s="60" t="s">
        <v>3226</v>
      </c>
      <c r="L306" s="65"/>
      <c r="M306" s="25">
        <v>3</v>
      </c>
      <c r="N306" s="67" t="s">
        <v>3166</v>
      </c>
      <c r="O306" s="73" t="s">
        <v>3166</v>
      </c>
      <c r="P306" s="65"/>
    </row>
    <row r="307" spans="1:16" ht="16.5" customHeight="1">
      <c r="A307" s="15">
        <v>304</v>
      </c>
      <c r="B307" s="38" t="s">
        <v>3452</v>
      </c>
      <c r="C307" s="15">
        <v>302</v>
      </c>
      <c r="D307" s="36" t="s">
        <v>30</v>
      </c>
      <c r="E307" s="36"/>
      <c r="F307" s="18" t="s">
        <v>3142</v>
      </c>
      <c r="G307" s="36"/>
      <c r="H307" s="192"/>
      <c r="I307" s="192"/>
      <c r="J307" s="9" t="s">
        <v>1965</v>
      </c>
      <c r="K307" s="60" t="s">
        <v>3226</v>
      </c>
      <c r="L307" s="65"/>
      <c r="M307" s="25">
        <v>3</v>
      </c>
      <c r="N307" s="67" t="s">
        <v>3166</v>
      </c>
      <c r="O307" s="73" t="s">
        <v>3166</v>
      </c>
      <c r="P307" s="65"/>
    </row>
    <row r="308" spans="1:16" ht="16.5" customHeight="1">
      <c r="A308" s="15">
        <v>305</v>
      </c>
      <c r="B308" s="38" t="s">
        <v>3452</v>
      </c>
      <c r="C308" s="15">
        <v>303</v>
      </c>
      <c r="D308" s="36" t="s">
        <v>30</v>
      </c>
      <c r="E308" s="36"/>
      <c r="F308" s="18" t="s">
        <v>3142</v>
      </c>
      <c r="G308" s="36"/>
      <c r="H308" s="192"/>
      <c r="I308" s="192"/>
      <c r="J308" s="9" t="s">
        <v>1965</v>
      </c>
      <c r="K308" s="60" t="s">
        <v>3226</v>
      </c>
      <c r="L308" s="65"/>
      <c r="M308" s="25">
        <v>3</v>
      </c>
      <c r="N308" s="67" t="s">
        <v>3166</v>
      </c>
      <c r="O308" s="73" t="s">
        <v>3166</v>
      </c>
      <c r="P308" s="65"/>
    </row>
    <row r="309" spans="1:16" ht="16.5" customHeight="1">
      <c r="A309" s="15">
        <v>306</v>
      </c>
      <c r="B309" s="38" t="s">
        <v>3452</v>
      </c>
      <c r="C309" s="15">
        <v>401</v>
      </c>
      <c r="D309" s="36" t="s">
        <v>30</v>
      </c>
      <c r="E309" s="36"/>
      <c r="F309" s="18" t="s">
        <v>3142</v>
      </c>
      <c r="G309" s="36"/>
      <c r="H309" s="192"/>
      <c r="I309" s="192"/>
      <c r="J309" s="9" t="s">
        <v>1965</v>
      </c>
      <c r="K309" s="60" t="s">
        <v>3226</v>
      </c>
      <c r="L309" s="65"/>
      <c r="M309" s="25">
        <v>3</v>
      </c>
      <c r="N309" s="67" t="s">
        <v>3166</v>
      </c>
      <c r="O309" s="73" t="s">
        <v>3166</v>
      </c>
      <c r="P309" s="65"/>
    </row>
    <row r="310" spans="1:16" ht="16.5" customHeight="1">
      <c r="A310" s="15">
        <v>307</v>
      </c>
      <c r="B310" s="38" t="s">
        <v>3452</v>
      </c>
      <c r="C310" s="15">
        <v>402</v>
      </c>
      <c r="D310" s="36" t="s">
        <v>30</v>
      </c>
      <c r="E310" s="36"/>
      <c r="F310" s="18" t="s">
        <v>3142</v>
      </c>
      <c r="G310" s="36"/>
      <c r="H310" s="192"/>
      <c r="I310" s="192"/>
      <c r="J310" s="9" t="s">
        <v>1965</v>
      </c>
      <c r="K310" s="60" t="s">
        <v>3226</v>
      </c>
      <c r="L310" s="65"/>
      <c r="M310" s="25">
        <v>3</v>
      </c>
      <c r="N310" s="67" t="s">
        <v>3166</v>
      </c>
      <c r="O310" s="73" t="s">
        <v>3166</v>
      </c>
      <c r="P310" s="65"/>
    </row>
    <row r="311" spans="1:16" ht="16.5" customHeight="1">
      <c r="A311" s="15">
        <v>308</v>
      </c>
      <c r="B311" s="38" t="s">
        <v>3452</v>
      </c>
      <c r="C311" s="15">
        <v>403</v>
      </c>
      <c r="D311" s="36" t="s">
        <v>30</v>
      </c>
      <c r="E311" s="36"/>
      <c r="F311" s="18" t="s">
        <v>3142</v>
      </c>
      <c r="G311" s="36"/>
      <c r="H311" s="192"/>
      <c r="I311" s="192"/>
      <c r="J311" s="9" t="s">
        <v>1965</v>
      </c>
      <c r="K311" s="60" t="s">
        <v>3226</v>
      </c>
      <c r="L311" s="65"/>
      <c r="M311" s="25">
        <v>3</v>
      </c>
      <c r="N311" s="67" t="s">
        <v>3166</v>
      </c>
      <c r="O311" s="73" t="s">
        <v>3166</v>
      </c>
      <c r="P311" s="65"/>
    </row>
    <row r="312" spans="1:16" ht="16.5" customHeight="1">
      <c r="A312" s="15">
        <v>309</v>
      </c>
      <c r="B312" s="38" t="s">
        <v>3452</v>
      </c>
      <c r="C312" s="15">
        <v>501</v>
      </c>
      <c r="D312" s="36" t="s">
        <v>30</v>
      </c>
      <c r="E312" s="36"/>
      <c r="F312" s="18" t="s">
        <v>3142</v>
      </c>
      <c r="G312" s="36"/>
      <c r="H312" s="192"/>
      <c r="I312" s="192"/>
      <c r="J312" s="9" t="s">
        <v>1965</v>
      </c>
      <c r="K312" s="60" t="s">
        <v>3226</v>
      </c>
      <c r="L312" s="65"/>
      <c r="M312" s="25">
        <v>3</v>
      </c>
      <c r="N312" s="67" t="s">
        <v>3166</v>
      </c>
      <c r="O312" s="73" t="s">
        <v>3166</v>
      </c>
      <c r="P312" s="65"/>
    </row>
    <row r="313" spans="1:16" ht="16.5" customHeight="1">
      <c r="A313" s="15">
        <v>310</v>
      </c>
      <c r="B313" s="38" t="s">
        <v>3452</v>
      </c>
      <c r="C313" s="15">
        <v>502</v>
      </c>
      <c r="D313" s="36" t="s">
        <v>30</v>
      </c>
      <c r="E313" s="36"/>
      <c r="F313" s="18" t="s">
        <v>3142</v>
      </c>
      <c r="G313" s="36"/>
      <c r="H313" s="192"/>
      <c r="I313" s="192"/>
      <c r="J313" s="9" t="s">
        <v>1965</v>
      </c>
      <c r="K313" s="60" t="s">
        <v>3226</v>
      </c>
      <c r="L313" s="65"/>
      <c r="M313" s="25">
        <v>3</v>
      </c>
      <c r="N313" s="67" t="s">
        <v>3166</v>
      </c>
      <c r="O313" s="73" t="s">
        <v>3166</v>
      </c>
      <c r="P313" s="65"/>
    </row>
    <row r="314" spans="1:16" ht="16.5" customHeight="1">
      <c r="A314" s="15">
        <v>311</v>
      </c>
      <c r="B314" s="38" t="s">
        <v>3452</v>
      </c>
      <c r="C314" s="15">
        <v>503</v>
      </c>
      <c r="D314" s="36" t="s">
        <v>30</v>
      </c>
      <c r="E314" s="36"/>
      <c r="F314" s="18" t="s">
        <v>3142</v>
      </c>
      <c r="G314" s="36"/>
      <c r="H314" s="192"/>
      <c r="I314" s="192"/>
      <c r="J314" s="9" t="s">
        <v>1965</v>
      </c>
      <c r="K314" s="60" t="s">
        <v>3226</v>
      </c>
      <c r="L314" s="65"/>
      <c r="M314" s="25">
        <v>3</v>
      </c>
      <c r="N314" s="67" t="s">
        <v>3166</v>
      </c>
      <c r="O314" s="73" t="s">
        <v>3166</v>
      </c>
      <c r="P314" s="65"/>
    </row>
    <row r="315" spans="1:16" ht="16.5" customHeight="1">
      <c r="A315" s="15">
        <v>312</v>
      </c>
      <c r="B315" s="38" t="s">
        <v>3454</v>
      </c>
      <c r="C315" s="15">
        <v>201</v>
      </c>
      <c r="D315" s="36" t="s">
        <v>30</v>
      </c>
      <c r="E315" s="36"/>
      <c r="F315" s="18" t="s">
        <v>3142</v>
      </c>
      <c r="G315" s="36"/>
      <c r="H315" s="192" t="s">
        <v>3455</v>
      </c>
      <c r="I315" s="192"/>
      <c r="J315" s="9" t="s">
        <v>1965</v>
      </c>
      <c r="K315" s="60" t="s">
        <v>3226</v>
      </c>
      <c r="L315" s="65"/>
      <c r="M315" s="25">
        <v>3</v>
      </c>
      <c r="N315" s="67" t="s">
        <v>3166</v>
      </c>
      <c r="O315" s="73" t="s">
        <v>3166</v>
      </c>
      <c r="P315" s="65"/>
    </row>
    <row r="316" spans="1:16" ht="16.5" customHeight="1">
      <c r="A316" s="15">
        <v>313</v>
      </c>
      <c r="B316" s="38" t="s">
        <v>3454</v>
      </c>
      <c r="C316" s="15">
        <v>202</v>
      </c>
      <c r="D316" s="36" t="s">
        <v>30</v>
      </c>
      <c r="E316" s="36"/>
      <c r="F316" s="18" t="s">
        <v>3142</v>
      </c>
      <c r="G316" s="36"/>
      <c r="H316" s="192"/>
      <c r="I316" s="192"/>
      <c r="J316" s="9" t="s">
        <v>1965</v>
      </c>
      <c r="K316" s="60" t="s">
        <v>3226</v>
      </c>
      <c r="L316" s="65"/>
      <c r="M316" s="25">
        <v>3</v>
      </c>
      <c r="N316" s="67" t="s">
        <v>3166</v>
      </c>
      <c r="O316" s="73" t="s">
        <v>3166</v>
      </c>
      <c r="P316" s="65"/>
    </row>
    <row r="317" spans="1:16" ht="16.5" customHeight="1">
      <c r="A317" s="15">
        <v>314</v>
      </c>
      <c r="B317" s="38" t="s">
        <v>3454</v>
      </c>
      <c r="C317" s="15">
        <v>203</v>
      </c>
      <c r="D317" s="36" t="s">
        <v>30</v>
      </c>
      <c r="E317" s="36"/>
      <c r="F317" s="18" t="s">
        <v>3142</v>
      </c>
      <c r="G317" s="36"/>
      <c r="H317" s="192"/>
      <c r="I317" s="192"/>
      <c r="J317" s="9" t="s">
        <v>1965</v>
      </c>
      <c r="K317" s="60" t="s">
        <v>3226</v>
      </c>
      <c r="L317" s="65"/>
      <c r="M317" s="25">
        <v>3</v>
      </c>
      <c r="N317" s="67" t="s">
        <v>3166</v>
      </c>
      <c r="O317" s="73" t="s">
        <v>3166</v>
      </c>
      <c r="P317" s="65"/>
    </row>
    <row r="318" spans="1:16" ht="16.5" customHeight="1">
      <c r="A318" s="15">
        <v>315</v>
      </c>
      <c r="B318" s="38" t="s">
        <v>3454</v>
      </c>
      <c r="C318" s="15">
        <v>301</v>
      </c>
      <c r="D318" s="36" t="s">
        <v>30</v>
      </c>
      <c r="E318" s="36"/>
      <c r="F318" s="18" t="s">
        <v>3142</v>
      </c>
      <c r="G318" s="44"/>
      <c r="H318" s="407"/>
      <c r="I318" s="192"/>
      <c r="J318" s="9" t="s">
        <v>1965</v>
      </c>
      <c r="K318" s="60" t="s">
        <v>3226</v>
      </c>
      <c r="L318" s="65"/>
      <c r="M318" s="25">
        <v>3</v>
      </c>
      <c r="N318" s="67" t="s">
        <v>3166</v>
      </c>
      <c r="O318" s="73" t="s">
        <v>3166</v>
      </c>
      <c r="P318" s="65"/>
    </row>
    <row r="319" spans="1:16" ht="16.5" customHeight="1">
      <c r="A319" s="15">
        <v>316</v>
      </c>
      <c r="B319" s="38" t="s">
        <v>3454</v>
      </c>
      <c r="C319" s="15">
        <v>302</v>
      </c>
      <c r="D319" s="36" t="s">
        <v>30</v>
      </c>
      <c r="E319" s="36"/>
      <c r="F319" s="18" t="s">
        <v>3142</v>
      </c>
      <c r="G319" s="44"/>
      <c r="H319" s="407"/>
      <c r="I319" s="192"/>
      <c r="J319" s="9" t="s">
        <v>1965</v>
      </c>
      <c r="K319" s="60" t="s">
        <v>3226</v>
      </c>
      <c r="L319" s="65"/>
      <c r="M319" s="25">
        <v>3</v>
      </c>
      <c r="N319" s="67" t="s">
        <v>3166</v>
      </c>
      <c r="O319" s="73" t="s">
        <v>3166</v>
      </c>
      <c r="P319" s="65"/>
    </row>
    <row r="320" spans="1:16" ht="16.5" customHeight="1">
      <c r="A320" s="15">
        <v>317</v>
      </c>
      <c r="B320" s="38" t="s">
        <v>3454</v>
      </c>
      <c r="C320" s="15">
        <v>303</v>
      </c>
      <c r="D320" s="36" t="s">
        <v>30</v>
      </c>
      <c r="E320" s="36"/>
      <c r="F320" s="18" t="s">
        <v>3142</v>
      </c>
      <c r="G320" s="44"/>
      <c r="H320" s="407"/>
      <c r="I320" s="192"/>
      <c r="J320" s="9" t="s">
        <v>1965</v>
      </c>
      <c r="K320" s="60" t="s">
        <v>3226</v>
      </c>
      <c r="L320" s="65"/>
      <c r="M320" s="25">
        <v>3</v>
      </c>
      <c r="N320" s="67" t="s">
        <v>3166</v>
      </c>
      <c r="O320" s="73" t="s">
        <v>3166</v>
      </c>
      <c r="P320" s="65"/>
    </row>
    <row r="321" spans="1:16" ht="16.5" customHeight="1">
      <c r="A321" s="15">
        <v>318</v>
      </c>
      <c r="B321" s="38" t="s">
        <v>3454</v>
      </c>
      <c r="C321" s="15">
        <v>401</v>
      </c>
      <c r="D321" s="36" t="s">
        <v>30</v>
      </c>
      <c r="E321" s="36"/>
      <c r="F321" s="18" t="s">
        <v>3142</v>
      </c>
      <c r="G321" s="44"/>
      <c r="H321" s="407"/>
      <c r="I321" s="192"/>
      <c r="J321" s="9" t="s">
        <v>1965</v>
      </c>
      <c r="K321" s="60" t="s">
        <v>3226</v>
      </c>
      <c r="L321" s="65"/>
      <c r="M321" s="25">
        <v>3</v>
      </c>
      <c r="N321" s="67" t="s">
        <v>3166</v>
      </c>
      <c r="O321" s="73" t="s">
        <v>3166</v>
      </c>
      <c r="P321" s="65"/>
    </row>
    <row r="322" spans="1:16" ht="16.5" customHeight="1">
      <c r="A322" s="15">
        <v>319</v>
      </c>
      <c r="B322" s="38" t="s">
        <v>3454</v>
      </c>
      <c r="C322" s="15">
        <v>402</v>
      </c>
      <c r="D322" s="36" t="s">
        <v>30</v>
      </c>
      <c r="E322" s="36"/>
      <c r="F322" s="18" t="s">
        <v>3142</v>
      </c>
      <c r="G322" s="44"/>
      <c r="H322" s="407"/>
      <c r="I322" s="192"/>
      <c r="J322" s="9" t="s">
        <v>1965</v>
      </c>
      <c r="K322" s="60" t="s">
        <v>3226</v>
      </c>
      <c r="L322" s="65"/>
      <c r="M322" s="25">
        <v>3</v>
      </c>
      <c r="N322" s="67" t="s">
        <v>3166</v>
      </c>
      <c r="O322" s="73" t="s">
        <v>3166</v>
      </c>
      <c r="P322" s="65"/>
    </row>
    <row r="323" spans="1:16" ht="16.5" customHeight="1">
      <c r="A323" s="15">
        <v>320</v>
      </c>
      <c r="B323" s="38" t="s">
        <v>3454</v>
      </c>
      <c r="C323" s="15">
        <v>403</v>
      </c>
      <c r="D323" s="36" t="s">
        <v>30</v>
      </c>
      <c r="E323" s="36"/>
      <c r="F323" s="18" t="s">
        <v>3142</v>
      </c>
      <c r="G323" s="44"/>
      <c r="H323" s="407"/>
      <c r="I323" s="192"/>
      <c r="J323" s="9" t="s">
        <v>1965</v>
      </c>
      <c r="K323" s="60" t="s">
        <v>3226</v>
      </c>
      <c r="L323" s="65"/>
      <c r="M323" s="25">
        <v>3</v>
      </c>
      <c r="N323" s="67" t="s">
        <v>3166</v>
      </c>
      <c r="O323" s="73" t="s">
        <v>3166</v>
      </c>
      <c r="P323" s="65"/>
    </row>
    <row r="324" spans="1:16" ht="16.5" customHeight="1">
      <c r="A324" s="15">
        <v>321</v>
      </c>
      <c r="B324" s="38" t="s">
        <v>3454</v>
      </c>
      <c r="C324" s="15">
        <v>501</v>
      </c>
      <c r="D324" s="36" t="s">
        <v>30</v>
      </c>
      <c r="E324" s="36"/>
      <c r="F324" s="18" t="s">
        <v>3142</v>
      </c>
      <c r="G324" s="44"/>
      <c r="H324" s="407"/>
      <c r="I324" s="192"/>
      <c r="J324" s="9" t="s">
        <v>1965</v>
      </c>
      <c r="K324" s="60" t="s">
        <v>3226</v>
      </c>
      <c r="L324" s="65"/>
      <c r="M324" s="25">
        <v>3</v>
      </c>
      <c r="N324" s="67" t="s">
        <v>3166</v>
      </c>
      <c r="O324" s="73" t="s">
        <v>3166</v>
      </c>
      <c r="P324" s="65"/>
    </row>
    <row r="325" spans="1:16" ht="16.5" customHeight="1">
      <c r="A325" s="15">
        <v>322</v>
      </c>
      <c r="B325" s="38" t="s">
        <v>3454</v>
      </c>
      <c r="C325" s="15">
        <v>502</v>
      </c>
      <c r="D325" s="36" t="s">
        <v>30</v>
      </c>
      <c r="E325" s="36"/>
      <c r="F325" s="18" t="s">
        <v>3142</v>
      </c>
      <c r="G325" s="44"/>
      <c r="H325" s="407"/>
      <c r="I325" s="192"/>
      <c r="J325" s="9" t="s">
        <v>1965</v>
      </c>
      <c r="K325" s="60" t="s">
        <v>3226</v>
      </c>
      <c r="L325" s="65"/>
      <c r="M325" s="25">
        <v>3</v>
      </c>
      <c r="N325" s="67" t="s">
        <v>3166</v>
      </c>
      <c r="O325" s="73" t="s">
        <v>3166</v>
      </c>
      <c r="P325" s="65"/>
    </row>
    <row r="326" spans="1:16" ht="16.5" customHeight="1">
      <c r="A326" s="15">
        <v>323</v>
      </c>
      <c r="B326" s="38" t="s">
        <v>3454</v>
      </c>
      <c r="C326" s="15">
        <v>503</v>
      </c>
      <c r="D326" s="36" t="s">
        <v>30</v>
      </c>
      <c r="E326" s="36"/>
      <c r="F326" s="18" t="s">
        <v>3142</v>
      </c>
      <c r="G326" s="44"/>
      <c r="H326" s="407"/>
      <c r="I326" s="192"/>
      <c r="J326" s="9" t="s">
        <v>1965</v>
      </c>
      <c r="K326" s="60" t="s">
        <v>3226</v>
      </c>
      <c r="L326" s="65"/>
      <c r="M326" s="25">
        <v>3</v>
      </c>
      <c r="N326" s="67" t="s">
        <v>3166</v>
      </c>
      <c r="O326" s="73" t="s">
        <v>3166</v>
      </c>
      <c r="P326" s="65"/>
    </row>
    <row r="327" spans="1:16" ht="16.5" customHeight="1">
      <c r="A327" s="15">
        <v>324</v>
      </c>
      <c r="B327" s="38" t="s">
        <v>3456</v>
      </c>
      <c r="C327" s="15">
        <v>201</v>
      </c>
      <c r="D327" s="36" t="s">
        <v>30</v>
      </c>
      <c r="E327" s="36"/>
      <c r="F327" s="18" t="s">
        <v>3142</v>
      </c>
      <c r="G327" s="44"/>
      <c r="H327" s="407" t="s">
        <v>3457</v>
      </c>
      <c r="I327" s="192"/>
      <c r="J327" s="9" t="s">
        <v>1965</v>
      </c>
      <c r="K327" s="60" t="s">
        <v>3226</v>
      </c>
      <c r="L327" s="65"/>
      <c r="M327" s="25">
        <v>3</v>
      </c>
      <c r="N327" s="67" t="s">
        <v>3166</v>
      </c>
      <c r="O327" s="73" t="s">
        <v>3166</v>
      </c>
      <c r="P327" s="65"/>
    </row>
    <row r="328" spans="1:16" ht="16.5" customHeight="1">
      <c r="A328" s="15">
        <v>325</v>
      </c>
      <c r="B328" s="38" t="s">
        <v>3456</v>
      </c>
      <c r="C328" s="15">
        <v>202</v>
      </c>
      <c r="D328" s="36" t="s">
        <v>30</v>
      </c>
      <c r="E328" s="36"/>
      <c r="F328" s="18" t="s">
        <v>3142</v>
      </c>
      <c r="G328" s="44"/>
      <c r="H328" s="407"/>
      <c r="I328" s="192"/>
      <c r="J328" s="9" t="s">
        <v>1965</v>
      </c>
      <c r="K328" s="60" t="s">
        <v>3226</v>
      </c>
      <c r="L328" s="65"/>
      <c r="M328" s="25">
        <v>3</v>
      </c>
      <c r="N328" s="67" t="s">
        <v>3166</v>
      </c>
      <c r="O328" s="73" t="s">
        <v>3166</v>
      </c>
      <c r="P328" s="65"/>
    </row>
    <row r="329" spans="1:16" ht="16.5" customHeight="1">
      <c r="A329" s="15">
        <v>326</v>
      </c>
      <c r="B329" s="38" t="s">
        <v>3456</v>
      </c>
      <c r="C329" s="15">
        <v>301</v>
      </c>
      <c r="D329" s="36" t="s">
        <v>30</v>
      </c>
      <c r="E329" s="36"/>
      <c r="F329" s="18" t="s">
        <v>3142</v>
      </c>
      <c r="G329" s="44"/>
      <c r="H329" s="407"/>
      <c r="I329" s="192"/>
      <c r="J329" s="9" t="s">
        <v>1965</v>
      </c>
      <c r="K329" s="60" t="s">
        <v>3226</v>
      </c>
      <c r="L329" s="65"/>
      <c r="M329" s="25">
        <v>3</v>
      </c>
      <c r="N329" s="67" t="s">
        <v>3166</v>
      </c>
      <c r="O329" s="73" t="s">
        <v>3166</v>
      </c>
      <c r="P329" s="65"/>
    </row>
    <row r="330" spans="1:16" ht="16.5" customHeight="1">
      <c r="A330" s="15">
        <v>327</v>
      </c>
      <c r="B330" s="38" t="s">
        <v>3456</v>
      </c>
      <c r="C330" s="15">
        <v>302</v>
      </c>
      <c r="D330" s="36" t="s">
        <v>30</v>
      </c>
      <c r="E330" s="36"/>
      <c r="F330" s="18" t="s">
        <v>3142</v>
      </c>
      <c r="G330" s="44"/>
      <c r="H330" s="407"/>
      <c r="I330" s="192"/>
      <c r="J330" s="9" t="s">
        <v>1965</v>
      </c>
      <c r="K330" s="60" t="s">
        <v>3226</v>
      </c>
      <c r="L330" s="65"/>
      <c r="M330" s="25">
        <v>3</v>
      </c>
      <c r="N330" s="67" t="s">
        <v>3166</v>
      </c>
      <c r="O330" s="73" t="s">
        <v>3166</v>
      </c>
      <c r="P330" s="65"/>
    </row>
    <row r="331" spans="1:16" ht="16.5" customHeight="1">
      <c r="A331" s="15">
        <v>328</v>
      </c>
      <c r="B331" s="38" t="s">
        <v>3456</v>
      </c>
      <c r="C331" s="15">
        <v>401</v>
      </c>
      <c r="D331" s="36" t="s">
        <v>30</v>
      </c>
      <c r="E331" s="36"/>
      <c r="F331" s="18" t="s">
        <v>3142</v>
      </c>
      <c r="G331" s="44"/>
      <c r="H331" s="407"/>
      <c r="I331" s="192"/>
      <c r="J331" s="9" t="s">
        <v>1965</v>
      </c>
      <c r="K331" s="60" t="s">
        <v>3226</v>
      </c>
      <c r="L331" s="65"/>
      <c r="M331" s="25">
        <v>3</v>
      </c>
      <c r="N331" s="67" t="s">
        <v>3166</v>
      </c>
      <c r="O331" s="73" t="s">
        <v>3166</v>
      </c>
      <c r="P331" s="65"/>
    </row>
    <row r="332" spans="1:16" ht="16.5" customHeight="1">
      <c r="A332" s="15">
        <v>329</v>
      </c>
      <c r="B332" s="38" t="s">
        <v>3456</v>
      </c>
      <c r="C332" s="15">
        <v>402</v>
      </c>
      <c r="D332" s="36" t="s">
        <v>30</v>
      </c>
      <c r="E332" s="36"/>
      <c r="F332" s="18" t="s">
        <v>3142</v>
      </c>
      <c r="G332" s="44"/>
      <c r="H332" s="407"/>
      <c r="I332" s="192"/>
      <c r="J332" s="9" t="s">
        <v>1965</v>
      </c>
      <c r="K332" s="60" t="s">
        <v>3226</v>
      </c>
      <c r="L332" s="65"/>
      <c r="M332" s="25">
        <v>3</v>
      </c>
      <c r="N332" s="67" t="s">
        <v>3166</v>
      </c>
      <c r="O332" s="73" t="s">
        <v>3166</v>
      </c>
      <c r="P332" s="65"/>
    </row>
    <row r="333" spans="1:16" ht="16.5" customHeight="1">
      <c r="A333" s="15">
        <v>330</v>
      </c>
      <c r="B333" s="38" t="s">
        <v>3456</v>
      </c>
      <c r="C333" s="15">
        <v>501</v>
      </c>
      <c r="D333" s="36" t="s">
        <v>30</v>
      </c>
      <c r="E333" s="36"/>
      <c r="F333" s="18" t="s">
        <v>3142</v>
      </c>
      <c r="G333" s="44"/>
      <c r="H333" s="407"/>
      <c r="I333" s="192"/>
      <c r="J333" s="9" t="s">
        <v>1965</v>
      </c>
      <c r="K333" s="60" t="s">
        <v>3226</v>
      </c>
      <c r="L333" s="65"/>
      <c r="M333" s="25">
        <v>3</v>
      </c>
      <c r="N333" s="67" t="s">
        <v>3166</v>
      </c>
      <c r="O333" s="73" t="s">
        <v>3166</v>
      </c>
      <c r="P333" s="65"/>
    </row>
    <row r="334" spans="1:16" ht="16.5" customHeight="1">
      <c r="A334" s="15">
        <v>331</v>
      </c>
      <c r="B334" s="38" t="s">
        <v>3456</v>
      </c>
      <c r="C334" s="15">
        <v>502</v>
      </c>
      <c r="D334" s="36" t="s">
        <v>30</v>
      </c>
      <c r="E334" s="36"/>
      <c r="F334" s="18" t="s">
        <v>3142</v>
      </c>
      <c r="G334" s="44"/>
      <c r="H334" s="407"/>
      <c r="I334" s="192"/>
      <c r="J334" s="9" t="s">
        <v>1965</v>
      </c>
      <c r="K334" s="60" t="s">
        <v>3226</v>
      </c>
      <c r="L334" s="65"/>
      <c r="M334" s="25">
        <v>3</v>
      </c>
      <c r="N334" s="67" t="s">
        <v>3166</v>
      </c>
      <c r="O334" s="73" t="s">
        <v>3166</v>
      </c>
      <c r="P334" s="65"/>
    </row>
    <row r="335" spans="1:16" ht="16.5" customHeight="1">
      <c r="A335" s="15">
        <v>332</v>
      </c>
      <c r="B335" s="38" t="s">
        <v>3458</v>
      </c>
      <c r="C335" s="15">
        <v>201</v>
      </c>
      <c r="D335" s="36" t="s">
        <v>30</v>
      </c>
      <c r="E335" s="36"/>
      <c r="F335" s="18" t="s">
        <v>3142</v>
      </c>
      <c r="G335" s="44"/>
      <c r="H335" s="407" t="s">
        <v>3459</v>
      </c>
      <c r="I335" s="192"/>
      <c r="J335" s="9" t="s">
        <v>1965</v>
      </c>
      <c r="K335" s="60" t="s">
        <v>3226</v>
      </c>
      <c r="L335" s="65"/>
      <c r="M335" s="25">
        <v>3</v>
      </c>
      <c r="N335" s="67" t="s">
        <v>3166</v>
      </c>
      <c r="O335" s="73" t="s">
        <v>3166</v>
      </c>
      <c r="P335" s="65"/>
    </row>
    <row r="336" spans="1:16" ht="16.5" customHeight="1">
      <c r="A336" s="15">
        <v>333</v>
      </c>
      <c r="B336" s="38" t="s">
        <v>3458</v>
      </c>
      <c r="C336" s="15">
        <v>202</v>
      </c>
      <c r="D336" s="36" t="s">
        <v>30</v>
      </c>
      <c r="E336" s="36"/>
      <c r="F336" s="18" t="s">
        <v>3142</v>
      </c>
      <c r="G336" s="44"/>
      <c r="H336" s="407"/>
      <c r="I336" s="192"/>
      <c r="J336" s="9" t="s">
        <v>1965</v>
      </c>
      <c r="K336" s="60" t="s">
        <v>3226</v>
      </c>
      <c r="L336" s="65"/>
      <c r="M336" s="25">
        <v>3</v>
      </c>
      <c r="N336" s="67" t="s">
        <v>3166</v>
      </c>
      <c r="O336" s="73" t="s">
        <v>3166</v>
      </c>
      <c r="P336" s="65"/>
    </row>
    <row r="337" spans="1:16" ht="16.5" customHeight="1">
      <c r="A337" s="15">
        <v>334</v>
      </c>
      <c r="B337" s="38" t="s">
        <v>3458</v>
      </c>
      <c r="C337" s="15">
        <v>203</v>
      </c>
      <c r="D337" s="36" t="s">
        <v>30</v>
      </c>
      <c r="E337" s="36"/>
      <c r="F337" s="18" t="s">
        <v>3142</v>
      </c>
      <c r="G337" s="44"/>
      <c r="H337" s="407"/>
      <c r="I337" s="192"/>
      <c r="J337" s="9" t="s">
        <v>1965</v>
      </c>
      <c r="K337" s="60" t="s">
        <v>3226</v>
      </c>
      <c r="L337" s="65"/>
      <c r="M337" s="25">
        <v>3</v>
      </c>
      <c r="N337" s="67" t="s">
        <v>3166</v>
      </c>
      <c r="O337" s="73" t="s">
        <v>3166</v>
      </c>
      <c r="P337" s="65"/>
    </row>
    <row r="338" spans="1:16" ht="16.5" customHeight="1">
      <c r="A338" s="15">
        <v>335</v>
      </c>
      <c r="B338" s="38" t="s">
        <v>3458</v>
      </c>
      <c r="C338" s="15">
        <v>301</v>
      </c>
      <c r="D338" s="36" t="s">
        <v>30</v>
      </c>
      <c r="E338" s="36"/>
      <c r="F338" s="18" t="s">
        <v>3142</v>
      </c>
      <c r="G338" s="44"/>
      <c r="H338" s="407"/>
      <c r="I338" s="192"/>
      <c r="J338" s="9" t="s">
        <v>1965</v>
      </c>
      <c r="K338" s="60" t="s">
        <v>3226</v>
      </c>
      <c r="L338" s="65"/>
      <c r="M338" s="25">
        <v>3</v>
      </c>
      <c r="N338" s="67" t="s">
        <v>3166</v>
      </c>
      <c r="O338" s="73" t="s">
        <v>3166</v>
      </c>
      <c r="P338" s="65"/>
    </row>
    <row r="339" spans="1:16" ht="16.5" customHeight="1">
      <c r="A339" s="15">
        <v>336</v>
      </c>
      <c r="B339" s="38" t="s">
        <v>3458</v>
      </c>
      <c r="C339" s="15">
        <v>302</v>
      </c>
      <c r="D339" s="36" t="s">
        <v>30</v>
      </c>
      <c r="E339" s="36"/>
      <c r="F339" s="18" t="s">
        <v>3142</v>
      </c>
      <c r="G339" s="44"/>
      <c r="H339" s="407"/>
      <c r="I339" s="192"/>
      <c r="J339" s="9" t="s">
        <v>1965</v>
      </c>
      <c r="K339" s="60" t="s">
        <v>3226</v>
      </c>
      <c r="L339" s="65"/>
      <c r="M339" s="25">
        <v>3</v>
      </c>
      <c r="N339" s="67" t="s">
        <v>3166</v>
      </c>
      <c r="O339" s="73" t="s">
        <v>3166</v>
      </c>
      <c r="P339" s="65"/>
    </row>
    <row r="340" spans="1:16" ht="16.5" customHeight="1">
      <c r="A340" s="15">
        <v>337</v>
      </c>
      <c r="B340" s="38" t="s">
        <v>3458</v>
      </c>
      <c r="C340" s="15">
        <v>303</v>
      </c>
      <c r="D340" s="36" t="s">
        <v>30</v>
      </c>
      <c r="E340" s="36"/>
      <c r="F340" s="18" t="s">
        <v>3142</v>
      </c>
      <c r="G340" s="44"/>
      <c r="H340" s="407"/>
      <c r="I340" s="192"/>
      <c r="J340" s="9" t="s">
        <v>1965</v>
      </c>
      <c r="K340" s="60" t="s">
        <v>3226</v>
      </c>
      <c r="L340" s="65"/>
      <c r="M340" s="25">
        <v>3</v>
      </c>
      <c r="N340" s="67" t="s">
        <v>3166</v>
      </c>
      <c r="O340" s="73" t="s">
        <v>3166</v>
      </c>
      <c r="P340" s="65"/>
    </row>
    <row r="341" spans="1:16" ht="16.5" customHeight="1">
      <c r="A341" s="15">
        <v>338</v>
      </c>
      <c r="B341" s="38" t="s">
        <v>3458</v>
      </c>
      <c r="C341" s="15">
        <v>401</v>
      </c>
      <c r="D341" s="36" t="s">
        <v>30</v>
      </c>
      <c r="E341" s="36"/>
      <c r="F341" s="18" t="s">
        <v>3142</v>
      </c>
      <c r="G341" s="44"/>
      <c r="H341" s="407"/>
      <c r="I341" s="192"/>
      <c r="J341" s="9" t="s">
        <v>1965</v>
      </c>
      <c r="K341" s="60" t="s">
        <v>3226</v>
      </c>
      <c r="L341" s="65"/>
      <c r="M341" s="25">
        <v>3</v>
      </c>
      <c r="N341" s="67" t="s">
        <v>3166</v>
      </c>
      <c r="O341" s="73" t="s">
        <v>3166</v>
      </c>
      <c r="P341" s="65"/>
    </row>
    <row r="342" spans="1:16" ht="16.5" customHeight="1">
      <c r="A342" s="15">
        <v>339</v>
      </c>
      <c r="B342" s="38" t="s">
        <v>3458</v>
      </c>
      <c r="C342" s="15">
        <v>402</v>
      </c>
      <c r="D342" s="36" t="s">
        <v>30</v>
      </c>
      <c r="E342" s="36"/>
      <c r="F342" s="18" t="s">
        <v>3142</v>
      </c>
      <c r="G342" s="44"/>
      <c r="H342" s="407"/>
      <c r="I342" s="192"/>
      <c r="J342" s="9" t="s">
        <v>1965</v>
      </c>
      <c r="K342" s="60" t="s">
        <v>3226</v>
      </c>
      <c r="L342" s="65"/>
      <c r="M342" s="25">
        <v>3</v>
      </c>
      <c r="N342" s="67" t="s">
        <v>3166</v>
      </c>
      <c r="O342" s="73" t="s">
        <v>3166</v>
      </c>
      <c r="P342" s="65"/>
    </row>
    <row r="343" spans="1:16" ht="16.5" customHeight="1">
      <c r="A343" s="15">
        <v>340</v>
      </c>
      <c r="B343" s="38" t="s">
        <v>3458</v>
      </c>
      <c r="C343" s="15">
        <v>403</v>
      </c>
      <c r="D343" s="36" t="s">
        <v>30</v>
      </c>
      <c r="E343" s="36"/>
      <c r="F343" s="18" t="s">
        <v>3142</v>
      </c>
      <c r="G343" s="44"/>
      <c r="H343" s="407"/>
      <c r="I343" s="192"/>
      <c r="J343" s="9" t="s">
        <v>1965</v>
      </c>
      <c r="K343" s="60" t="s">
        <v>3226</v>
      </c>
      <c r="L343" s="65"/>
      <c r="M343" s="25">
        <v>3</v>
      </c>
      <c r="N343" s="67" t="s">
        <v>3166</v>
      </c>
      <c r="O343" s="73" t="s">
        <v>3166</v>
      </c>
      <c r="P343" s="65"/>
    </row>
    <row r="344" spans="1:16" ht="16.5" customHeight="1">
      <c r="A344" s="15">
        <v>341</v>
      </c>
      <c r="B344" s="38" t="s">
        <v>3458</v>
      </c>
      <c r="C344" s="15">
        <v>501</v>
      </c>
      <c r="D344" s="36" t="s">
        <v>30</v>
      </c>
      <c r="E344" s="36"/>
      <c r="F344" s="18" t="s">
        <v>3142</v>
      </c>
      <c r="G344" s="44"/>
      <c r="H344" s="407"/>
      <c r="I344" s="192"/>
      <c r="J344" s="9" t="s">
        <v>1965</v>
      </c>
      <c r="K344" s="60" t="s">
        <v>3226</v>
      </c>
      <c r="L344" s="65"/>
      <c r="M344" s="25">
        <v>3</v>
      </c>
      <c r="N344" s="67" t="s">
        <v>3166</v>
      </c>
      <c r="O344" s="73" t="s">
        <v>3166</v>
      </c>
      <c r="P344" s="65"/>
    </row>
    <row r="345" spans="1:16" ht="16.5" customHeight="1">
      <c r="A345" s="15">
        <v>342</v>
      </c>
      <c r="B345" s="38" t="s">
        <v>3458</v>
      </c>
      <c r="C345" s="15">
        <v>502</v>
      </c>
      <c r="D345" s="36" t="s">
        <v>30</v>
      </c>
      <c r="E345" s="36"/>
      <c r="F345" s="18" t="s">
        <v>3142</v>
      </c>
      <c r="G345" s="44"/>
      <c r="H345" s="407"/>
      <c r="I345" s="192"/>
      <c r="J345" s="9" t="s">
        <v>1965</v>
      </c>
      <c r="K345" s="60" t="s">
        <v>3226</v>
      </c>
      <c r="L345" s="65"/>
      <c r="M345" s="25">
        <v>3</v>
      </c>
      <c r="N345" s="67" t="s">
        <v>3166</v>
      </c>
      <c r="O345" s="73" t="s">
        <v>3166</v>
      </c>
      <c r="P345" s="65"/>
    </row>
    <row r="346" spans="1:16" ht="16.5" customHeight="1">
      <c r="A346" s="15">
        <v>343</v>
      </c>
      <c r="B346" s="38" t="s">
        <v>3458</v>
      </c>
      <c r="C346" s="15">
        <v>503</v>
      </c>
      <c r="D346" s="36" t="s">
        <v>30</v>
      </c>
      <c r="E346" s="36"/>
      <c r="F346" s="18" t="s">
        <v>3142</v>
      </c>
      <c r="G346" s="44"/>
      <c r="H346" s="407"/>
      <c r="I346" s="192"/>
      <c r="J346" s="9" t="s">
        <v>1965</v>
      </c>
      <c r="K346" s="60" t="s">
        <v>3226</v>
      </c>
      <c r="L346" s="65"/>
      <c r="M346" s="25">
        <v>3</v>
      </c>
      <c r="N346" s="67" t="s">
        <v>3166</v>
      </c>
      <c r="O346" s="73" t="s">
        <v>3166</v>
      </c>
      <c r="P346" s="65"/>
    </row>
    <row r="347" spans="1:16">
      <c r="A347" s="15">
        <v>344</v>
      </c>
      <c r="B347" s="56" t="s">
        <v>2043</v>
      </c>
      <c r="C347" s="57">
        <v>101</v>
      </c>
      <c r="D347" s="36" t="s">
        <v>29</v>
      </c>
      <c r="E347" s="36"/>
      <c r="F347" s="18" t="s">
        <v>3020</v>
      </c>
      <c r="G347" s="36"/>
      <c r="H347" s="192"/>
      <c r="I347" s="192"/>
      <c r="J347" s="9" t="s">
        <v>3136</v>
      </c>
      <c r="K347" s="60" t="s">
        <v>3226</v>
      </c>
      <c r="L347" s="65"/>
      <c r="M347" s="25">
        <v>4</v>
      </c>
      <c r="N347" s="67" t="s">
        <v>3166</v>
      </c>
      <c r="O347" s="73" t="s">
        <v>3166</v>
      </c>
      <c r="P347" s="65"/>
    </row>
    <row r="348" spans="1:16">
      <c r="A348" s="15">
        <v>345</v>
      </c>
      <c r="B348" s="56" t="s">
        <v>2043</v>
      </c>
      <c r="C348" s="56">
        <v>102</v>
      </c>
      <c r="D348" s="36" t="s">
        <v>29</v>
      </c>
      <c r="E348" s="36"/>
      <c r="F348" s="18" t="s">
        <v>3020</v>
      </c>
      <c r="G348" s="36"/>
      <c r="H348" s="192"/>
      <c r="I348" s="192"/>
      <c r="J348" s="9" t="s">
        <v>3136</v>
      </c>
      <c r="K348" s="60" t="s">
        <v>3226</v>
      </c>
      <c r="L348" s="65"/>
      <c r="M348" s="10">
        <v>4</v>
      </c>
      <c r="N348" s="67" t="s">
        <v>3166</v>
      </c>
      <c r="O348" s="73" t="s">
        <v>3166</v>
      </c>
      <c r="P348" s="65"/>
    </row>
    <row r="349" spans="1:16">
      <c r="A349" s="15">
        <v>346</v>
      </c>
      <c r="B349" s="56" t="s">
        <v>2043</v>
      </c>
      <c r="C349" s="56">
        <v>201</v>
      </c>
      <c r="D349" s="36" t="s">
        <v>29</v>
      </c>
      <c r="E349" s="36"/>
      <c r="F349" s="18" t="s">
        <v>3020</v>
      </c>
      <c r="G349" s="36"/>
      <c r="H349" s="192"/>
      <c r="I349" s="192"/>
      <c r="J349" s="9" t="s">
        <v>1965</v>
      </c>
      <c r="K349" s="60" t="s">
        <v>3226</v>
      </c>
      <c r="L349" s="65"/>
      <c r="M349" s="10">
        <v>4</v>
      </c>
      <c r="N349" s="67" t="s">
        <v>3166</v>
      </c>
      <c r="O349" s="73" t="s">
        <v>3166</v>
      </c>
      <c r="P349" s="65"/>
    </row>
    <row r="350" spans="1:16">
      <c r="A350" s="15">
        <v>347</v>
      </c>
      <c r="B350" s="56" t="s">
        <v>2043</v>
      </c>
      <c r="C350" s="56">
        <v>202</v>
      </c>
      <c r="D350" s="36" t="s">
        <v>29</v>
      </c>
      <c r="E350" s="36"/>
      <c r="F350" s="18" t="s">
        <v>3020</v>
      </c>
      <c r="G350" s="36"/>
      <c r="H350" s="192"/>
      <c r="I350" s="192"/>
      <c r="J350" s="9" t="s">
        <v>1965</v>
      </c>
      <c r="K350" s="60" t="s">
        <v>3226</v>
      </c>
      <c r="L350" s="65"/>
      <c r="M350" s="10">
        <v>4</v>
      </c>
      <c r="N350" s="67" t="s">
        <v>3166</v>
      </c>
      <c r="O350" s="73" t="s">
        <v>3166</v>
      </c>
      <c r="P350" s="65"/>
    </row>
    <row r="351" spans="1:16">
      <c r="A351" s="15">
        <v>348</v>
      </c>
      <c r="B351" s="56" t="s">
        <v>2043</v>
      </c>
      <c r="C351" s="56">
        <v>203</v>
      </c>
      <c r="D351" s="36" t="s">
        <v>29</v>
      </c>
      <c r="E351" s="36"/>
      <c r="F351" s="18" t="s">
        <v>3020</v>
      </c>
      <c r="G351" s="36"/>
      <c r="H351" s="192"/>
      <c r="I351" s="192"/>
      <c r="J351" s="9" t="s">
        <v>1965</v>
      </c>
      <c r="K351" s="60" t="s">
        <v>3226</v>
      </c>
      <c r="L351" s="65"/>
      <c r="M351" s="10">
        <v>4</v>
      </c>
      <c r="N351" s="67" t="s">
        <v>3166</v>
      </c>
      <c r="O351" s="73" t="s">
        <v>3166</v>
      </c>
      <c r="P351" s="65"/>
    </row>
    <row r="352" spans="1:16">
      <c r="A352" s="15">
        <v>349</v>
      </c>
      <c r="B352" s="56" t="s">
        <v>2043</v>
      </c>
      <c r="C352" s="56">
        <v>204</v>
      </c>
      <c r="D352" s="36" t="s">
        <v>29</v>
      </c>
      <c r="E352" s="36"/>
      <c r="F352" s="18" t="s">
        <v>3020</v>
      </c>
      <c r="G352" s="36"/>
      <c r="H352" s="192"/>
      <c r="I352" s="192"/>
      <c r="J352" s="9" t="s">
        <v>1965</v>
      </c>
      <c r="K352" s="60" t="s">
        <v>3226</v>
      </c>
      <c r="L352" s="65"/>
      <c r="M352" s="10">
        <v>4</v>
      </c>
      <c r="N352" s="67" t="s">
        <v>3166</v>
      </c>
      <c r="O352" s="73" t="s">
        <v>3166</v>
      </c>
      <c r="P352" s="65"/>
    </row>
    <row r="353" spans="1:16">
      <c r="A353" s="15">
        <v>350</v>
      </c>
      <c r="B353" s="56" t="s">
        <v>2043</v>
      </c>
      <c r="C353" s="56">
        <v>205</v>
      </c>
      <c r="D353" s="36" t="s">
        <v>29</v>
      </c>
      <c r="E353" s="36"/>
      <c r="F353" s="18" t="s">
        <v>3020</v>
      </c>
      <c r="G353" s="36"/>
      <c r="H353" s="192"/>
      <c r="I353" s="192"/>
      <c r="J353" s="9" t="s">
        <v>1965</v>
      </c>
      <c r="K353" s="60" t="s">
        <v>3226</v>
      </c>
      <c r="L353" s="65"/>
      <c r="M353" s="10">
        <v>4</v>
      </c>
      <c r="N353" s="67" t="s">
        <v>3166</v>
      </c>
      <c r="O353" s="73" t="s">
        <v>3166</v>
      </c>
      <c r="P353" s="65"/>
    </row>
    <row r="354" spans="1:16">
      <c r="A354" s="15">
        <v>351</v>
      </c>
      <c r="B354" s="56" t="s">
        <v>2043</v>
      </c>
      <c r="C354" s="56">
        <v>301</v>
      </c>
      <c r="D354" s="36" t="s">
        <v>29</v>
      </c>
      <c r="E354" s="36"/>
      <c r="F354" s="18" t="s">
        <v>3020</v>
      </c>
      <c r="G354" s="36"/>
      <c r="H354" s="192"/>
      <c r="I354" s="192"/>
      <c r="J354" s="9" t="s">
        <v>1965</v>
      </c>
      <c r="K354" s="60" t="s">
        <v>3226</v>
      </c>
      <c r="L354" s="65"/>
      <c r="M354" s="10">
        <v>4</v>
      </c>
      <c r="N354" s="67" t="s">
        <v>3166</v>
      </c>
      <c r="O354" s="73" t="s">
        <v>3166</v>
      </c>
      <c r="P354" s="65"/>
    </row>
    <row r="355" spans="1:16">
      <c r="A355" s="15">
        <v>352</v>
      </c>
      <c r="B355" s="56" t="s">
        <v>2043</v>
      </c>
      <c r="C355" s="56">
        <v>302</v>
      </c>
      <c r="D355" s="36" t="s">
        <v>29</v>
      </c>
      <c r="E355" s="36"/>
      <c r="F355" s="18" t="s">
        <v>3020</v>
      </c>
      <c r="G355" s="36"/>
      <c r="H355" s="192"/>
      <c r="I355" s="192"/>
      <c r="J355" s="9" t="s">
        <v>1965</v>
      </c>
      <c r="K355" s="60" t="s">
        <v>3226</v>
      </c>
      <c r="L355" s="65"/>
      <c r="M355" s="10">
        <v>4</v>
      </c>
      <c r="N355" s="67" t="s">
        <v>3166</v>
      </c>
      <c r="O355" s="73" t="s">
        <v>3166</v>
      </c>
      <c r="P355" s="65"/>
    </row>
    <row r="356" spans="1:16">
      <c r="A356" s="15">
        <v>353</v>
      </c>
      <c r="B356" s="56" t="s">
        <v>2043</v>
      </c>
      <c r="C356" s="56">
        <v>303</v>
      </c>
      <c r="D356" s="36" t="s">
        <v>29</v>
      </c>
      <c r="E356" s="36"/>
      <c r="F356" s="18" t="s">
        <v>3020</v>
      </c>
      <c r="G356" s="36"/>
      <c r="H356" s="192"/>
      <c r="I356" s="192"/>
      <c r="J356" s="9" t="s">
        <v>1965</v>
      </c>
      <c r="K356" s="60" t="s">
        <v>3226</v>
      </c>
      <c r="L356" s="65"/>
      <c r="M356" s="10">
        <v>4</v>
      </c>
      <c r="N356" s="67" t="s">
        <v>3166</v>
      </c>
      <c r="O356" s="73" t="s">
        <v>3166</v>
      </c>
      <c r="P356" s="65"/>
    </row>
    <row r="357" spans="1:16">
      <c r="A357" s="15">
        <v>354</v>
      </c>
      <c r="B357" s="56" t="s">
        <v>2043</v>
      </c>
      <c r="C357" s="56">
        <v>304</v>
      </c>
      <c r="D357" s="36" t="s">
        <v>29</v>
      </c>
      <c r="E357" s="36"/>
      <c r="F357" s="18" t="s">
        <v>3020</v>
      </c>
      <c r="G357" s="36"/>
      <c r="H357" s="192"/>
      <c r="I357" s="192"/>
      <c r="J357" s="9" t="s">
        <v>1965</v>
      </c>
      <c r="K357" s="60" t="s">
        <v>3226</v>
      </c>
      <c r="L357" s="65"/>
      <c r="M357" s="10">
        <v>4</v>
      </c>
      <c r="N357" s="67" t="s">
        <v>3166</v>
      </c>
      <c r="O357" s="73" t="s">
        <v>3166</v>
      </c>
      <c r="P357" s="65"/>
    </row>
    <row r="358" spans="1:16">
      <c r="A358" s="15">
        <v>355</v>
      </c>
      <c r="B358" s="56" t="s">
        <v>2043</v>
      </c>
      <c r="C358" s="56">
        <v>305</v>
      </c>
      <c r="D358" s="36" t="s">
        <v>29</v>
      </c>
      <c r="E358" s="36"/>
      <c r="F358" s="18" t="s">
        <v>3020</v>
      </c>
      <c r="G358" s="36"/>
      <c r="H358" s="192"/>
      <c r="I358" s="192"/>
      <c r="J358" s="9" t="s">
        <v>1965</v>
      </c>
      <c r="K358" s="60" t="s">
        <v>3226</v>
      </c>
      <c r="L358" s="65"/>
      <c r="M358" s="10">
        <v>4</v>
      </c>
      <c r="N358" s="67" t="s">
        <v>3166</v>
      </c>
      <c r="O358" s="73" t="s">
        <v>3166</v>
      </c>
      <c r="P358" s="65"/>
    </row>
    <row r="359" spans="1:16">
      <c r="A359" s="15">
        <v>356</v>
      </c>
      <c r="B359" s="56" t="s">
        <v>2043</v>
      </c>
      <c r="C359" s="56">
        <v>401</v>
      </c>
      <c r="D359" s="36" t="s">
        <v>29</v>
      </c>
      <c r="E359" s="36"/>
      <c r="F359" s="18" t="s">
        <v>3020</v>
      </c>
      <c r="G359" s="36"/>
      <c r="H359" s="192"/>
      <c r="I359" s="192"/>
      <c r="J359" s="9" t="s">
        <v>1965</v>
      </c>
      <c r="K359" s="60" t="s">
        <v>3226</v>
      </c>
      <c r="L359" s="65"/>
      <c r="M359" s="10">
        <v>4</v>
      </c>
      <c r="N359" s="67" t="s">
        <v>3166</v>
      </c>
      <c r="O359" s="73" t="s">
        <v>3166</v>
      </c>
      <c r="P359" s="65"/>
    </row>
    <row r="360" spans="1:16">
      <c r="A360" s="15">
        <v>357</v>
      </c>
      <c r="B360" s="56" t="s">
        <v>2043</v>
      </c>
      <c r="C360" s="56">
        <v>402</v>
      </c>
      <c r="D360" s="36" t="s">
        <v>29</v>
      </c>
      <c r="E360" s="36"/>
      <c r="F360" s="18" t="s">
        <v>3020</v>
      </c>
      <c r="G360" s="36"/>
      <c r="H360" s="192"/>
      <c r="I360" s="192"/>
      <c r="J360" s="9" t="s">
        <v>1965</v>
      </c>
      <c r="K360" s="60" t="s">
        <v>3226</v>
      </c>
      <c r="L360" s="65"/>
      <c r="M360" s="10">
        <v>4</v>
      </c>
      <c r="N360" s="67" t="s">
        <v>3166</v>
      </c>
      <c r="O360" s="73" t="s">
        <v>3166</v>
      </c>
      <c r="P360" s="65"/>
    </row>
    <row r="361" spans="1:16">
      <c r="A361" s="15">
        <v>358</v>
      </c>
      <c r="B361" s="56" t="s">
        <v>2043</v>
      </c>
      <c r="C361" s="56">
        <v>403</v>
      </c>
      <c r="D361" s="36" t="s">
        <v>29</v>
      </c>
      <c r="E361" s="36"/>
      <c r="F361" s="18" t="s">
        <v>3020</v>
      </c>
      <c r="G361" s="36"/>
      <c r="H361" s="192"/>
      <c r="I361" s="192"/>
      <c r="J361" s="9" t="s">
        <v>1965</v>
      </c>
      <c r="K361" s="60" t="s">
        <v>3226</v>
      </c>
      <c r="L361" s="65"/>
      <c r="M361" s="10">
        <v>4</v>
      </c>
      <c r="N361" s="67" t="s">
        <v>3166</v>
      </c>
      <c r="O361" s="73" t="s">
        <v>3166</v>
      </c>
      <c r="P361" s="65"/>
    </row>
    <row r="362" spans="1:16">
      <c r="A362" s="15">
        <v>359</v>
      </c>
      <c r="B362" s="56" t="s">
        <v>2043</v>
      </c>
      <c r="C362" s="56">
        <v>404</v>
      </c>
      <c r="D362" s="36" t="s">
        <v>29</v>
      </c>
      <c r="E362" s="36"/>
      <c r="F362" s="18" t="s">
        <v>3020</v>
      </c>
      <c r="G362" s="36"/>
      <c r="H362" s="192"/>
      <c r="I362" s="192"/>
      <c r="J362" s="9" t="s">
        <v>1965</v>
      </c>
      <c r="K362" s="60" t="s">
        <v>3226</v>
      </c>
      <c r="L362" s="65"/>
      <c r="M362" s="10">
        <v>4</v>
      </c>
      <c r="N362" s="67" t="s">
        <v>3166</v>
      </c>
      <c r="O362" s="73" t="s">
        <v>3166</v>
      </c>
      <c r="P362" s="65"/>
    </row>
    <row r="363" spans="1:16">
      <c r="A363" s="15">
        <v>360</v>
      </c>
      <c r="B363" s="56" t="s">
        <v>2043</v>
      </c>
      <c r="C363" s="56">
        <v>405</v>
      </c>
      <c r="D363" s="36" t="s">
        <v>29</v>
      </c>
      <c r="E363" s="36"/>
      <c r="F363" s="18" t="s">
        <v>3020</v>
      </c>
      <c r="G363" s="36"/>
      <c r="H363" s="192"/>
      <c r="I363" s="192"/>
      <c r="J363" s="9" t="s">
        <v>1965</v>
      </c>
      <c r="K363" s="60" t="s">
        <v>3226</v>
      </c>
      <c r="L363" s="65"/>
      <c r="M363" s="10">
        <v>4</v>
      </c>
      <c r="N363" s="67" t="s">
        <v>3166</v>
      </c>
      <c r="O363" s="73" t="s">
        <v>3166</v>
      </c>
      <c r="P363" s="65"/>
    </row>
    <row r="364" spans="1:16">
      <c r="A364" s="15">
        <v>361</v>
      </c>
      <c r="B364" s="56" t="s">
        <v>2043</v>
      </c>
      <c r="C364" s="56">
        <v>501</v>
      </c>
      <c r="D364" s="36" t="s">
        <v>29</v>
      </c>
      <c r="E364" s="36"/>
      <c r="F364" s="18" t="s">
        <v>3020</v>
      </c>
      <c r="G364" s="36"/>
      <c r="H364" s="192"/>
      <c r="I364" s="192"/>
      <c r="J364" s="9" t="s">
        <v>1965</v>
      </c>
      <c r="K364" s="60" t="s">
        <v>3226</v>
      </c>
      <c r="L364" s="65"/>
      <c r="M364" s="10">
        <v>4</v>
      </c>
      <c r="N364" s="67" t="s">
        <v>3166</v>
      </c>
      <c r="O364" s="73" t="s">
        <v>3166</v>
      </c>
      <c r="P364" s="65"/>
    </row>
    <row r="365" spans="1:16">
      <c r="A365" s="15">
        <v>362</v>
      </c>
      <c r="B365" s="56" t="s">
        <v>2043</v>
      </c>
      <c r="C365" s="56">
        <v>502</v>
      </c>
      <c r="D365" s="36" t="s">
        <v>29</v>
      </c>
      <c r="E365" s="36"/>
      <c r="F365" s="18" t="s">
        <v>3020</v>
      </c>
      <c r="G365" s="36"/>
      <c r="H365" s="192"/>
      <c r="I365" s="192"/>
      <c r="J365" s="9" t="s">
        <v>1965</v>
      </c>
      <c r="K365" s="60" t="s">
        <v>3226</v>
      </c>
      <c r="L365" s="65"/>
      <c r="M365" s="10">
        <v>4</v>
      </c>
      <c r="N365" s="67" t="s">
        <v>3166</v>
      </c>
      <c r="O365" s="73" t="s">
        <v>3166</v>
      </c>
      <c r="P365" s="65"/>
    </row>
    <row r="366" spans="1:16">
      <c r="A366" s="15">
        <v>363</v>
      </c>
      <c r="B366" s="56" t="s">
        <v>2043</v>
      </c>
      <c r="C366" s="56">
        <v>503</v>
      </c>
      <c r="D366" s="36" t="s">
        <v>29</v>
      </c>
      <c r="E366" s="36"/>
      <c r="F366" s="18" t="s">
        <v>3020</v>
      </c>
      <c r="G366" s="36"/>
      <c r="H366" s="192"/>
      <c r="I366" s="192"/>
      <c r="J366" s="9" t="s">
        <v>1965</v>
      </c>
      <c r="K366" s="60" t="s">
        <v>3226</v>
      </c>
      <c r="L366" s="65"/>
      <c r="M366" s="10">
        <v>4</v>
      </c>
      <c r="N366" s="67" t="s">
        <v>3166</v>
      </c>
      <c r="O366" s="73" t="s">
        <v>3166</v>
      </c>
      <c r="P366" s="65"/>
    </row>
    <row r="367" spans="1:16">
      <c r="A367" s="15">
        <v>364</v>
      </c>
      <c r="B367" s="56" t="s">
        <v>2043</v>
      </c>
      <c r="C367" s="56">
        <v>504</v>
      </c>
      <c r="D367" s="36" t="s">
        <v>29</v>
      </c>
      <c r="E367" s="36"/>
      <c r="F367" s="18" t="s">
        <v>3020</v>
      </c>
      <c r="G367" s="36"/>
      <c r="H367" s="192"/>
      <c r="I367" s="192"/>
      <c r="J367" s="9" t="s">
        <v>1965</v>
      </c>
      <c r="K367" s="60" t="s">
        <v>3226</v>
      </c>
      <c r="L367" s="65"/>
      <c r="M367" s="10">
        <v>4</v>
      </c>
      <c r="N367" s="67" t="s">
        <v>3166</v>
      </c>
      <c r="O367" s="73" t="s">
        <v>3166</v>
      </c>
      <c r="P367" s="65"/>
    </row>
    <row r="368" spans="1:16">
      <c r="A368" s="15">
        <v>365</v>
      </c>
      <c r="B368" s="56" t="s">
        <v>2043</v>
      </c>
      <c r="C368" s="56">
        <v>505</v>
      </c>
      <c r="D368" s="36" t="s">
        <v>29</v>
      </c>
      <c r="E368" s="36"/>
      <c r="F368" s="18" t="s">
        <v>3020</v>
      </c>
      <c r="G368" s="36"/>
      <c r="H368" s="192"/>
      <c r="I368" s="192"/>
      <c r="J368" s="9" t="s">
        <v>1965</v>
      </c>
      <c r="K368" s="60" t="s">
        <v>3226</v>
      </c>
      <c r="L368" s="65"/>
      <c r="M368" s="10">
        <v>4</v>
      </c>
      <c r="N368" s="67" t="s">
        <v>3166</v>
      </c>
      <c r="O368" s="73" t="s">
        <v>3166</v>
      </c>
      <c r="P368" s="65"/>
    </row>
    <row r="369" spans="1:16">
      <c r="A369" s="15">
        <v>366</v>
      </c>
      <c r="B369" s="56" t="s">
        <v>2043</v>
      </c>
      <c r="C369" s="56">
        <v>601</v>
      </c>
      <c r="D369" s="36" t="s">
        <v>29</v>
      </c>
      <c r="E369" s="36"/>
      <c r="F369" s="18" t="s">
        <v>3020</v>
      </c>
      <c r="G369" s="36"/>
      <c r="H369" s="192"/>
      <c r="I369" s="192"/>
      <c r="J369" s="9" t="s">
        <v>1965</v>
      </c>
      <c r="K369" s="60" t="s">
        <v>3226</v>
      </c>
      <c r="L369" s="65"/>
      <c r="M369" s="10">
        <v>4</v>
      </c>
      <c r="N369" s="67" t="s">
        <v>3166</v>
      </c>
      <c r="O369" s="73" t="s">
        <v>3166</v>
      </c>
      <c r="P369" s="65"/>
    </row>
    <row r="370" spans="1:16">
      <c r="A370" s="15">
        <v>367</v>
      </c>
      <c r="B370" s="56" t="s">
        <v>2043</v>
      </c>
      <c r="C370" s="56">
        <v>602</v>
      </c>
      <c r="D370" s="36" t="s">
        <v>29</v>
      </c>
      <c r="E370" s="36"/>
      <c r="F370" s="18" t="s">
        <v>3020</v>
      </c>
      <c r="G370" s="36"/>
      <c r="H370" s="192"/>
      <c r="I370" s="192"/>
      <c r="J370" s="9" t="s">
        <v>1965</v>
      </c>
      <c r="K370" s="60" t="s">
        <v>3226</v>
      </c>
      <c r="L370" s="65"/>
      <c r="M370" s="10">
        <v>4</v>
      </c>
      <c r="N370" s="67" t="s">
        <v>3166</v>
      </c>
      <c r="O370" s="73" t="s">
        <v>3166</v>
      </c>
      <c r="P370" s="65"/>
    </row>
    <row r="371" spans="1:16">
      <c r="A371" s="15">
        <v>368</v>
      </c>
      <c r="B371" s="56" t="s">
        <v>2043</v>
      </c>
      <c r="C371" s="56">
        <v>603</v>
      </c>
      <c r="D371" s="36" t="s">
        <v>29</v>
      </c>
      <c r="E371" s="36"/>
      <c r="F371" s="18" t="s">
        <v>3020</v>
      </c>
      <c r="G371" s="36"/>
      <c r="H371" s="192"/>
      <c r="I371" s="192"/>
      <c r="J371" s="9" t="s">
        <v>1965</v>
      </c>
      <c r="K371" s="60" t="s">
        <v>3226</v>
      </c>
      <c r="L371" s="65"/>
      <c r="M371" s="10">
        <v>4</v>
      </c>
      <c r="N371" s="67" t="s">
        <v>3166</v>
      </c>
      <c r="O371" s="73" t="s">
        <v>3166</v>
      </c>
      <c r="P371" s="65"/>
    </row>
    <row r="372" spans="1:16">
      <c r="A372" s="15">
        <v>369</v>
      </c>
      <c r="B372" s="56" t="s">
        <v>2043</v>
      </c>
      <c r="C372" s="56">
        <v>604</v>
      </c>
      <c r="D372" s="36" t="s">
        <v>29</v>
      </c>
      <c r="E372" s="36"/>
      <c r="F372" s="18" t="s">
        <v>3020</v>
      </c>
      <c r="G372" s="36"/>
      <c r="H372" s="192"/>
      <c r="I372" s="192"/>
      <c r="J372" s="9" t="s">
        <v>1965</v>
      </c>
      <c r="K372" s="60" t="s">
        <v>3226</v>
      </c>
      <c r="L372" s="65"/>
      <c r="M372" s="10">
        <v>4</v>
      </c>
      <c r="N372" s="67" t="s">
        <v>3166</v>
      </c>
      <c r="O372" s="73" t="s">
        <v>3166</v>
      </c>
      <c r="P372" s="65"/>
    </row>
    <row r="373" spans="1:16">
      <c r="A373" s="15">
        <v>370</v>
      </c>
      <c r="B373" s="56" t="s">
        <v>2043</v>
      </c>
      <c r="C373" s="56">
        <v>605</v>
      </c>
      <c r="D373" s="36" t="s">
        <v>29</v>
      </c>
      <c r="E373" s="36"/>
      <c r="F373" s="18" t="s">
        <v>3020</v>
      </c>
      <c r="G373" s="36"/>
      <c r="H373" s="192"/>
      <c r="I373" s="192"/>
      <c r="J373" s="9" t="s">
        <v>1965</v>
      </c>
      <c r="K373" s="60" t="s">
        <v>3226</v>
      </c>
      <c r="L373" s="65"/>
      <c r="M373" s="10">
        <v>4</v>
      </c>
      <c r="N373" s="67" t="s">
        <v>3166</v>
      </c>
      <c r="O373" s="73" t="s">
        <v>3166</v>
      </c>
      <c r="P373" s="65"/>
    </row>
    <row r="374" spans="1:16">
      <c r="A374" s="15">
        <v>371</v>
      </c>
      <c r="B374" s="56" t="s">
        <v>2043</v>
      </c>
      <c r="C374" s="56">
        <v>701</v>
      </c>
      <c r="D374" s="36" t="s">
        <v>29</v>
      </c>
      <c r="E374" s="36"/>
      <c r="F374" s="18" t="s">
        <v>3020</v>
      </c>
      <c r="G374" s="36"/>
      <c r="H374" s="192"/>
      <c r="I374" s="192"/>
      <c r="J374" s="9" t="s">
        <v>1965</v>
      </c>
      <c r="K374" s="60" t="s">
        <v>3226</v>
      </c>
      <c r="L374" s="65"/>
      <c r="M374" s="10">
        <v>4</v>
      </c>
      <c r="N374" s="67" t="s">
        <v>3166</v>
      </c>
      <c r="O374" s="73" t="s">
        <v>3166</v>
      </c>
      <c r="P374" s="65"/>
    </row>
    <row r="375" spans="1:16">
      <c r="A375" s="15">
        <v>372</v>
      </c>
      <c r="B375" s="56" t="s">
        <v>2043</v>
      </c>
      <c r="C375" s="56">
        <v>702</v>
      </c>
      <c r="D375" s="36" t="s">
        <v>29</v>
      </c>
      <c r="E375" s="36"/>
      <c r="F375" s="18" t="s">
        <v>3020</v>
      </c>
      <c r="G375" s="36"/>
      <c r="H375" s="192"/>
      <c r="I375" s="192"/>
      <c r="J375" s="9" t="s">
        <v>1965</v>
      </c>
      <c r="K375" s="60" t="s">
        <v>3226</v>
      </c>
      <c r="L375" s="65"/>
      <c r="M375" s="10">
        <v>4</v>
      </c>
      <c r="N375" s="67" t="s">
        <v>3166</v>
      </c>
      <c r="O375" s="73" t="s">
        <v>3166</v>
      </c>
      <c r="P375" s="65"/>
    </row>
    <row r="376" spans="1:16">
      <c r="A376" s="15">
        <v>373</v>
      </c>
      <c r="B376" s="56" t="s">
        <v>2043</v>
      </c>
      <c r="C376" s="56">
        <v>703</v>
      </c>
      <c r="D376" s="36" t="s">
        <v>29</v>
      </c>
      <c r="E376" s="36"/>
      <c r="F376" s="18" t="s">
        <v>3020</v>
      </c>
      <c r="G376" s="36"/>
      <c r="H376" s="192"/>
      <c r="I376" s="192"/>
      <c r="J376" s="9" t="s">
        <v>1965</v>
      </c>
      <c r="K376" s="60" t="s">
        <v>3226</v>
      </c>
      <c r="L376" s="65"/>
      <c r="M376" s="10">
        <v>4</v>
      </c>
      <c r="N376" s="67" t="s">
        <v>3166</v>
      </c>
      <c r="O376" s="73" t="s">
        <v>3166</v>
      </c>
      <c r="P376" s="65"/>
    </row>
    <row r="377" spans="1:16">
      <c r="A377" s="15">
        <v>374</v>
      </c>
      <c r="B377" s="56" t="s">
        <v>2043</v>
      </c>
      <c r="C377" s="56">
        <v>704</v>
      </c>
      <c r="D377" s="36" t="s">
        <v>29</v>
      </c>
      <c r="E377" s="36"/>
      <c r="F377" s="18" t="s">
        <v>3020</v>
      </c>
      <c r="G377" s="36"/>
      <c r="H377" s="192"/>
      <c r="I377" s="192"/>
      <c r="J377" s="9" t="s">
        <v>1965</v>
      </c>
      <c r="K377" s="60" t="s">
        <v>3226</v>
      </c>
      <c r="L377" s="65"/>
      <c r="M377" s="10">
        <v>4</v>
      </c>
      <c r="N377" s="67" t="s">
        <v>3166</v>
      </c>
      <c r="O377" s="73" t="s">
        <v>3166</v>
      </c>
      <c r="P377" s="65"/>
    </row>
    <row r="378" spans="1:16">
      <c r="A378" s="15">
        <v>375</v>
      </c>
      <c r="B378" s="56" t="s">
        <v>2043</v>
      </c>
      <c r="C378" s="56">
        <v>705</v>
      </c>
      <c r="D378" s="36" t="s">
        <v>29</v>
      </c>
      <c r="E378" s="36"/>
      <c r="F378" s="18" t="s">
        <v>3020</v>
      </c>
      <c r="G378" s="36"/>
      <c r="H378" s="192"/>
      <c r="I378" s="192"/>
      <c r="J378" s="9" t="s">
        <v>1965</v>
      </c>
      <c r="K378" s="60" t="s">
        <v>3226</v>
      </c>
      <c r="L378" s="65"/>
      <c r="M378" s="10">
        <v>4</v>
      </c>
      <c r="N378" s="67" t="s">
        <v>3166</v>
      </c>
      <c r="O378" s="73" t="s">
        <v>3166</v>
      </c>
      <c r="P378" s="65"/>
    </row>
    <row r="379" spans="1:16">
      <c r="A379" s="15">
        <v>376</v>
      </c>
      <c r="B379" s="56" t="s">
        <v>2043</v>
      </c>
      <c r="C379" s="56">
        <v>801</v>
      </c>
      <c r="D379" s="36" t="s">
        <v>29</v>
      </c>
      <c r="E379" s="36"/>
      <c r="F379" s="18" t="s">
        <v>3020</v>
      </c>
      <c r="G379" s="36"/>
      <c r="H379" s="192"/>
      <c r="I379" s="192"/>
      <c r="J379" s="9" t="s">
        <v>1965</v>
      </c>
      <c r="K379" s="60" t="s">
        <v>3226</v>
      </c>
      <c r="L379" s="65"/>
      <c r="M379" s="10">
        <v>4</v>
      </c>
      <c r="N379" s="67" t="s">
        <v>3166</v>
      </c>
      <c r="O379" s="73" t="s">
        <v>3166</v>
      </c>
      <c r="P379" s="65"/>
    </row>
    <row r="380" spans="1:16">
      <c r="A380" s="15">
        <v>377</v>
      </c>
      <c r="B380" s="56" t="s">
        <v>2043</v>
      </c>
      <c r="C380" s="56">
        <v>802</v>
      </c>
      <c r="D380" s="36" t="s">
        <v>29</v>
      </c>
      <c r="E380" s="36"/>
      <c r="F380" s="18" t="s">
        <v>3020</v>
      </c>
      <c r="G380" s="36"/>
      <c r="H380" s="192"/>
      <c r="I380" s="192"/>
      <c r="J380" s="9" t="s">
        <v>1965</v>
      </c>
      <c r="K380" s="60" t="s">
        <v>3226</v>
      </c>
      <c r="L380" s="65"/>
      <c r="M380" s="10">
        <v>4</v>
      </c>
      <c r="N380" s="67" t="s">
        <v>3166</v>
      </c>
      <c r="O380" s="73" t="s">
        <v>3166</v>
      </c>
      <c r="P380" s="65"/>
    </row>
    <row r="381" spans="1:16">
      <c r="A381" s="15">
        <v>378</v>
      </c>
      <c r="B381" s="56" t="s">
        <v>2043</v>
      </c>
      <c r="C381" s="56">
        <v>803</v>
      </c>
      <c r="D381" s="36" t="s">
        <v>29</v>
      </c>
      <c r="E381" s="36"/>
      <c r="F381" s="18" t="s">
        <v>3020</v>
      </c>
      <c r="G381" s="36"/>
      <c r="H381" s="192"/>
      <c r="I381" s="192"/>
      <c r="J381" s="9" t="s">
        <v>1965</v>
      </c>
      <c r="K381" s="60" t="s">
        <v>3226</v>
      </c>
      <c r="L381" s="65"/>
      <c r="M381" s="10">
        <v>4</v>
      </c>
      <c r="N381" s="67" t="s">
        <v>3166</v>
      </c>
      <c r="O381" s="73" t="s">
        <v>3166</v>
      </c>
      <c r="P381" s="65"/>
    </row>
    <row r="382" spans="1:16">
      <c r="A382" s="15">
        <v>379</v>
      </c>
      <c r="B382" s="56" t="s">
        <v>2043</v>
      </c>
      <c r="C382" s="56">
        <v>804</v>
      </c>
      <c r="D382" s="36" t="s">
        <v>29</v>
      </c>
      <c r="E382" s="36"/>
      <c r="F382" s="18" t="s">
        <v>3020</v>
      </c>
      <c r="G382" s="36"/>
      <c r="H382" s="192"/>
      <c r="I382" s="192"/>
      <c r="J382" s="9" t="s">
        <v>1965</v>
      </c>
      <c r="K382" s="60" t="s">
        <v>3226</v>
      </c>
      <c r="L382" s="65"/>
      <c r="M382" s="10">
        <v>4</v>
      </c>
      <c r="N382" s="67" t="s">
        <v>3166</v>
      </c>
      <c r="O382" s="73" t="s">
        <v>3166</v>
      </c>
      <c r="P382" s="65"/>
    </row>
    <row r="383" spans="1:16">
      <c r="A383" s="15">
        <v>380</v>
      </c>
      <c r="B383" s="56" t="s">
        <v>2043</v>
      </c>
      <c r="C383" s="56">
        <v>901</v>
      </c>
      <c r="D383" s="36" t="s">
        <v>29</v>
      </c>
      <c r="E383" s="36"/>
      <c r="F383" s="18" t="s">
        <v>3020</v>
      </c>
      <c r="G383" s="36"/>
      <c r="H383" s="192"/>
      <c r="I383" s="192"/>
      <c r="J383" s="9" t="s">
        <v>1965</v>
      </c>
      <c r="K383" s="60" t="s">
        <v>3226</v>
      </c>
      <c r="L383" s="65"/>
      <c r="M383" s="10">
        <v>4</v>
      </c>
      <c r="N383" s="67" t="s">
        <v>3166</v>
      </c>
      <c r="O383" s="73" t="s">
        <v>3166</v>
      </c>
      <c r="P383" s="65"/>
    </row>
    <row r="384" spans="1:16">
      <c r="A384" s="15">
        <v>381</v>
      </c>
      <c r="B384" s="56" t="s">
        <v>2043</v>
      </c>
      <c r="C384" s="56">
        <v>902</v>
      </c>
      <c r="D384" s="36" t="s">
        <v>29</v>
      </c>
      <c r="E384" s="36"/>
      <c r="F384" s="18" t="s">
        <v>3020</v>
      </c>
      <c r="G384" s="36"/>
      <c r="H384" s="192"/>
      <c r="I384" s="192"/>
      <c r="J384" s="9" t="s">
        <v>1965</v>
      </c>
      <c r="K384" s="60" t="s">
        <v>3226</v>
      </c>
      <c r="L384" s="65"/>
      <c r="M384" s="10">
        <v>4</v>
      </c>
      <c r="N384" s="67" t="s">
        <v>3166</v>
      </c>
      <c r="O384" s="73" t="s">
        <v>3166</v>
      </c>
      <c r="P384" s="65"/>
    </row>
    <row r="385" spans="1:16">
      <c r="A385" s="15">
        <v>382</v>
      </c>
      <c r="B385" s="56" t="s">
        <v>2043</v>
      </c>
      <c r="C385" s="56">
        <v>903</v>
      </c>
      <c r="D385" s="36" t="s">
        <v>29</v>
      </c>
      <c r="E385" s="36"/>
      <c r="F385" s="18" t="s">
        <v>3020</v>
      </c>
      <c r="G385" s="36"/>
      <c r="H385" s="192"/>
      <c r="I385" s="192"/>
      <c r="J385" s="9" t="s">
        <v>1965</v>
      </c>
      <c r="K385" s="60" t="s">
        <v>3226</v>
      </c>
      <c r="L385" s="65"/>
      <c r="M385" s="10">
        <v>4</v>
      </c>
      <c r="N385" s="67" t="s">
        <v>3166</v>
      </c>
      <c r="O385" s="73" t="s">
        <v>3166</v>
      </c>
      <c r="P385" s="65"/>
    </row>
    <row r="386" spans="1:16">
      <c r="A386" s="15">
        <v>383</v>
      </c>
      <c r="B386" s="56" t="s">
        <v>2043</v>
      </c>
      <c r="C386" s="56">
        <v>904</v>
      </c>
      <c r="D386" s="36" t="s">
        <v>29</v>
      </c>
      <c r="E386" s="36"/>
      <c r="F386" s="18" t="s">
        <v>3020</v>
      </c>
      <c r="G386" s="36"/>
      <c r="H386" s="192"/>
      <c r="I386" s="192"/>
      <c r="J386" s="9" t="s">
        <v>1965</v>
      </c>
      <c r="K386" s="60" t="s">
        <v>3226</v>
      </c>
      <c r="L386" s="65"/>
      <c r="M386" s="10">
        <v>4</v>
      </c>
      <c r="N386" s="67" t="s">
        <v>3166</v>
      </c>
      <c r="O386" s="73" t="s">
        <v>3166</v>
      </c>
      <c r="P386" s="65"/>
    </row>
    <row r="387" spans="1:16">
      <c r="A387" s="15">
        <v>384</v>
      </c>
      <c r="B387" s="56" t="s">
        <v>2043</v>
      </c>
      <c r="C387" s="56">
        <v>1001</v>
      </c>
      <c r="D387" s="36" t="s">
        <v>29</v>
      </c>
      <c r="E387" s="36"/>
      <c r="F387" s="18" t="s">
        <v>3020</v>
      </c>
      <c r="G387" s="36"/>
      <c r="H387" s="192"/>
      <c r="I387" s="192"/>
      <c r="J387" s="9" t="s">
        <v>1965</v>
      </c>
      <c r="K387" s="60" t="s">
        <v>3226</v>
      </c>
      <c r="L387" s="65"/>
      <c r="M387" s="10">
        <v>4</v>
      </c>
      <c r="N387" s="67" t="s">
        <v>3166</v>
      </c>
      <c r="O387" s="73" t="s">
        <v>3166</v>
      </c>
      <c r="P387" s="65"/>
    </row>
    <row r="388" spans="1:16">
      <c r="A388" s="15">
        <v>385</v>
      </c>
      <c r="B388" s="56" t="s">
        <v>2043</v>
      </c>
      <c r="C388" s="56">
        <v>1002</v>
      </c>
      <c r="D388" s="36" t="s">
        <v>29</v>
      </c>
      <c r="E388" s="36"/>
      <c r="F388" s="18" t="s">
        <v>3020</v>
      </c>
      <c r="G388" s="36"/>
      <c r="H388" s="192"/>
      <c r="I388" s="192"/>
      <c r="J388" s="9" t="s">
        <v>1965</v>
      </c>
      <c r="K388" s="60" t="s">
        <v>3226</v>
      </c>
      <c r="L388" s="65"/>
      <c r="M388" s="10">
        <v>4</v>
      </c>
      <c r="N388" s="67" t="s">
        <v>3166</v>
      </c>
      <c r="O388" s="73" t="s">
        <v>3166</v>
      </c>
      <c r="P388" s="65"/>
    </row>
    <row r="389" spans="1:16">
      <c r="A389" s="15">
        <v>386</v>
      </c>
      <c r="B389" s="56" t="s">
        <v>2043</v>
      </c>
      <c r="C389" s="56">
        <v>1003</v>
      </c>
      <c r="D389" s="36" t="s">
        <v>29</v>
      </c>
      <c r="E389" s="36"/>
      <c r="F389" s="18" t="s">
        <v>3020</v>
      </c>
      <c r="G389" s="36"/>
      <c r="H389" s="192"/>
      <c r="I389" s="192"/>
      <c r="J389" s="9" t="s">
        <v>1965</v>
      </c>
      <c r="K389" s="60" t="s">
        <v>3226</v>
      </c>
      <c r="L389" s="65"/>
      <c r="M389" s="10">
        <v>4</v>
      </c>
      <c r="N389" s="67" t="s">
        <v>3166</v>
      </c>
      <c r="O389" s="73" t="s">
        <v>3166</v>
      </c>
      <c r="P389" s="65"/>
    </row>
    <row r="390" spans="1:16">
      <c r="A390" s="15">
        <v>387</v>
      </c>
      <c r="B390" s="56" t="s">
        <v>2043</v>
      </c>
      <c r="C390" s="56">
        <v>1004</v>
      </c>
      <c r="D390" s="36" t="s">
        <v>29</v>
      </c>
      <c r="E390" s="36"/>
      <c r="F390" s="18" t="s">
        <v>3020</v>
      </c>
      <c r="G390" s="36"/>
      <c r="H390" s="192"/>
      <c r="I390" s="192"/>
      <c r="J390" s="9" t="s">
        <v>1965</v>
      </c>
      <c r="K390" s="60" t="s">
        <v>3226</v>
      </c>
      <c r="L390" s="65"/>
      <c r="M390" s="10">
        <v>4</v>
      </c>
      <c r="N390" s="67" t="s">
        <v>3166</v>
      </c>
      <c r="O390" s="73" t="s">
        <v>3166</v>
      </c>
      <c r="P390" s="65"/>
    </row>
    <row r="391" spans="1:16">
      <c r="A391" s="15">
        <v>388</v>
      </c>
      <c r="B391" s="56" t="s">
        <v>2043</v>
      </c>
      <c r="C391" s="56" t="s">
        <v>3460</v>
      </c>
      <c r="D391" s="36" t="s">
        <v>29</v>
      </c>
      <c r="E391" s="36"/>
      <c r="F391" s="18" t="s">
        <v>3020</v>
      </c>
      <c r="G391" s="36"/>
      <c r="H391" s="48"/>
      <c r="I391" s="191"/>
      <c r="J391" s="9" t="s">
        <v>1965</v>
      </c>
      <c r="K391" s="60" t="s">
        <v>3226</v>
      </c>
      <c r="L391" s="65"/>
      <c r="M391" s="10">
        <v>4</v>
      </c>
      <c r="N391" s="67" t="s">
        <v>3166</v>
      </c>
      <c r="O391" s="73" t="s">
        <v>3166</v>
      </c>
      <c r="P391" s="65"/>
    </row>
    <row r="392" spans="1:16">
      <c r="A392" s="15">
        <v>389</v>
      </c>
      <c r="B392" s="56" t="s">
        <v>2040</v>
      </c>
      <c r="C392" s="56">
        <v>101</v>
      </c>
      <c r="D392" s="36" t="s">
        <v>30</v>
      </c>
      <c r="E392" s="36"/>
      <c r="F392" s="18" t="s">
        <v>3142</v>
      </c>
      <c r="G392" s="49"/>
      <c r="H392" s="50" t="s">
        <v>3461</v>
      </c>
      <c r="I392" s="50">
        <v>26992998</v>
      </c>
      <c r="J392" s="41" t="s">
        <v>1963</v>
      </c>
      <c r="K392" s="60"/>
      <c r="L392" s="65"/>
      <c r="M392" s="10">
        <v>1</v>
      </c>
      <c r="N392" s="67" t="s">
        <v>3134</v>
      </c>
      <c r="O392" s="73" t="s">
        <v>3134</v>
      </c>
      <c r="P392" s="65"/>
    </row>
    <row r="393" spans="1:16">
      <c r="A393" s="15">
        <v>390</v>
      </c>
      <c r="B393" s="56" t="s">
        <v>2040</v>
      </c>
      <c r="C393" s="56">
        <v>201</v>
      </c>
      <c r="D393" s="36" t="s">
        <v>30</v>
      </c>
      <c r="E393" s="36"/>
      <c r="F393" s="18" t="s">
        <v>3142</v>
      </c>
      <c r="G393" s="49"/>
      <c r="H393" s="50" t="s">
        <v>3462</v>
      </c>
      <c r="I393" s="50">
        <v>26993002</v>
      </c>
      <c r="J393" s="41" t="s">
        <v>1963</v>
      </c>
      <c r="K393" s="60"/>
      <c r="L393" s="65"/>
      <c r="M393" s="10">
        <v>1</v>
      </c>
      <c r="N393" s="67" t="s">
        <v>3134</v>
      </c>
      <c r="O393" s="73" t="s">
        <v>3134</v>
      </c>
      <c r="P393" s="65"/>
    </row>
    <row r="394" spans="1:16">
      <c r="A394" s="15">
        <v>391</v>
      </c>
      <c r="B394" s="56" t="s">
        <v>2040</v>
      </c>
      <c r="C394" s="56">
        <v>202</v>
      </c>
      <c r="D394" s="36" t="s">
        <v>30</v>
      </c>
      <c r="E394" s="36"/>
      <c r="F394" s="18" t="s">
        <v>3142</v>
      </c>
      <c r="G394" s="49"/>
      <c r="H394" s="50" t="s">
        <v>3463</v>
      </c>
      <c r="I394" s="50">
        <v>26993003</v>
      </c>
      <c r="J394" s="41" t="s">
        <v>1963</v>
      </c>
      <c r="K394" s="60"/>
      <c r="L394" s="65"/>
      <c r="M394" s="10">
        <v>1</v>
      </c>
      <c r="N394" s="67" t="s">
        <v>3134</v>
      </c>
      <c r="O394" s="73" t="s">
        <v>3134</v>
      </c>
      <c r="P394" s="65"/>
    </row>
    <row r="395" spans="1:16">
      <c r="A395" s="15">
        <v>392</v>
      </c>
      <c r="B395" s="56" t="s">
        <v>2040</v>
      </c>
      <c r="C395" s="56">
        <v>203</v>
      </c>
      <c r="D395" s="36" t="s">
        <v>30</v>
      </c>
      <c r="E395" s="36"/>
      <c r="F395" s="18" t="s">
        <v>3142</v>
      </c>
      <c r="G395" s="49"/>
      <c r="H395" s="50" t="s">
        <v>3464</v>
      </c>
      <c r="I395" s="50">
        <v>26993004</v>
      </c>
      <c r="J395" s="41" t="s">
        <v>1963</v>
      </c>
      <c r="K395" s="60"/>
      <c r="L395" s="65"/>
      <c r="M395" s="10">
        <v>1</v>
      </c>
      <c r="N395" s="67" t="s">
        <v>3134</v>
      </c>
      <c r="O395" s="73" t="s">
        <v>3134</v>
      </c>
      <c r="P395" s="65"/>
    </row>
    <row r="396" spans="1:16">
      <c r="A396" s="15">
        <v>393</v>
      </c>
      <c r="B396" s="56" t="s">
        <v>2040</v>
      </c>
      <c r="C396" s="56">
        <v>301</v>
      </c>
      <c r="D396" s="36" t="s">
        <v>30</v>
      </c>
      <c r="E396" s="36"/>
      <c r="F396" s="18" t="s">
        <v>3142</v>
      </c>
      <c r="G396" s="49"/>
      <c r="H396" s="50" t="s">
        <v>3465</v>
      </c>
      <c r="I396" s="50">
        <v>26993006</v>
      </c>
      <c r="J396" s="41" t="s">
        <v>1963</v>
      </c>
      <c r="K396" s="60"/>
      <c r="L396" s="65"/>
      <c r="M396" s="10">
        <v>1</v>
      </c>
      <c r="N396" s="67" t="s">
        <v>3134</v>
      </c>
      <c r="O396" s="73" t="s">
        <v>3134</v>
      </c>
      <c r="P396" s="65"/>
    </row>
    <row r="397" spans="1:16">
      <c r="A397" s="15">
        <v>394</v>
      </c>
      <c r="B397" s="56" t="s">
        <v>2040</v>
      </c>
      <c r="C397" s="56">
        <v>302</v>
      </c>
      <c r="D397" s="36" t="s">
        <v>30</v>
      </c>
      <c r="E397" s="36"/>
      <c r="F397" s="18" t="s">
        <v>3142</v>
      </c>
      <c r="G397" s="49"/>
      <c r="H397" s="50" t="s">
        <v>3466</v>
      </c>
      <c r="I397" s="50">
        <v>26993007</v>
      </c>
      <c r="J397" s="41" t="s">
        <v>1963</v>
      </c>
      <c r="K397" s="60"/>
      <c r="L397" s="65"/>
      <c r="M397" s="10">
        <v>1</v>
      </c>
      <c r="N397" s="67" t="s">
        <v>3134</v>
      </c>
      <c r="O397" s="73" t="s">
        <v>3134</v>
      </c>
      <c r="P397" s="65"/>
    </row>
    <row r="398" spans="1:16">
      <c r="A398" s="15">
        <v>395</v>
      </c>
      <c r="B398" s="56" t="s">
        <v>2040</v>
      </c>
      <c r="C398" s="56">
        <v>303</v>
      </c>
      <c r="D398" s="36" t="s">
        <v>30</v>
      </c>
      <c r="E398" s="36"/>
      <c r="F398" s="18" t="s">
        <v>3142</v>
      </c>
      <c r="G398" s="49"/>
      <c r="H398" s="50" t="s">
        <v>3467</v>
      </c>
      <c r="I398" s="50">
        <v>26993009</v>
      </c>
      <c r="J398" s="41" t="s">
        <v>1963</v>
      </c>
      <c r="K398" s="60"/>
      <c r="L398" s="65"/>
      <c r="M398" s="10">
        <v>1</v>
      </c>
      <c r="N398" s="67" t="s">
        <v>3134</v>
      </c>
      <c r="O398" s="73" t="s">
        <v>3134</v>
      </c>
      <c r="P398" s="65"/>
    </row>
    <row r="399" spans="1:16">
      <c r="A399" s="15">
        <v>396</v>
      </c>
      <c r="B399" s="56" t="s">
        <v>2040</v>
      </c>
      <c r="C399" s="56">
        <v>401</v>
      </c>
      <c r="D399" s="36" t="s">
        <v>30</v>
      </c>
      <c r="E399" s="36"/>
      <c r="F399" s="18" t="s">
        <v>3142</v>
      </c>
      <c r="G399" s="49"/>
      <c r="H399" s="50" t="s">
        <v>3468</v>
      </c>
      <c r="I399" s="50">
        <v>26993012</v>
      </c>
      <c r="J399" s="41" t="s">
        <v>1963</v>
      </c>
      <c r="K399" s="60"/>
      <c r="L399" s="65"/>
      <c r="M399" s="10">
        <v>1</v>
      </c>
      <c r="N399" s="67" t="s">
        <v>3134</v>
      </c>
      <c r="O399" s="73" t="s">
        <v>3134</v>
      </c>
      <c r="P399" s="65"/>
    </row>
    <row r="400" spans="1:16">
      <c r="A400" s="15">
        <v>397</v>
      </c>
      <c r="B400" s="56" t="s">
        <v>2040</v>
      </c>
      <c r="C400" s="56">
        <v>402</v>
      </c>
      <c r="D400" s="36" t="s">
        <v>30</v>
      </c>
      <c r="E400" s="36"/>
      <c r="F400" s="18" t="s">
        <v>3142</v>
      </c>
      <c r="G400" s="49"/>
      <c r="H400" s="50" t="s">
        <v>3469</v>
      </c>
      <c r="I400" s="50">
        <v>26993014</v>
      </c>
      <c r="J400" s="41" t="s">
        <v>1963</v>
      </c>
      <c r="K400" s="60"/>
      <c r="L400" s="65"/>
      <c r="M400" s="10">
        <v>1</v>
      </c>
      <c r="N400" s="67" t="s">
        <v>3134</v>
      </c>
      <c r="O400" s="73" t="s">
        <v>3134</v>
      </c>
      <c r="P400" s="65"/>
    </row>
    <row r="401" spans="1:16">
      <c r="A401" s="15">
        <v>398</v>
      </c>
      <c r="B401" s="56" t="s">
        <v>2040</v>
      </c>
      <c r="C401" s="56">
        <v>403</v>
      </c>
      <c r="D401" s="36" t="s">
        <v>30</v>
      </c>
      <c r="E401" s="36"/>
      <c r="F401" s="18" t="s">
        <v>3142</v>
      </c>
      <c r="G401" s="49"/>
      <c r="H401" s="50" t="s">
        <v>3470</v>
      </c>
      <c r="I401" s="50">
        <v>26993015</v>
      </c>
      <c r="J401" s="41" t="s">
        <v>1963</v>
      </c>
      <c r="K401" s="60"/>
      <c r="L401" s="65"/>
      <c r="M401" s="10">
        <v>1</v>
      </c>
      <c r="N401" s="67" t="s">
        <v>3134</v>
      </c>
      <c r="O401" s="73" t="s">
        <v>3134</v>
      </c>
      <c r="P401" s="65"/>
    </row>
    <row r="402" spans="1:16">
      <c r="A402" s="15">
        <v>399</v>
      </c>
      <c r="B402" s="56" t="s">
        <v>2040</v>
      </c>
      <c r="C402" s="56">
        <v>501</v>
      </c>
      <c r="D402" s="36" t="s">
        <v>30</v>
      </c>
      <c r="E402" s="36"/>
      <c r="F402" s="18" t="s">
        <v>3142</v>
      </c>
      <c r="G402" s="49"/>
      <c r="H402" s="50" t="s">
        <v>3471</v>
      </c>
      <c r="I402" s="50">
        <v>26993016</v>
      </c>
      <c r="J402" s="41" t="s">
        <v>1963</v>
      </c>
      <c r="K402" s="60"/>
      <c r="L402" s="65"/>
      <c r="M402" s="10">
        <v>1</v>
      </c>
      <c r="N402" s="67" t="s">
        <v>3134</v>
      </c>
      <c r="O402" s="73" t="s">
        <v>3134</v>
      </c>
      <c r="P402" s="65"/>
    </row>
    <row r="403" spans="1:16">
      <c r="A403" s="15">
        <v>400</v>
      </c>
      <c r="B403" s="56" t="s">
        <v>2040</v>
      </c>
      <c r="C403" s="56">
        <v>502</v>
      </c>
      <c r="D403" s="36" t="s">
        <v>30</v>
      </c>
      <c r="E403" s="36"/>
      <c r="F403" s="18" t="s">
        <v>3142</v>
      </c>
      <c r="G403" s="49"/>
      <c r="H403" s="50" t="s">
        <v>3472</v>
      </c>
      <c r="I403" s="50">
        <v>26993017</v>
      </c>
      <c r="J403" s="41" t="s">
        <v>1963</v>
      </c>
      <c r="K403" s="60"/>
      <c r="L403" s="65"/>
      <c r="M403" s="10">
        <v>1</v>
      </c>
      <c r="N403" s="67" t="s">
        <v>3134</v>
      </c>
      <c r="O403" s="73" t="s">
        <v>3134</v>
      </c>
      <c r="P403" s="65"/>
    </row>
    <row r="404" spans="1:16">
      <c r="A404" s="15">
        <v>401</v>
      </c>
      <c r="B404" s="56" t="s">
        <v>2040</v>
      </c>
      <c r="C404" s="56">
        <v>503</v>
      </c>
      <c r="D404" s="36" t="s">
        <v>30</v>
      </c>
      <c r="E404" s="36"/>
      <c r="F404" s="18" t="s">
        <v>3142</v>
      </c>
      <c r="G404" s="49"/>
      <c r="H404" s="50" t="s">
        <v>3473</v>
      </c>
      <c r="I404" s="50">
        <v>26993019</v>
      </c>
      <c r="J404" s="41" t="s">
        <v>1963</v>
      </c>
      <c r="K404" s="60"/>
      <c r="L404" s="65"/>
      <c r="M404" s="10">
        <v>1</v>
      </c>
      <c r="N404" s="67" t="s">
        <v>3134</v>
      </c>
      <c r="O404" s="73" t="s">
        <v>3134</v>
      </c>
      <c r="P404" s="65"/>
    </row>
    <row r="405" spans="1:16">
      <c r="A405" s="15">
        <v>402</v>
      </c>
      <c r="B405" s="56" t="s">
        <v>2040</v>
      </c>
      <c r="C405" s="56">
        <v>601</v>
      </c>
      <c r="D405" s="36" t="s">
        <v>30</v>
      </c>
      <c r="E405" s="36"/>
      <c r="F405" s="18" t="s">
        <v>3142</v>
      </c>
      <c r="G405" s="49"/>
      <c r="H405" s="50" t="s">
        <v>3474</v>
      </c>
      <c r="I405" s="50">
        <v>26993020</v>
      </c>
      <c r="J405" s="41" t="s">
        <v>1963</v>
      </c>
      <c r="K405" s="60"/>
      <c r="L405" s="65"/>
      <c r="M405" s="10">
        <v>1</v>
      </c>
      <c r="N405" s="67" t="s">
        <v>3134</v>
      </c>
      <c r="O405" s="73" t="s">
        <v>3134</v>
      </c>
      <c r="P405" s="65"/>
    </row>
    <row r="406" spans="1:16">
      <c r="A406" s="15">
        <v>403</v>
      </c>
      <c r="B406" s="56" t="s">
        <v>2040</v>
      </c>
      <c r="C406" s="56">
        <v>602</v>
      </c>
      <c r="D406" s="36" t="s">
        <v>30</v>
      </c>
      <c r="E406" s="36"/>
      <c r="F406" s="18" t="s">
        <v>3142</v>
      </c>
      <c r="G406" s="49"/>
      <c r="H406" s="50" t="s">
        <v>3475</v>
      </c>
      <c r="I406" s="50">
        <v>26993022</v>
      </c>
      <c r="J406" s="41" t="s">
        <v>1963</v>
      </c>
      <c r="K406" s="60"/>
      <c r="L406" s="65"/>
      <c r="M406" s="10">
        <v>1</v>
      </c>
      <c r="N406" s="67" t="s">
        <v>3134</v>
      </c>
      <c r="O406" s="73" t="s">
        <v>3134</v>
      </c>
      <c r="P406" s="65"/>
    </row>
    <row r="407" spans="1:16">
      <c r="A407" s="15">
        <v>404</v>
      </c>
      <c r="B407" s="58" t="s">
        <v>2040</v>
      </c>
      <c r="C407" s="58">
        <v>603</v>
      </c>
      <c r="D407" s="36" t="s">
        <v>30</v>
      </c>
      <c r="E407" s="37"/>
      <c r="F407" s="22" t="s">
        <v>3142</v>
      </c>
      <c r="G407" s="51"/>
      <c r="H407" s="52" t="s">
        <v>3476</v>
      </c>
      <c r="I407" s="52">
        <v>20993024</v>
      </c>
      <c r="J407" s="46" t="s">
        <v>1963</v>
      </c>
      <c r="K407" s="62"/>
      <c r="L407" s="65"/>
      <c r="M407" s="25">
        <v>1</v>
      </c>
      <c r="N407" s="69" t="s">
        <v>3134</v>
      </c>
      <c r="O407" s="76" t="s">
        <v>3134</v>
      </c>
      <c r="P407" s="65"/>
    </row>
    <row r="408" spans="1:16">
      <c r="A408" s="15">
        <v>405</v>
      </c>
      <c r="B408" s="15" t="s">
        <v>3477</v>
      </c>
      <c r="C408" s="15" t="s">
        <v>3325</v>
      </c>
      <c r="D408" s="36" t="s">
        <v>29</v>
      </c>
      <c r="E408" s="36"/>
      <c r="F408" s="22" t="s">
        <v>3478</v>
      </c>
      <c r="G408" s="36"/>
      <c r="H408" s="192"/>
      <c r="I408" s="192"/>
      <c r="J408" s="9" t="s">
        <v>3479</v>
      </c>
      <c r="K408" s="60" t="s">
        <v>3480</v>
      </c>
      <c r="L408" s="65"/>
      <c r="M408" s="53">
        <v>2</v>
      </c>
      <c r="N408" s="69" t="s">
        <v>3134</v>
      </c>
      <c r="O408" s="76" t="s">
        <v>3134</v>
      </c>
      <c r="P408" s="65"/>
    </row>
    <row r="409" spans="1:16">
      <c r="A409" s="15">
        <v>406</v>
      </c>
      <c r="B409" s="15" t="s">
        <v>3477</v>
      </c>
      <c r="C409" s="15" t="s">
        <v>3481</v>
      </c>
      <c r="D409" s="36" t="s">
        <v>29</v>
      </c>
      <c r="E409" s="36"/>
      <c r="F409" s="22" t="s">
        <v>3478</v>
      </c>
      <c r="G409" s="36"/>
      <c r="H409" s="59" t="s">
        <v>3482</v>
      </c>
      <c r="I409" s="192"/>
      <c r="J409" s="9" t="s">
        <v>3479</v>
      </c>
      <c r="K409" s="60" t="s">
        <v>3480</v>
      </c>
      <c r="L409" s="65"/>
      <c r="M409" s="53">
        <v>2</v>
      </c>
      <c r="N409" s="69" t="s">
        <v>3134</v>
      </c>
      <c r="O409" s="76" t="s">
        <v>3134</v>
      </c>
      <c r="P409" s="65"/>
    </row>
    <row r="410" spans="1:16">
      <c r="A410" s="15">
        <v>407</v>
      </c>
      <c r="B410" s="15" t="s">
        <v>3477</v>
      </c>
      <c r="C410" s="15" t="s">
        <v>3483</v>
      </c>
      <c r="D410" s="36" t="s">
        <v>29</v>
      </c>
      <c r="E410" s="36"/>
      <c r="F410" s="22" t="s">
        <v>3478</v>
      </c>
      <c r="G410" s="36"/>
      <c r="H410" s="192"/>
      <c r="I410" s="192"/>
      <c r="J410" s="9" t="s">
        <v>3479</v>
      </c>
      <c r="K410" s="60" t="s">
        <v>3480</v>
      </c>
      <c r="L410" s="65"/>
      <c r="M410" s="53">
        <v>2</v>
      </c>
      <c r="N410" s="69" t="s">
        <v>3134</v>
      </c>
      <c r="O410" s="76" t="s">
        <v>3134</v>
      </c>
      <c r="P410" s="65"/>
    </row>
    <row r="411" spans="1:16">
      <c r="A411" s="15">
        <v>408</v>
      </c>
      <c r="B411" s="15" t="s">
        <v>3477</v>
      </c>
      <c r="C411" s="15" t="s">
        <v>3484</v>
      </c>
      <c r="D411" s="36" t="s">
        <v>29</v>
      </c>
      <c r="E411" s="36"/>
      <c r="F411" s="22" t="s">
        <v>3478</v>
      </c>
      <c r="G411" s="36"/>
      <c r="H411" s="192"/>
      <c r="I411" s="192"/>
      <c r="J411" s="9" t="s">
        <v>3479</v>
      </c>
      <c r="K411" s="60" t="s">
        <v>3480</v>
      </c>
      <c r="L411" s="65"/>
      <c r="M411" s="53">
        <v>2</v>
      </c>
      <c r="N411" s="69" t="s">
        <v>3134</v>
      </c>
      <c r="O411" s="76" t="s">
        <v>3134</v>
      </c>
      <c r="P411" s="65"/>
    </row>
    <row r="412" spans="1:16">
      <c r="A412" s="15">
        <v>409</v>
      </c>
      <c r="B412" s="15" t="s">
        <v>3477</v>
      </c>
      <c r="C412" s="15" t="s">
        <v>3485</v>
      </c>
      <c r="D412" s="36" t="s">
        <v>29</v>
      </c>
      <c r="E412" s="36"/>
      <c r="F412" s="22" t="s">
        <v>3478</v>
      </c>
      <c r="G412" s="36"/>
      <c r="H412" s="192"/>
      <c r="I412" s="192"/>
      <c r="J412" s="9" t="s">
        <v>3479</v>
      </c>
      <c r="K412" s="60" t="s">
        <v>3480</v>
      </c>
      <c r="L412" s="65"/>
      <c r="M412" s="53">
        <v>2</v>
      </c>
      <c r="N412" s="69" t="s">
        <v>3134</v>
      </c>
      <c r="O412" s="76" t="s">
        <v>3134</v>
      </c>
      <c r="P412" s="65"/>
    </row>
    <row r="413" spans="1:16">
      <c r="A413" s="15">
        <v>410</v>
      </c>
      <c r="B413" s="47" t="s">
        <v>3477</v>
      </c>
      <c r="C413" s="47" t="s">
        <v>3486</v>
      </c>
      <c r="D413" s="36" t="s">
        <v>29</v>
      </c>
      <c r="E413" s="51"/>
      <c r="F413" s="22" t="s">
        <v>3478</v>
      </c>
      <c r="G413" s="54"/>
      <c r="H413" s="191"/>
      <c r="I413" s="191"/>
      <c r="J413" s="24" t="s">
        <v>3479</v>
      </c>
      <c r="K413" s="62" t="s">
        <v>3480</v>
      </c>
      <c r="L413" s="65"/>
      <c r="M413" s="55">
        <v>2</v>
      </c>
      <c r="N413" s="69" t="s">
        <v>3134</v>
      </c>
      <c r="O413" s="76" t="s">
        <v>3134</v>
      </c>
      <c r="P413" s="65"/>
    </row>
    <row r="414" spans="1:16">
      <c r="A414" s="15">
        <v>411</v>
      </c>
      <c r="B414" s="15" t="s">
        <v>3487</v>
      </c>
      <c r="C414" s="15" t="s">
        <v>3325</v>
      </c>
      <c r="D414" s="36" t="s">
        <v>29</v>
      </c>
      <c r="E414" s="36"/>
      <c r="F414" s="36"/>
      <c r="G414" s="36"/>
      <c r="H414" s="192"/>
      <c r="I414" s="192"/>
      <c r="J414" s="24" t="s">
        <v>3479</v>
      </c>
      <c r="K414" s="60"/>
      <c r="L414" s="65"/>
      <c r="M414" s="55">
        <v>2</v>
      </c>
      <c r="N414" s="72"/>
      <c r="O414" s="77"/>
      <c r="P414" s="65"/>
    </row>
    <row r="415" spans="1:16">
      <c r="A415" s="15">
        <v>412</v>
      </c>
      <c r="B415" s="15" t="s">
        <v>3487</v>
      </c>
      <c r="C415" s="15" t="s">
        <v>3434</v>
      </c>
      <c r="D415" s="36" t="s">
        <v>29</v>
      </c>
      <c r="E415" s="36"/>
      <c r="F415" s="36"/>
      <c r="G415" s="36"/>
      <c r="H415" s="192"/>
      <c r="I415" s="192"/>
      <c r="J415" s="24" t="s">
        <v>3479</v>
      </c>
      <c r="K415" s="60"/>
      <c r="L415" s="65"/>
      <c r="M415" s="55">
        <v>2</v>
      </c>
      <c r="N415" s="72"/>
      <c r="O415" s="77"/>
      <c r="P415" s="65"/>
    </row>
    <row r="416" spans="1:16">
      <c r="A416" s="15">
        <v>413</v>
      </c>
      <c r="B416" s="15" t="s">
        <v>3487</v>
      </c>
      <c r="C416" s="15" t="s">
        <v>3436</v>
      </c>
      <c r="D416" s="36" t="s">
        <v>29</v>
      </c>
      <c r="E416" s="36"/>
      <c r="F416" s="36"/>
      <c r="G416" s="36"/>
      <c r="H416" s="192"/>
      <c r="I416" s="192"/>
      <c r="J416" s="24" t="s">
        <v>3479</v>
      </c>
      <c r="K416" s="60"/>
      <c r="L416" s="65"/>
      <c r="M416" s="55">
        <v>2</v>
      </c>
      <c r="N416" s="72"/>
      <c r="O416" s="77"/>
      <c r="P416" s="65"/>
    </row>
    <row r="417" spans="1:16">
      <c r="A417" s="15">
        <v>414</v>
      </c>
      <c r="B417" s="15" t="s">
        <v>3487</v>
      </c>
      <c r="C417" s="15" t="s">
        <v>3437</v>
      </c>
      <c r="D417" s="36" t="s">
        <v>29</v>
      </c>
      <c r="E417" s="36"/>
      <c r="F417" s="36"/>
      <c r="G417" s="36"/>
      <c r="H417" s="192"/>
      <c r="I417" s="192"/>
      <c r="J417" s="24" t="s">
        <v>3479</v>
      </c>
      <c r="K417" s="60"/>
      <c r="L417" s="65"/>
      <c r="M417" s="55">
        <v>2</v>
      </c>
      <c r="N417" s="72"/>
      <c r="O417" s="77"/>
      <c r="P417" s="65"/>
    </row>
    <row r="418" spans="1:16">
      <c r="A418" s="15">
        <v>415</v>
      </c>
      <c r="B418" s="15" t="s">
        <v>3487</v>
      </c>
      <c r="C418" s="15" t="s">
        <v>3445</v>
      </c>
      <c r="D418" s="36" t="s">
        <v>29</v>
      </c>
      <c r="E418" s="36"/>
      <c r="F418" s="36"/>
      <c r="G418" s="36"/>
      <c r="H418" s="192"/>
      <c r="I418" s="192"/>
      <c r="J418" s="24" t="s">
        <v>3479</v>
      </c>
      <c r="K418" s="60"/>
      <c r="L418" s="65"/>
      <c r="M418" s="55">
        <v>2</v>
      </c>
      <c r="N418" s="72"/>
      <c r="O418" s="77"/>
      <c r="P418" s="65"/>
    </row>
    <row r="419" spans="1:16">
      <c r="A419" s="15">
        <v>416</v>
      </c>
      <c r="B419" s="15" t="s">
        <v>3488</v>
      </c>
      <c r="C419" s="15">
        <v>101</v>
      </c>
      <c r="D419" s="36" t="s">
        <v>29</v>
      </c>
      <c r="E419" s="36"/>
      <c r="F419" s="18" t="s">
        <v>3489</v>
      </c>
      <c r="G419" s="36"/>
      <c r="H419" s="192"/>
      <c r="I419" s="192"/>
      <c r="J419" s="24" t="s">
        <v>3479</v>
      </c>
      <c r="K419" s="62" t="s">
        <v>3480</v>
      </c>
      <c r="L419" s="65"/>
      <c r="M419" s="10">
        <v>2</v>
      </c>
      <c r="N419" s="69" t="s">
        <v>3134</v>
      </c>
      <c r="O419" s="76" t="s">
        <v>3134</v>
      </c>
      <c r="P419" s="65"/>
    </row>
    <row r="420" spans="1:16">
      <c r="A420" s="15">
        <v>417</v>
      </c>
      <c r="B420" s="15" t="s">
        <v>3488</v>
      </c>
      <c r="C420" s="15">
        <v>102</v>
      </c>
      <c r="D420" s="36" t="s">
        <v>29</v>
      </c>
      <c r="E420" s="36"/>
      <c r="F420" s="18" t="s">
        <v>3489</v>
      </c>
      <c r="G420" s="36"/>
      <c r="H420" s="192"/>
      <c r="I420" s="192"/>
      <c r="J420" s="24" t="s">
        <v>3479</v>
      </c>
      <c r="K420" s="62" t="s">
        <v>3480</v>
      </c>
      <c r="L420" s="65"/>
      <c r="M420" s="10">
        <v>2</v>
      </c>
      <c r="N420" s="69" t="s">
        <v>3134</v>
      </c>
      <c r="O420" s="76" t="s">
        <v>3134</v>
      </c>
      <c r="P420" s="65"/>
    </row>
    <row r="421" spans="1:16">
      <c r="A421" s="15">
        <v>418</v>
      </c>
      <c r="B421" s="15" t="s">
        <v>3488</v>
      </c>
      <c r="C421" s="15">
        <v>103</v>
      </c>
      <c r="D421" s="36" t="s">
        <v>29</v>
      </c>
      <c r="E421" s="36"/>
      <c r="F421" s="18" t="s">
        <v>3489</v>
      </c>
      <c r="G421" s="36"/>
      <c r="H421" s="192"/>
      <c r="I421" s="192"/>
      <c r="J421" s="24" t="s">
        <v>3479</v>
      </c>
      <c r="K421" s="62" t="s">
        <v>3480</v>
      </c>
      <c r="L421" s="65"/>
      <c r="M421" s="10">
        <v>2</v>
      </c>
      <c r="N421" s="69" t="s">
        <v>3134</v>
      </c>
      <c r="O421" s="76" t="s">
        <v>3134</v>
      </c>
      <c r="P421" s="65"/>
    </row>
    <row r="422" spans="1:16">
      <c r="A422" s="15">
        <v>419</v>
      </c>
      <c r="B422" s="15" t="s">
        <v>3488</v>
      </c>
      <c r="C422" s="15" t="s">
        <v>3358</v>
      </c>
      <c r="D422" s="36" t="s">
        <v>29</v>
      </c>
      <c r="E422" s="36"/>
      <c r="F422" s="18" t="s">
        <v>3489</v>
      </c>
      <c r="G422" s="36"/>
      <c r="H422" s="192"/>
      <c r="I422" s="192"/>
      <c r="J422" s="24" t="s">
        <v>3479</v>
      </c>
      <c r="K422" s="62" t="s">
        <v>3480</v>
      </c>
      <c r="L422" s="65"/>
      <c r="M422" s="10">
        <v>2</v>
      </c>
      <c r="N422" s="69" t="s">
        <v>3134</v>
      </c>
      <c r="O422" s="76" t="s">
        <v>3134</v>
      </c>
      <c r="P422" s="65"/>
    </row>
    <row r="423" spans="1:16">
      <c r="A423" s="15">
        <v>420</v>
      </c>
      <c r="B423" s="15" t="s">
        <v>3488</v>
      </c>
      <c r="C423" s="15">
        <v>301</v>
      </c>
      <c r="D423" s="36" t="s">
        <v>29</v>
      </c>
      <c r="E423" s="36"/>
      <c r="F423" s="18" t="s">
        <v>3489</v>
      </c>
      <c r="G423" s="36"/>
      <c r="H423" s="192"/>
      <c r="I423" s="192"/>
      <c r="J423" s="24" t="s">
        <v>3479</v>
      </c>
      <c r="K423" s="62" t="s">
        <v>3480</v>
      </c>
      <c r="L423" s="65"/>
      <c r="M423" s="10">
        <v>2</v>
      </c>
      <c r="N423" s="69" t="s">
        <v>3134</v>
      </c>
      <c r="O423" s="76" t="s">
        <v>3134</v>
      </c>
      <c r="P423" s="65"/>
    </row>
    <row r="424" spans="1:16">
      <c r="A424" s="15">
        <v>421</v>
      </c>
      <c r="B424" s="15" t="s">
        <v>3488</v>
      </c>
      <c r="C424" s="15">
        <v>302</v>
      </c>
      <c r="D424" s="36" t="s">
        <v>29</v>
      </c>
      <c r="E424" s="36"/>
      <c r="F424" s="18" t="s">
        <v>3489</v>
      </c>
      <c r="G424" s="36"/>
      <c r="H424" s="192"/>
      <c r="I424" s="192"/>
      <c r="J424" s="24" t="s">
        <v>3479</v>
      </c>
      <c r="K424" s="62" t="s">
        <v>3480</v>
      </c>
      <c r="L424" s="65"/>
      <c r="M424" s="10">
        <v>2</v>
      </c>
      <c r="N424" s="69" t="s">
        <v>3134</v>
      </c>
      <c r="O424" s="76" t="s">
        <v>3134</v>
      </c>
      <c r="P424" s="65"/>
    </row>
    <row r="425" spans="1:16">
      <c r="A425" s="15">
        <v>422</v>
      </c>
      <c r="B425" s="15" t="s">
        <v>3488</v>
      </c>
      <c r="C425" s="15" t="s">
        <v>3359</v>
      </c>
      <c r="D425" s="36" t="s">
        <v>29</v>
      </c>
      <c r="E425" s="36"/>
      <c r="F425" s="18" t="s">
        <v>3489</v>
      </c>
      <c r="G425" s="36"/>
      <c r="H425" s="192"/>
      <c r="I425" s="192"/>
      <c r="J425" s="24" t="s">
        <v>3479</v>
      </c>
      <c r="K425" s="62" t="s">
        <v>3480</v>
      </c>
      <c r="L425" s="65"/>
      <c r="M425" s="10">
        <v>2</v>
      </c>
      <c r="N425" s="69" t="s">
        <v>3134</v>
      </c>
      <c r="O425" s="76" t="s">
        <v>3134</v>
      </c>
      <c r="P425" s="65"/>
    </row>
    <row r="426" spans="1:16">
      <c r="A426" s="15">
        <v>423</v>
      </c>
      <c r="B426" s="15" t="s">
        <v>3488</v>
      </c>
      <c r="C426" s="15" t="s">
        <v>3490</v>
      </c>
      <c r="D426" s="36" t="s">
        <v>29</v>
      </c>
      <c r="E426" s="36"/>
      <c r="F426" s="18" t="s">
        <v>3489</v>
      </c>
      <c r="G426" s="36"/>
      <c r="H426" s="192"/>
      <c r="I426" s="192"/>
      <c r="J426" s="24" t="s">
        <v>3479</v>
      </c>
      <c r="K426" s="62" t="s">
        <v>3480</v>
      </c>
      <c r="L426" s="65"/>
      <c r="M426" s="10">
        <v>2</v>
      </c>
      <c r="N426" s="69" t="s">
        <v>3134</v>
      </c>
      <c r="O426" s="76" t="s">
        <v>3134</v>
      </c>
      <c r="P426" s="65"/>
    </row>
    <row r="427" spans="1:16">
      <c r="A427" s="15">
        <v>424</v>
      </c>
      <c r="B427" s="47" t="s">
        <v>3488</v>
      </c>
      <c r="C427" s="47" t="s">
        <v>3491</v>
      </c>
      <c r="D427" s="36" t="s">
        <v>29</v>
      </c>
      <c r="E427" s="37"/>
      <c r="F427" s="22" t="s">
        <v>3489</v>
      </c>
      <c r="G427" s="37"/>
      <c r="H427" s="191"/>
      <c r="I427" s="191"/>
      <c r="J427" s="24" t="s">
        <v>3479</v>
      </c>
      <c r="K427" s="62" t="s">
        <v>3480</v>
      </c>
      <c r="L427" s="65"/>
      <c r="M427" s="25">
        <v>2</v>
      </c>
      <c r="N427" s="69" t="s">
        <v>3134</v>
      </c>
      <c r="O427" s="76" t="s">
        <v>3134</v>
      </c>
      <c r="P427" s="65"/>
    </row>
    <row r="428" spans="1:16">
      <c r="A428" s="15">
        <v>425</v>
      </c>
      <c r="B428" s="15" t="s">
        <v>3048</v>
      </c>
      <c r="C428" s="15" t="s">
        <v>3129</v>
      </c>
      <c r="D428" s="36" t="s">
        <v>29</v>
      </c>
      <c r="E428" s="36"/>
      <c r="F428" s="36"/>
      <c r="G428" s="36"/>
      <c r="H428" s="192"/>
      <c r="I428" s="192"/>
      <c r="J428" s="24" t="s">
        <v>3479</v>
      </c>
      <c r="K428" s="60"/>
      <c r="L428" s="65"/>
      <c r="M428" s="10">
        <v>2</v>
      </c>
      <c r="N428" s="72"/>
      <c r="O428" s="77"/>
      <c r="P428" s="65"/>
    </row>
    <row r="429" spans="1:16">
      <c r="A429" s="15">
        <v>426</v>
      </c>
      <c r="B429" s="15" t="s">
        <v>3048</v>
      </c>
      <c r="C429" s="15" t="s">
        <v>3492</v>
      </c>
      <c r="D429" s="36" t="s">
        <v>29</v>
      </c>
      <c r="E429" s="36"/>
      <c r="F429" s="36"/>
      <c r="G429" s="36"/>
      <c r="H429" s="192"/>
      <c r="I429" s="192"/>
      <c r="J429" s="24" t="s">
        <v>3479</v>
      </c>
      <c r="K429" s="60"/>
      <c r="L429" s="65"/>
      <c r="M429" s="10">
        <v>2</v>
      </c>
      <c r="N429" s="72"/>
      <c r="O429" s="77"/>
      <c r="P429" s="65"/>
    </row>
    <row r="430" spans="1:16">
      <c r="A430" s="15">
        <v>427</v>
      </c>
      <c r="B430" s="15" t="s">
        <v>3048</v>
      </c>
      <c r="C430" s="15" t="s">
        <v>3493</v>
      </c>
      <c r="D430" s="36" t="s">
        <v>29</v>
      </c>
      <c r="E430" s="36"/>
      <c r="F430" s="36"/>
      <c r="G430" s="36"/>
      <c r="H430" s="192"/>
      <c r="I430" s="192"/>
      <c r="J430" s="24" t="s">
        <v>3479</v>
      </c>
      <c r="K430" s="60"/>
      <c r="L430" s="65"/>
      <c r="M430" s="10">
        <v>2</v>
      </c>
      <c r="N430" s="72"/>
      <c r="O430" s="77"/>
      <c r="P430" s="65"/>
    </row>
    <row r="431" spans="1:16">
      <c r="A431" s="15">
        <v>428</v>
      </c>
      <c r="B431" s="15" t="s">
        <v>3048</v>
      </c>
      <c r="C431" s="15" t="s">
        <v>3446</v>
      </c>
      <c r="D431" s="36" t="s">
        <v>29</v>
      </c>
      <c r="E431" s="36"/>
      <c r="F431" s="36"/>
      <c r="G431" s="36"/>
      <c r="H431" s="192"/>
      <c r="I431" s="192"/>
      <c r="J431" s="24" t="s">
        <v>3479</v>
      </c>
      <c r="K431" s="60"/>
      <c r="L431" s="65"/>
      <c r="M431" s="10">
        <v>2</v>
      </c>
      <c r="N431" s="72"/>
      <c r="O431" s="77"/>
      <c r="P431" s="65"/>
    </row>
    <row r="432" spans="1:16">
      <c r="A432" s="15">
        <v>429</v>
      </c>
      <c r="B432" s="15" t="s">
        <v>3048</v>
      </c>
      <c r="C432" s="15">
        <v>601</v>
      </c>
      <c r="D432" s="36" t="s">
        <v>29</v>
      </c>
      <c r="E432" s="36"/>
      <c r="F432" s="36"/>
      <c r="G432" s="36"/>
      <c r="H432" s="192"/>
      <c r="I432" s="192"/>
      <c r="J432" s="24" t="s">
        <v>3479</v>
      </c>
      <c r="K432" s="60"/>
      <c r="L432" s="65"/>
      <c r="M432" s="10">
        <v>2</v>
      </c>
      <c r="N432" s="72"/>
      <c r="O432" s="77"/>
      <c r="P432" s="65"/>
    </row>
    <row r="433" spans="1:16">
      <c r="A433" s="15">
        <v>430</v>
      </c>
      <c r="B433" s="15" t="s">
        <v>3048</v>
      </c>
      <c r="C433" s="15">
        <v>602</v>
      </c>
      <c r="D433" s="36" t="s">
        <v>29</v>
      </c>
      <c r="E433" s="36"/>
      <c r="F433" s="36"/>
      <c r="G433" s="36"/>
      <c r="H433" s="192"/>
      <c r="I433" s="192"/>
      <c r="J433" s="24" t="s">
        <v>3479</v>
      </c>
      <c r="K433" s="60"/>
      <c r="L433" s="65"/>
      <c r="M433" s="10">
        <v>2</v>
      </c>
      <c r="N433" s="72"/>
      <c r="O433" s="77"/>
      <c r="P433" s="65"/>
    </row>
    <row r="434" spans="1:16">
      <c r="A434" s="15">
        <v>431</v>
      </c>
      <c r="B434" s="15" t="s">
        <v>3048</v>
      </c>
      <c r="C434" s="15" t="s">
        <v>3494</v>
      </c>
      <c r="D434" s="36" t="s">
        <v>29</v>
      </c>
      <c r="E434" s="36"/>
      <c r="F434" s="36"/>
      <c r="G434" s="36"/>
      <c r="H434" s="192"/>
      <c r="I434" s="192"/>
      <c r="J434" s="24" t="s">
        <v>3479</v>
      </c>
      <c r="K434" s="60"/>
      <c r="L434" s="65"/>
      <c r="M434" s="10">
        <v>2</v>
      </c>
      <c r="N434" s="72"/>
      <c r="O434" s="77"/>
      <c r="P434" s="65"/>
    </row>
    <row r="435" spans="1:16">
      <c r="A435" s="15">
        <v>432</v>
      </c>
      <c r="B435" s="15" t="s">
        <v>3048</v>
      </c>
      <c r="C435" s="15" t="s">
        <v>3495</v>
      </c>
      <c r="D435" s="36" t="s">
        <v>29</v>
      </c>
      <c r="E435" s="36"/>
      <c r="F435" s="36"/>
      <c r="G435" s="36"/>
      <c r="H435" s="192"/>
      <c r="I435" s="192"/>
      <c r="J435" s="24" t="s">
        <v>3479</v>
      </c>
      <c r="K435" s="60"/>
      <c r="L435" s="65"/>
      <c r="M435" s="10">
        <v>2</v>
      </c>
      <c r="N435" s="72"/>
      <c r="O435" s="77"/>
      <c r="P435" s="65"/>
    </row>
    <row r="436" spans="1:16">
      <c r="A436" s="15">
        <v>433</v>
      </c>
      <c r="B436" s="15" t="s">
        <v>3048</v>
      </c>
      <c r="C436" s="15" t="s">
        <v>3496</v>
      </c>
      <c r="D436" s="36" t="s">
        <v>29</v>
      </c>
      <c r="E436" s="36"/>
      <c r="F436" s="36"/>
      <c r="G436" s="36"/>
      <c r="H436" s="192"/>
      <c r="I436" s="192"/>
      <c r="J436" s="24" t="s">
        <v>3479</v>
      </c>
      <c r="K436" s="60"/>
      <c r="L436" s="65"/>
      <c r="M436" s="10">
        <v>2</v>
      </c>
      <c r="N436" s="72"/>
      <c r="O436" s="77"/>
      <c r="P436" s="65"/>
    </row>
    <row r="437" spans="1:16">
      <c r="A437" s="15">
        <v>434</v>
      </c>
      <c r="B437" s="15" t="s">
        <v>3048</v>
      </c>
      <c r="C437" s="15" t="s">
        <v>3497</v>
      </c>
      <c r="D437" s="36" t="s">
        <v>29</v>
      </c>
      <c r="E437" s="36"/>
      <c r="F437" s="36"/>
      <c r="G437" s="36"/>
      <c r="H437" s="192"/>
      <c r="I437" s="192"/>
      <c r="J437" s="24" t="s">
        <v>3479</v>
      </c>
      <c r="K437" s="60"/>
      <c r="L437" s="65"/>
      <c r="M437" s="10">
        <v>2</v>
      </c>
      <c r="N437" s="72"/>
      <c r="O437" s="77"/>
      <c r="P437" s="65"/>
    </row>
    <row r="438" spans="1:16">
      <c r="A438" s="15">
        <v>435</v>
      </c>
      <c r="B438" s="15" t="s">
        <v>3048</v>
      </c>
      <c r="C438" s="15" t="s">
        <v>3498</v>
      </c>
      <c r="D438" s="36" t="s">
        <v>29</v>
      </c>
      <c r="E438" s="36"/>
      <c r="F438" s="36"/>
      <c r="G438" s="36"/>
      <c r="H438" s="192"/>
      <c r="I438" s="192"/>
      <c r="J438" s="24" t="s">
        <v>3479</v>
      </c>
      <c r="K438" s="60"/>
      <c r="L438" s="65"/>
      <c r="M438" s="10">
        <v>2</v>
      </c>
      <c r="N438" s="72"/>
      <c r="O438" s="77"/>
      <c r="P438" s="65"/>
    </row>
    <row r="439" spans="1:16">
      <c r="A439" s="15">
        <v>436</v>
      </c>
      <c r="B439" s="15" t="s">
        <v>2053</v>
      </c>
      <c r="C439" s="15" t="s">
        <v>3325</v>
      </c>
      <c r="D439" s="36" t="s">
        <v>29</v>
      </c>
      <c r="E439" s="36"/>
      <c r="F439" s="36"/>
      <c r="G439" s="36"/>
      <c r="H439" s="192"/>
      <c r="I439" s="192"/>
      <c r="J439" s="24" t="s">
        <v>3479</v>
      </c>
      <c r="K439" s="60"/>
      <c r="L439" s="65"/>
      <c r="M439" s="10">
        <v>2</v>
      </c>
      <c r="N439" s="72"/>
      <c r="O439" s="77"/>
      <c r="P439" s="65"/>
    </row>
    <row r="440" spans="1:16">
      <c r="A440" s="15">
        <v>437</v>
      </c>
      <c r="B440" s="15" t="s">
        <v>2053</v>
      </c>
      <c r="C440" s="15" t="s">
        <v>3200</v>
      </c>
      <c r="D440" s="36" t="s">
        <v>29</v>
      </c>
      <c r="E440" s="36"/>
      <c r="F440" s="36"/>
      <c r="G440" s="36"/>
      <c r="H440" s="192"/>
      <c r="I440" s="192"/>
      <c r="J440" s="24" t="s">
        <v>3479</v>
      </c>
      <c r="K440" s="60"/>
      <c r="L440" s="65"/>
      <c r="M440" s="10">
        <v>2</v>
      </c>
      <c r="N440" s="72"/>
      <c r="O440" s="77"/>
      <c r="P440" s="65"/>
    </row>
    <row r="441" spans="1:16">
      <c r="A441" s="15">
        <v>438</v>
      </c>
      <c r="B441" s="15" t="s">
        <v>2053</v>
      </c>
      <c r="C441" s="15" t="s">
        <v>3358</v>
      </c>
      <c r="D441" s="36" t="s">
        <v>29</v>
      </c>
      <c r="E441" s="36"/>
      <c r="F441" s="36"/>
      <c r="G441" s="36"/>
      <c r="H441" s="192"/>
      <c r="I441" s="192"/>
      <c r="J441" s="24" t="s">
        <v>3479</v>
      </c>
      <c r="K441" s="60"/>
      <c r="L441" s="65"/>
      <c r="M441" s="10">
        <v>2</v>
      </c>
      <c r="N441" s="72"/>
      <c r="O441" s="77"/>
      <c r="P441" s="65"/>
    </row>
    <row r="442" spans="1:16">
      <c r="A442" s="15">
        <v>439</v>
      </c>
      <c r="B442" s="15" t="s">
        <v>2053</v>
      </c>
      <c r="C442" s="15" t="s">
        <v>2563</v>
      </c>
      <c r="D442" s="36" t="s">
        <v>29</v>
      </c>
      <c r="E442" s="36"/>
      <c r="F442" s="36"/>
      <c r="G442" s="36"/>
      <c r="H442" s="192"/>
      <c r="I442" s="192"/>
      <c r="J442" s="24" t="s">
        <v>3479</v>
      </c>
      <c r="K442" s="60"/>
      <c r="L442" s="65"/>
      <c r="M442" s="10">
        <v>2</v>
      </c>
      <c r="N442" s="72"/>
      <c r="O442" s="77"/>
      <c r="P442" s="65"/>
    </row>
    <row r="443" spans="1:16">
      <c r="A443" s="15">
        <v>440</v>
      </c>
      <c r="B443" s="15" t="s">
        <v>2053</v>
      </c>
      <c r="C443" s="15" t="s">
        <v>3359</v>
      </c>
      <c r="D443" s="36" t="s">
        <v>29</v>
      </c>
      <c r="E443" s="36"/>
      <c r="F443" s="36"/>
      <c r="G443" s="36"/>
      <c r="H443" s="192"/>
      <c r="I443" s="192"/>
      <c r="J443" s="24" t="s">
        <v>3479</v>
      </c>
      <c r="K443" s="60"/>
      <c r="L443" s="65"/>
      <c r="M443" s="10">
        <v>2</v>
      </c>
      <c r="N443" s="72"/>
      <c r="O443" s="77"/>
      <c r="P443" s="65"/>
    </row>
    <row r="444" spans="1:16">
      <c r="A444" s="15">
        <v>441</v>
      </c>
      <c r="B444" s="15" t="s">
        <v>2053</v>
      </c>
      <c r="C444" s="15" t="s">
        <v>3490</v>
      </c>
      <c r="D444" s="36" t="s">
        <v>29</v>
      </c>
      <c r="E444" s="36"/>
      <c r="F444" s="36"/>
      <c r="G444" s="36"/>
      <c r="H444" s="192"/>
      <c r="I444" s="192"/>
      <c r="J444" s="9" t="s">
        <v>3479</v>
      </c>
      <c r="K444" s="60"/>
      <c r="L444" s="65"/>
      <c r="M444" s="10">
        <v>2</v>
      </c>
      <c r="N444" s="72"/>
      <c r="O444" s="77"/>
      <c r="P444" s="65"/>
    </row>
    <row r="445" spans="1:16">
      <c r="A445" s="15">
        <v>442</v>
      </c>
      <c r="B445" s="15" t="s">
        <v>2055</v>
      </c>
      <c r="C445" s="15">
        <v>101</v>
      </c>
      <c r="D445" s="36"/>
      <c r="E445" s="36"/>
      <c r="F445" s="18" t="s">
        <v>3142</v>
      </c>
      <c r="G445" s="36"/>
      <c r="H445" s="192" t="s">
        <v>3499</v>
      </c>
      <c r="I445" s="192">
        <v>28020531</v>
      </c>
      <c r="J445" s="9"/>
      <c r="K445" s="60"/>
      <c r="L445" s="65"/>
      <c r="M445" s="10">
        <v>1</v>
      </c>
      <c r="N445" s="72"/>
      <c r="O445" s="77"/>
      <c r="P445" s="65"/>
    </row>
    <row r="446" spans="1:16">
      <c r="A446" s="15">
        <v>443</v>
      </c>
      <c r="B446" s="15" t="s">
        <v>2055</v>
      </c>
      <c r="C446" s="15">
        <v>102</v>
      </c>
      <c r="D446" s="36"/>
      <c r="E446" s="36"/>
      <c r="F446" s="18" t="s">
        <v>3142</v>
      </c>
      <c r="G446" s="36"/>
      <c r="H446" s="192"/>
      <c r="I446" s="192"/>
      <c r="J446" s="9"/>
      <c r="K446" s="60"/>
      <c r="L446" s="65"/>
      <c r="M446" s="10">
        <v>1</v>
      </c>
      <c r="N446" s="72"/>
      <c r="O446" s="77"/>
      <c r="P446" s="65"/>
    </row>
    <row r="447" spans="1:16">
      <c r="A447" s="15">
        <v>444</v>
      </c>
      <c r="B447" s="15" t="s">
        <v>2055</v>
      </c>
      <c r="C447" s="15">
        <v>103</v>
      </c>
      <c r="D447" s="36"/>
      <c r="E447" s="36"/>
      <c r="F447" s="18" t="s">
        <v>3142</v>
      </c>
      <c r="G447" s="36"/>
      <c r="H447" s="192" t="s">
        <v>3500</v>
      </c>
      <c r="I447" s="192">
        <v>21246049</v>
      </c>
      <c r="J447" s="9"/>
      <c r="K447" s="60"/>
      <c r="L447" s="65"/>
      <c r="M447" s="10">
        <v>1</v>
      </c>
      <c r="N447" s="72"/>
      <c r="O447" s="77"/>
      <c r="P447" s="65"/>
    </row>
    <row r="448" spans="1:16">
      <c r="A448" s="15">
        <v>445</v>
      </c>
      <c r="B448" s="15" t="s">
        <v>2055</v>
      </c>
      <c r="C448" s="15">
        <v>201</v>
      </c>
      <c r="D448" s="36"/>
      <c r="E448" s="36"/>
      <c r="F448" s="18" t="s">
        <v>3142</v>
      </c>
      <c r="G448" s="36"/>
      <c r="H448" s="192"/>
      <c r="I448" s="192"/>
      <c r="J448" s="9"/>
      <c r="K448" s="60"/>
      <c r="L448" s="65"/>
      <c r="M448" s="10">
        <v>1</v>
      </c>
      <c r="N448" s="72"/>
      <c r="O448" s="77"/>
      <c r="P448" s="65"/>
    </row>
    <row r="449" spans="1:16">
      <c r="A449" s="15">
        <v>446</v>
      </c>
      <c r="B449" s="15" t="s">
        <v>2055</v>
      </c>
      <c r="C449" s="15">
        <v>202</v>
      </c>
      <c r="D449" s="36"/>
      <c r="E449" s="36"/>
      <c r="F449" s="18" t="s">
        <v>3142</v>
      </c>
      <c r="G449" s="36"/>
      <c r="H449" s="192" t="s">
        <v>3501</v>
      </c>
      <c r="I449" s="192">
        <v>21246048</v>
      </c>
      <c r="J449" s="9"/>
      <c r="K449" s="60"/>
      <c r="L449" s="65"/>
      <c r="M449" s="10">
        <v>1</v>
      </c>
      <c r="N449" s="72"/>
      <c r="O449" s="77"/>
      <c r="P449" s="65"/>
    </row>
    <row r="450" spans="1:16">
      <c r="A450" s="15">
        <v>447</v>
      </c>
      <c r="B450" s="15" t="s">
        <v>2055</v>
      </c>
      <c r="C450" s="15">
        <v>203</v>
      </c>
      <c r="D450" s="36"/>
      <c r="E450" s="36"/>
      <c r="F450" s="18" t="s">
        <v>3142</v>
      </c>
      <c r="G450" s="36"/>
      <c r="H450" s="192" t="s">
        <v>3502</v>
      </c>
      <c r="I450" s="192">
        <v>21964634</v>
      </c>
      <c r="J450" s="9"/>
      <c r="K450" s="60"/>
      <c r="L450" s="65"/>
      <c r="M450" s="10">
        <v>1</v>
      </c>
      <c r="N450" s="72"/>
      <c r="O450" s="77"/>
      <c r="P450" s="65"/>
    </row>
    <row r="451" spans="1:16">
      <c r="A451" s="15">
        <v>448</v>
      </c>
      <c r="B451" s="15" t="s">
        <v>2055</v>
      </c>
      <c r="C451" s="15">
        <v>301</v>
      </c>
      <c r="D451" s="36"/>
      <c r="E451" s="36"/>
      <c r="F451" s="18" t="s">
        <v>3142</v>
      </c>
      <c r="G451" s="36"/>
      <c r="H451" s="192"/>
      <c r="I451" s="192"/>
      <c r="J451" s="9"/>
      <c r="K451" s="60"/>
      <c r="L451" s="65"/>
      <c r="M451" s="10">
        <v>1</v>
      </c>
      <c r="N451" s="72"/>
      <c r="O451" s="77"/>
      <c r="P451" s="65"/>
    </row>
    <row r="452" spans="1:16">
      <c r="A452" s="15">
        <v>449</v>
      </c>
      <c r="B452" s="15" t="s">
        <v>2055</v>
      </c>
      <c r="C452" s="15">
        <v>302</v>
      </c>
      <c r="D452" s="36"/>
      <c r="E452" s="36"/>
      <c r="F452" s="18" t="s">
        <v>3142</v>
      </c>
      <c r="G452" s="36"/>
      <c r="H452" s="192" t="s">
        <v>3503</v>
      </c>
      <c r="I452" s="192">
        <v>27837787</v>
      </c>
      <c r="J452" s="9"/>
      <c r="K452" s="60"/>
      <c r="L452" s="65"/>
      <c r="M452" s="10">
        <v>1</v>
      </c>
      <c r="N452" s="72"/>
      <c r="O452" s="77"/>
      <c r="P452" s="65"/>
    </row>
    <row r="453" spans="1:16">
      <c r="A453" s="15">
        <v>450</v>
      </c>
      <c r="B453" s="15" t="s">
        <v>2055</v>
      </c>
      <c r="C453" s="15">
        <v>303</v>
      </c>
      <c r="D453" s="36"/>
      <c r="E453" s="36"/>
      <c r="F453" s="18" t="s">
        <v>3142</v>
      </c>
      <c r="G453" s="36"/>
      <c r="H453" s="192"/>
      <c r="I453" s="192"/>
      <c r="J453" s="9"/>
      <c r="K453" s="60"/>
      <c r="L453" s="65"/>
      <c r="M453" s="10">
        <v>1</v>
      </c>
      <c r="N453" s="72"/>
      <c r="O453" s="77"/>
      <c r="P453" s="65"/>
    </row>
    <row r="454" spans="1:16">
      <c r="A454" s="15">
        <v>451</v>
      </c>
      <c r="B454" s="15" t="s">
        <v>2055</v>
      </c>
      <c r="C454" s="15">
        <v>401</v>
      </c>
      <c r="D454" s="36"/>
      <c r="E454" s="36"/>
      <c r="F454" s="18" t="s">
        <v>3142</v>
      </c>
      <c r="G454" s="36"/>
      <c r="H454" s="192"/>
      <c r="I454" s="192"/>
      <c r="J454" s="9"/>
      <c r="K454" s="60"/>
      <c r="L454" s="65"/>
      <c r="M454" s="10">
        <v>1</v>
      </c>
      <c r="N454" s="72"/>
      <c r="O454" s="77"/>
      <c r="P454" s="65"/>
    </row>
    <row r="455" spans="1:16">
      <c r="A455" s="15">
        <v>452</v>
      </c>
      <c r="B455" s="15" t="s">
        <v>3062</v>
      </c>
      <c r="C455" s="15" t="s">
        <v>3325</v>
      </c>
      <c r="D455" s="36" t="s">
        <v>29</v>
      </c>
      <c r="E455" s="36"/>
      <c r="F455" s="36" t="s">
        <v>3504</v>
      </c>
      <c r="G455" s="36"/>
      <c r="H455" s="192"/>
      <c r="I455" s="192"/>
      <c r="J455" s="9" t="s">
        <v>1965</v>
      </c>
      <c r="K455" s="60"/>
      <c r="L455" s="65"/>
      <c r="M455" s="10">
        <v>2</v>
      </c>
      <c r="N455" s="72"/>
      <c r="O455" s="77"/>
      <c r="P455" s="65"/>
    </row>
    <row r="456" spans="1:16">
      <c r="A456" s="15">
        <v>453</v>
      </c>
      <c r="B456" s="15" t="s">
        <v>3062</v>
      </c>
      <c r="C456" s="15">
        <v>101</v>
      </c>
      <c r="D456" s="36" t="s">
        <v>29</v>
      </c>
      <c r="E456" s="36"/>
      <c r="F456" s="36" t="s">
        <v>3504</v>
      </c>
      <c r="G456" s="36"/>
      <c r="H456" s="192"/>
      <c r="I456" s="192"/>
      <c r="J456" s="9" t="s">
        <v>1965</v>
      </c>
      <c r="K456" s="60"/>
      <c r="L456" s="65"/>
      <c r="M456" s="10">
        <v>2</v>
      </c>
      <c r="N456" s="72"/>
      <c r="O456" s="77"/>
      <c r="P456" s="65"/>
    </row>
    <row r="457" spans="1:16">
      <c r="A457" s="15">
        <v>454</v>
      </c>
      <c r="B457" s="15" t="s">
        <v>3062</v>
      </c>
      <c r="C457" s="15">
        <v>102</v>
      </c>
      <c r="D457" s="36" t="s">
        <v>29</v>
      </c>
      <c r="E457" s="36"/>
      <c r="F457" s="36" t="s">
        <v>3504</v>
      </c>
      <c r="G457" s="36"/>
      <c r="H457" s="192"/>
      <c r="I457" s="192"/>
      <c r="J457" s="9" t="s">
        <v>1965</v>
      </c>
      <c r="K457" s="60"/>
      <c r="L457" s="65"/>
      <c r="M457" s="10">
        <v>2</v>
      </c>
      <c r="N457" s="72"/>
      <c r="O457" s="77"/>
      <c r="P457" s="65"/>
    </row>
    <row r="458" spans="1:16">
      <c r="A458" s="15">
        <v>455</v>
      </c>
      <c r="B458" s="15" t="s">
        <v>3062</v>
      </c>
      <c r="C458" s="15">
        <v>103</v>
      </c>
      <c r="D458" s="36" t="s">
        <v>29</v>
      </c>
      <c r="E458" s="36"/>
      <c r="F458" s="36" t="s">
        <v>3504</v>
      </c>
      <c r="G458" s="36"/>
      <c r="H458" s="192"/>
      <c r="I458" s="192"/>
      <c r="J458" s="9" t="s">
        <v>1965</v>
      </c>
      <c r="K458" s="60"/>
      <c r="L458" s="65"/>
      <c r="M458" s="10">
        <v>2</v>
      </c>
      <c r="N458" s="72"/>
      <c r="O458" s="77"/>
      <c r="P458" s="65"/>
    </row>
    <row r="459" spans="1:16">
      <c r="A459" s="15">
        <v>456</v>
      </c>
      <c r="B459" s="15" t="s">
        <v>3062</v>
      </c>
      <c r="C459" s="15">
        <v>201</v>
      </c>
      <c r="D459" s="36" t="s">
        <v>29</v>
      </c>
      <c r="E459" s="36"/>
      <c r="F459" s="36" t="s">
        <v>3504</v>
      </c>
      <c r="G459" s="36"/>
      <c r="H459" s="192"/>
      <c r="I459" s="192"/>
      <c r="J459" s="9" t="s">
        <v>1965</v>
      </c>
      <c r="K459" s="60"/>
      <c r="L459" s="65"/>
      <c r="M459" s="10">
        <v>2</v>
      </c>
      <c r="N459" s="72"/>
      <c r="O459" s="77"/>
      <c r="P459" s="65"/>
    </row>
    <row r="460" spans="1:16">
      <c r="A460" s="15">
        <v>457</v>
      </c>
      <c r="B460" s="15" t="s">
        <v>3062</v>
      </c>
      <c r="C460" s="15">
        <v>202</v>
      </c>
      <c r="D460" s="36" t="s">
        <v>29</v>
      </c>
      <c r="E460" s="36"/>
      <c r="F460" s="36" t="s">
        <v>3504</v>
      </c>
      <c r="G460" s="36"/>
      <c r="H460" s="192"/>
      <c r="I460" s="192"/>
      <c r="J460" s="9" t="s">
        <v>1965</v>
      </c>
      <c r="K460" s="60"/>
      <c r="L460" s="65"/>
      <c r="M460" s="10">
        <v>2</v>
      </c>
      <c r="N460" s="72"/>
      <c r="O460" s="77"/>
      <c r="P460" s="65"/>
    </row>
    <row r="461" spans="1:16">
      <c r="A461" s="15">
        <v>458</v>
      </c>
      <c r="B461" s="15" t="s">
        <v>3062</v>
      </c>
      <c r="C461" s="15">
        <v>301</v>
      </c>
      <c r="D461" s="36" t="s">
        <v>29</v>
      </c>
      <c r="E461" s="36"/>
      <c r="F461" s="36" t="s">
        <v>3504</v>
      </c>
      <c r="G461" s="36"/>
      <c r="H461" s="192"/>
      <c r="I461" s="192"/>
      <c r="J461" s="9" t="s">
        <v>1965</v>
      </c>
      <c r="K461" s="60"/>
      <c r="L461" s="65"/>
      <c r="M461" s="10">
        <v>2</v>
      </c>
      <c r="N461" s="72"/>
      <c r="O461" s="77"/>
      <c r="P461" s="65"/>
    </row>
    <row r="462" spans="1:16">
      <c r="A462" s="15">
        <v>459</v>
      </c>
      <c r="B462" s="15" t="s">
        <v>3062</v>
      </c>
      <c r="C462" s="15">
        <v>401</v>
      </c>
      <c r="D462" s="36" t="s">
        <v>29</v>
      </c>
      <c r="E462" s="36"/>
      <c r="F462" s="36" t="s">
        <v>3504</v>
      </c>
      <c r="G462" s="36"/>
      <c r="H462" s="192"/>
      <c r="I462" s="192"/>
      <c r="J462" s="9" t="s">
        <v>1965</v>
      </c>
      <c r="K462" s="60"/>
      <c r="L462" s="65"/>
      <c r="M462" s="10">
        <v>2</v>
      </c>
      <c r="N462" s="72"/>
      <c r="O462" s="77"/>
      <c r="P462" s="65"/>
    </row>
    <row r="463" spans="1:16">
      <c r="A463" s="15">
        <v>460</v>
      </c>
      <c r="B463" s="15" t="s">
        <v>3069</v>
      </c>
      <c r="C463" s="15" t="s">
        <v>3325</v>
      </c>
      <c r="D463" s="36" t="s">
        <v>29</v>
      </c>
      <c r="E463" s="36"/>
      <c r="F463" s="18" t="s">
        <v>3505</v>
      </c>
      <c r="G463" s="36"/>
      <c r="H463" s="192"/>
      <c r="I463" s="192"/>
      <c r="J463" s="9" t="s">
        <v>1965</v>
      </c>
      <c r="K463" s="60"/>
      <c r="L463" s="65"/>
      <c r="M463" s="10">
        <v>2</v>
      </c>
      <c r="N463" s="72"/>
      <c r="O463" s="77"/>
      <c r="P463" s="65"/>
    </row>
    <row r="464" spans="1:16">
      <c r="A464" s="15">
        <v>461</v>
      </c>
      <c r="B464" s="15" t="s">
        <v>3069</v>
      </c>
      <c r="C464" s="15">
        <v>101</v>
      </c>
      <c r="D464" s="36" t="s">
        <v>29</v>
      </c>
      <c r="E464" s="36"/>
      <c r="F464" s="18" t="s">
        <v>3505</v>
      </c>
      <c r="G464" s="36"/>
      <c r="H464" s="192"/>
      <c r="I464" s="192"/>
      <c r="J464" s="9" t="s">
        <v>1965</v>
      </c>
      <c r="K464" s="60"/>
      <c r="L464" s="65"/>
      <c r="M464" s="10">
        <v>2</v>
      </c>
      <c r="N464" s="72"/>
      <c r="O464" s="77"/>
      <c r="P464" s="65"/>
    </row>
    <row r="465" spans="1:16">
      <c r="A465" s="15">
        <v>462</v>
      </c>
      <c r="B465" s="15" t="s">
        <v>3069</v>
      </c>
      <c r="C465" s="15">
        <v>102</v>
      </c>
      <c r="D465" s="36" t="s">
        <v>29</v>
      </c>
      <c r="E465" s="36"/>
      <c r="F465" s="18" t="s">
        <v>3505</v>
      </c>
      <c r="G465" s="36"/>
      <c r="H465" s="192"/>
      <c r="I465" s="192"/>
      <c r="J465" s="9" t="s">
        <v>1965</v>
      </c>
      <c r="K465" s="60"/>
      <c r="L465" s="65"/>
      <c r="M465" s="10">
        <v>2</v>
      </c>
      <c r="N465" s="72"/>
      <c r="O465" s="77"/>
      <c r="P465" s="65"/>
    </row>
    <row r="466" spans="1:16">
      <c r="A466" s="15">
        <v>463</v>
      </c>
      <c r="B466" s="15" t="s">
        <v>3069</v>
      </c>
      <c r="C466" s="15">
        <v>103</v>
      </c>
      <c r="D466" s="36" t="s">
        <v>29</v>
      </c>
      <c r="E466" s="36"/>
      <c r="F466" s="18" t="s">
        <v>3505</v>
      </c>
      <c r="G466" s="36"/>
      <c r="H466" s="192"/>
      <c r="I466" s="192"/>
      <c r="J466" s="9" t="s">
        <v>1965</v>
      </c>
      <c r="K466" s="60"/>
      <c r="L466" s="65"/>
      <c r="M466" s="10">
        <v>2</v>
      </c>
      <c r="N466" s="72"/>
      <c r="O466" s="77"/>
      <c r="P466" s="65"/>
    </row>
    <row r="467" spans="1:16">
      <c r="A467" s="15">
        <v>464</v>
      </c>
      <c r="B467" s="15" t="s">
        <v>3069</v>
      </c>
      <c r="C467" s="15">
        <v>104</v>
      </c>
      <c r="D467" s="36" t="s">
        <v>29</v>
      </c>
      <c r="E467" s="36"/>
      <c r="F467" s="18" t="s">
        <v>3505</v>
      </c>
      <c r="G467" s="36"/>
      <c r="H467" s="192"/>
      <c r="I467" s="192"/>
      <c r="J467" s="9" t="s">
        <v>1965</v>
      </c>
      <c r="K467" s="60"/>
      <c r="L467" s="65"/>
      <c r="M467" s="10">
        <v>2</v>
      </c>
      <c r="N467" s="72"/>
      <c r="O467" s="77"/>
      <c r="P467" s="65"/>
    </row>
    <row r="468" spans="1:16">
      <c r="A468" s="15">
        <v>465</v>
      </c>
      <c r="B468" s="15" t="s">
        <v>3069</v>
      </c>
      <c r="C468" s="15">
        <v>105</v>
      </c>
      <c r="D468" s="36" t="s">
        <v>29</v>
      </c>
      <c r="E468" s="36"/>
      <c r="F468" s="18" t="s">
        <v>3505</v>
      </c>
      <c r="G468" s="36"/>
      <c r="H468" s="192"/>
      <c r="I468" s="192"/>
      <c r="J468" s="9" t="s">
        <v>1965</v>
      </c>
      <c r="K468" s="60"/>
      <c r="L468" s="65"/>
      <c r="M468" s="10">
        <v>2</v>
      </c>
      <c r="N468" s="72"/>
      <c r="O468" s="77"/>
      <c r="P468" s="65"/>
    </row>
    <row r="469" spans="1:16">
      <c r="A469" s="15">
        <v>466</v>
      </c>
      <c r="B469" s="15" t="s">
        <v>3069</v>
      </c>
      <c r="C469" s="15">
        <v>201</v>
      </c>
      <c r="D469" s="36" t="s">
        <v>29</v>
      </c>
      <c r="E469" s="36"/>
      <c r="F469" s="18" t="s">
        <v>3505</v>
      </c>
      <c r="G469" s="36"/>
      <c r="H469" s="192"/>
      <c r="I469" s="192"/>
      <c r="J469" s="9" t="s">
        <v>1965</v>
      </c>
      <c r="K469" s="60"/>
      <c r="L469" s="65"/>
      <c r="M469" s="10">
        <v>2</v>
      </c>
      <c r="N469" s="72"/>
      <c r="O469" s="77"/>
      <c r="P469" s="65"/>
    </row>
    <row r="470" spans="1:16">
      <c r="A470" s="15">
        <v>467</v>
      </c>
      <c r="B470" s="15" t="s">
        <v>3069</v>
      </c>
      <c r="C470" s="15">
        <v>202</v>
      </c>
      <c r="D470" s="36" t="s">
        <v>29</v>
      </c>
      <c r="E470" s="36"/>
      <c r="F470" s="18" t="s">
        <v>3505</v>
      </c>
      <c r="G470" s="36"/>
      <c r="H470" s="192"/>
      <c r="I470" s="192"/>
      <c r="J470" s="9" t="s">
        <v>1965</v>
      </c>
      <c r="K470" s="60"/>
      <c r="L470" s="65"/>
      <c r="M470" s="10">
        <v>2</v>
      </c>
      <c r="N470" s="72"/>
      <c r="O470" s="77"/>
      <c r="P470" s="65"/>
    </row>
    <row r="471" spans="1:16">
      <c r="A471" s="15">
        <v>468</v>
      </c>
      <c r="B471" s="15" t="s">
        <v>3069</v>
      </c>
      <c r="C471" s="15">
        <v>301</v>
      </c>
      <c r="D471" s="36" t="s">
        <v>29</v>
      </c>
      <c r="E471" s="36"/>
      <c r="F471" s="18" t="s">
        <v>3505</v>
      </c>
      <c r="G471" s="36"/>
      <c r="H471" s="192"/>
      <c r="I471" s="192"/>
      <c r="J471" s="9" t="s">
        <v>1965</v>
      </c>
      <c r="K471" s="60"/>
      <c r="L471" s="65"/>
      <c r="M471" s="10">
        <v>2</v>
      </c>
      <c r="N471" s="72"/>
      <c r="O471" s="77"/>
      <c r="P471" s="65"/>
    </row>
    <row r="472" spans="1:16">
      <c r="A472" s="15">
        <v>469</v>
      </c>
      <c r="B472" s="15" t="s">
        <v>3069</v>
      </c>
      <c r="C472" s="15">
        <v>302</v>
      </c>
      <c r="D472" s="36" t="s">
        <v>29</v>
      </c>
      <c r="E472" s="36"/>
      <c r="F472" s="18" t="s">
        <v>3505</v>
      </c>
      <c r="G472" s="36"/>
      <c r="H472" s="192"/>
      <c r="I472" s="192"/>
      <c r="J472" s="9" t="s">
        <v>1965</v>
      </c>
      <c r="K472" s="60"/>
      <c r="L472" s="65"/>
      <c r="M472" s="10">
        <v>2</v>
      </c>
      <c r="N472" s="72"/>
      <c r="O472" s="77"/>
      <c r="P472" s="65"/>
    </row>
    <row r="473" spans="1:16">
      <c r="A473" s="15">
        <v>470</v>
      </c>
      <c r="B473" s="15" t="s">
        <v>3074</v>
      </c>
      <c r="C473" s="15" t="s">
        <v>3325</v>
      </c>
      <c r="D473" s="36" t="s">
        <v>29</v>
      </c>
      <c r="E473" s="36"/>
      <c r="F473" s="36" t="s">
        <v>3506</v>
      </c>
      <c r="G473" s="36"/>
      <c r="H473" s="192"/>
      <c r="I473" s="192"/>
      <c r="J473" s="9" t="s">
        <v>1965</v>
      </c>
      <c r="K473" s="60"/>
      <c r="L473" s="65"/>
      <c r="M473" s="10">
        <v>2</v>
      </c>
      <c r="N473" s="72"/>
      <c r="O473" s="77"/>
      <c r="P473" s="65"/>
    </row>
    <row r="474" spans="1:16">
      <c r="A474" s="15">
        <v>471</v>
      </c>
      <c r="B474" s="15" t="s">
        <v>3074</v>
      </c>
      <c r="C474" s="15">
        <v>101</v>
      </c>
      <c r="D474" s="36" t="s">
        <v>29</v>
      </c>
      <c r="E474" s="36"/>
      <c r="F474" s="36" t="s">
        <v>3506</v>
      </c>
      <c r="G474" s="36"/>
      <c r="H474" s="192"/>
      <c r="I474" s="192"/>
      <c r="J474" s="9" t="s">
        <v>1965</v>
      </c>
      <c r="K474" s="60"/>
      <c r="L474" s="65"/>
      <c r="M474" s="10">
        <v>2</v>
      </c>
      <c r="N474" s="72"/>
      <c r="O474" s="77"/>
      <c r="P474" s="65"/>
    </row>
    <row r="475" spans="1:16">
      <c r="A475" s="15">
        <v>472</v>
      </c>
      <c r="B475" s="15" t="s">
        <v>3074</v>
      </c>
      <c r="C475" s="15">
        <v>102</v>
      </c>
      <c r="D475" s="36" t="s">
        <v>29</v>
      </c>
      <c r="E475" s="36"/>
      <c r="F475" s="36" t="s">
        <v>3506</v>
      </c>
      <c r="G475" s="36"/>
      <c r="H475" s="192"/>
      <c r="I475" s="192"/>
      <c r="J475" s="9" t="s">
        <v>1965</v>
      </c>
      <c r="K475" s="60"/>
      <c r="L475" s="65"/>
      <c r="M475" s="10">
        <v>2</v>
      </c>
      <c r="N475" s="72"/>
      <c r="O475" s="77"/>
      <c r="P475" s="65"/>
    </row>
    <row r="476" spans="1:16">
      <c r="A476" s="15">
        <v>473</v>
      </c>
      <c r="B476" s="15" t="s">
        <v>3074</v>
      </c>
      <c r="C476" s="15">
        <v>103</v>
      </c>
      <c r="D476" s="36" t="s">
        <v>29</v>
      </c>
      <c r="E476" s="36"/>
      <c r="F476" s="36" t="s">
        <v>3506</v>
      </c>
      <c r="G476" s="36"/>
      <c r="H476" s="192"/>
      <c r="I476" s="192"/>
      <c r="J476" s="9" t="s">
        <v>1965</v>
      </c>
      <c r="K476" s="60"/>
      <c r="L476" s="65"/>
      <c r="M476" s="10">
        <v>2</v>
      </c>
      <c r="N476" s="72"/>
      <c r="O476" s="77"/>
      <c r="P476" s="65"/>
    </row>
    <row r="477" spans="1:16">
      <c r="A477" s="15">
        <v>474</v>
      </c>
      <c r="B477" s="15" t="s">
        <v>3074</v>
      </c>
      <c r="C477" s="15">
        <v>201</v>
      </c>
      <c r="D477" s="36" t="s">
        <v>29</v>
      </c>
      <c r="E477" s="36"/>
      <c r="F477" s="36" t="s">
        <v>3506</v>
      </c>
      <c r="G477" s="36"/>
      <c r="H477" s="192"/>
      <c r="I477" s="192"/>
      <c r="J477" s="9" t="s">
        <v>1965</v>
      </c>
      <c r="K477" s="60"/>
      <c r="L477" s="65"/>
      <c r="M477" s="10">
        <v>2</v>
      </c>
      <c r="N477" s="72"/>
      <c r="O477" s="77"/>
      <c r="P477" s="65"/>
    </row>
    <row r="478" spans="1:16">
      <c r="A478" s="15">
        <v>475</v>
      </c>
      <c r="B478" s="15" t="s">
        <v>3074</v>
      </c>
      <c r="C478" s="15">
        <v>202</v>
      </c>
      <c r="D478" s="36" t="s">
        <v>29</v>
      </c>
      <c r="E478" s="36"/>
      <c r="F478" s="36" t="s">
        <v>3506</v>
      </c>
      <c r="G478" s="36"/>
      <c r="H478" s="192"/>
      <c r="I478" s="192"/>
      <c r="J478" s="9" t="s">
        <v>1965</v>
      </c>
      <c r="K478" s="60"/>
      <c r="L478" s="65"/>
      <c r="M478" s="10">
        <v>2</v>
      </c>
      <c r="N478" s="72"/>
      <c r="O478" s="77"/>
      <c r="P478" s="65"/>
    </row>
    <row r="479" spans="1:16">
      <c r="A479" s="15">
        <v>476</v>
      </c>
      <c r="B479" s="15" t="s">
        <v>3074</v>
      </c>
      <c r="C479" s="15" t="s">
        <v>2563</v>
      </c>
      <c r="D479" s="36" t="s">
        <v>29</v>
      </c>
      <c r="E479" s="36"/>
      <c r="F479" s="36" t="s">
        <v>3506</v>
      </c>
      <c r="G479" s="36"/>
      <c r="H479" s="192"/>
      <c r="I479" s="192"/>
      <c r="J479" s="9" t="s">
        <v>1965</v>
      </c>
      <c r="K479" s="60"/>
      <c r="L479" s="65"/>
      <c r="M479" s="10">
        <v>2</v>
      </c>
      <c r="N479" s="72"/>
      <c r="O479" s="77"/>
      <c r="P479" s="65"/>
    </row>
    <row r="480" spans="1:16">
      <c r="A480" s="15">
        <v>477</v>
      </c>
      <c r="B480" s="15" t="s">
        <v>3074</v>
      </c>
      <c r="C480" s="15" t="s">
        <v>3359</v>
      </c>
      <c r="D480" s="36" t="s">
        <v>29</v>
      </c>
      <c r="E480" s="36"/>
      <c r="F480" s="36" t="s">
        <v>3506</v>
      </c>
      <c r="G480" s="36"/>
      <c r="H480" s="192"/>
      <c r="I480" s="192"/>
      <c r="J480" s="9" t="s">
        <v>1965</v>
      </c>
      <c r="K480" s="60"/>
      <c r="L480" s="65"/>
      <c r="M480" s="10">
        <v>2</v>
      </c>
      <c r="N480" s="72"/>
      <c r="O480" s="77"/>
      <c r="P480" s="65"/>
    </row>
    <row r="481" spans="1:16">
      <c r="A481" s="15">
        <v>478</v>
      </c>
      <c r="B481" s="15" t="s">
        <v>3074</v>
      </c>
      <c r="C481" s="15" t="s">
        <v>3490</v>
      </c>
      <c r="D481" s="36" t="s">
        <v>29</v>
      </c>
      <c r="E481" s="36"/>
      <c r="F481" s="36" t="s">
        <v>3506</v>
      </c>
      <c r="G481" s="36"/>
      <c r="H481" s="192"/>
      <c r="I481" s="192"/>
      <c r="J481" s="9" t="s">
        <v>1965</v>
      </c>
      <c r="K481" s="60"/>
      <c r="L481" s="65"/>
      <c r="M481" s="10">
        <v>2</v>
      </c>
      <c r="N481" s="72"/>
      <c r="O481" s="77"/>
      <c r="P481" s="65"/>
    </row>
    <row r="482" spans="1:16">
      <c r="A482" s="15">
        <v>479</v>
      </c>
      <c r="B482" s="15" t="s">
        <v>2058</v>
      </c>
      <c r="C482" s="15" t="s">
        <v>3325</v>
      </c>
      <c r="D482" s="36" t="s">
        <v>209</v>
      </c>
      <c r="E482" s="36"/>
      <c r="F482" s="36" t="s">
        <v>3507</v>
      </c>
      <c r="G482" s="36"/>
      <c r="H482" s="192"/>
      <c r="I482" s="192"/>
      <c r="J482" s="9" t="s">
        <v>3508</v>
      </c>
      <c r="K482" s="60"/>
      <c r="L482" s="65"/>
      <c r="M482" s="10">
        <v>2</v>
      </c>
      <c r="N482" s="72"/>
      <c r="O482" s="77"/>
      <c r="P482" s="65"/>
    </row>
    <row r="483" spans="1:16">
      <c r="A483" s="15">
        <v>480</v>
      </c>
      <c r="B483" s="15" t="s">
        <v>2058</v>
      </c>
      <c r="C483" s="15">
        <v>101</v>
      </c>
      <c r="D483" s="36" t="s">
        <v>209</v>
      </c>
      <c r="E483" s="36"/>
      <c r="F483" s="36" t="s">
        <v>3507</v>
      </c>
      <c r="G483" s="36"/>
      <c r="H483" s="192"/>
      <c r="I483" s="192"/>
      <c r="J483" s="9" t="s">
        <v>3508</v>
      </c>
      <c r="K483" s="60"/>
      <c r="L483" s="65"/>
      <c r="M483" s="10">
        <v>2</v>
      </c>
      <c r="N483" s="72"/>
      <c r="O483" s="77"/>
      <c r="P483" s="65"/>
    </row>
    <row r="484" spans="1:16">
      <c r="A484" s="15">
        <v>481</v>
      </c>
      <c r="B484" s="15" t="s">
        <v>2058</v>
      </c>
      <c r="C484" s="15">
        <v>102</v>
      </c>
      <c r="D484" s="36" t="s">
        <v>209</v>
      </c>
      <c r="E484" s="36"/>
      <c r="F484" s="36" t="s">
        <v>3507</v>
      </c>
      <c r="G484" s="36"/>
      <c r="H484" s="192"/>
      <c r="I484" s="192"/>
      <c r="J484" s="9" t="s">
        <v>3508</v>
      </c>
      <c r="K484" s="60"/>
      <c r="L484" s="65"/>
      <c r="M484" s="10">
        <v>2</v>
      </c>
      <c r="N484" s="72"/>
      <c r="O484" s="77"/>
      <c r="P484" s="65"/>
    </row>
    <row r="485" spans="1:16">
      <c r="A485" s="15">
        <v>482</v>
      </c>
      <c r="B485" s="15" t="s">
        <v>2058</v>
      </c>
      <c r="C485" s="15" t="s">
        <v>3358</v>
      </c>
      <c r="D485" s="36" t="s">
        <v>209</v>
      </c>
      <c r="E485" s="36"/>
      <c r="F485" s="36" t="s">
        <v>3507</v>
      </c>
      <c r="G485" s="36"/>
      <c r="H485" s="192"/>
      <c r="I485" s="192"/>
      <c r="J485" s="9" t="s">
        <v>3508</v>
      </c>
      <c r="K485" s="60"/>
      <c r="L485" s="65"/>
      <c r="M485" s="10">
        <v>2</v>
      </c>
      <c r="N485" s="72"/>
      <c r="O485" s="77"/>
      <c r="P485" s="65"/>
    </row>
    <row r="486" spans="1:16">
      <c r="A486" s="15">
        <v>483</v>
      </c>
      <c r="B486" s="15" t="s">
        <v>2058</v>
      </c>
      <c r="C486" s="15" t="s">
        <v>2563</v>
      </c>
      <c r="D486" s="36" t="s">
        <v>209</v>
      </c>
      <c r="E486" s="36"/>
      <c r="F486" s="36" t="s">
        <v>3507</v>
      </c>
      <c r="G486" s="36"/>
      <c r="H486" s="192"/>
      <c r="I486" s="192"/>
      <c r="J486" s="9" t="s">
        <v>3508</v>
      </c>
      <c r="K486" s="60"/>
      <c r="L486" s="65"/>
      <c r="M486" s="10">
        <v>2</v>
      </c>
      <c r="N486" s="72"/>
      <c r="O486" s="77"/>
      <c r="P486" s="65"/>
    </row>
    <row r="487" spans="1:16">
      <c r="A487" s="15">
        <v>484</v>
      </c>
      <c r="B487" s="15" t="s">
        <v>2058</v>
      </c>
      <c r="C487" s="15">
        <v>401</v>
      </c>
      <c r="D487" s="36" t="s">
        <v>209</v>
      </c>
      <c r="E487" s="36"/>
      <c r="F487" s="36" t="s">
        <v>3507</v>
      </c>
      <c r="G487" s="36"/>
      <c r="H487" s="192"/>
      <c r="I487" s="192"/>
      <c r="J487" s="9" t="s">
        <v>3508</v>
      </c>
      <c r="K487" s="60"/>
      <c r="L487" s="65"/>
      <c r="M487" s="10">
        <v>2</v>
      </c>
      <c r="N487" s="72"/>
      <c r="O487" s="77"/>
      <c r="P487" s="65"/>
    </row>
    <row r="488" spans="1:16">
      <c r="A488" s="15">
        <v>485</v>
      </c>
      <c r="B488" s="15" t="s">
        <v>2058</v>
      </c>
      <c r="C488" s="15">
        <v>402</v>
      </c>
      <c r="D488" s="36" t="s">
        <v>209</v>
      </c>
      <c r="E488" s="36"/>
      <c r="F488" s="36" t="s">
        <v>3507</v>
      </c>
      <c r="G488" s="36"/>
      <c r="H488" s="192"/>
      <c r="I488" s="192"/>
      <c r="J488" s="9" t="s">
        <v>3508</v>
      </c>
      <c r="K488" s="60"/>
      <c r="L488" s="65"/>
      <c r="M488" s="10">
        <v>2</v>
      </c>
      <c r="N488" s="72"/>
      <c r="O488" s="77"/>
      <c r="P488" s="65"/>
    </row>
    <row r="489" spans="1:16">
      <c r="A489" s="15">
        <v>486</v>
      </c>
      <c r="B489" s="15" t="s">
        <v>3509</v>
      </c>
      <c r="C489" s="15" t="s">
        <v>3325</v>
      </c>
      <c r="D489" s="36" t="s">
        <v>209</v>
      </c>
      <c r="E489" s="36"/>
      <c r="F489" s="36" t="s">
        <v>3510</v>
      </c>
      <c r="G489" s="36" t="s">
        <v>3511</v>
      </c>
      <c r="H489" s="192"/>
      <c r="I489" s="192"/>
      <c r="J489" s="9" t="s">
        <v>3508</v>
      </c>
      <c r="K489" s="60"/>
      <c r="L489" s="65"/>
      <c r="M489" s="10">
        <v>2</v>
      </c>
      <c r="N489" s="72"/>
      <c r="O489" s="77"/>
      <c r="P489" s="65"/>
    </row>
    <row r="490" spans="1:16">
      <c r="A490" s="15">
        <v>487</v>
      </c>
      <c r="B490" s="15" t="s">
        <v>3509</v>
      </c>
      <c r="C490" s="15" t="s">
        <v>3200</v>
      </c>
      <c r="D490" s="36" t="s">
        <v>209</v>
      </c>
      <c r="E490" s="36"/>
      <c r="F490" s="36" t="s">
        <v>3510</v>
      </c>
      <c r="G490" s="36" t="s">
        <v>3511</v>
      </c>
      <c r="H490" s="192"/>
      <c r="I490" s="192"/>
      <c r="J490" s="9" t="s">
        <v>3508</v>
      </c>
      <c r="K490" s="60"/>
      <c r="L490" s="65"/>
      <c r="M490" s="10">
        <v>2</v>
      </c>
      <c r="N490" s="72"/>
      <c r="O490" s="77"/>
      <c r="P490" s="65"/>
    </row>
    <row r="491" spans="1:16">
      <c r="A491" s="15">
        <v>488</v>
      </c>
      <c r="B491" s="15" t="s">
        <v>3509</v>
      </c>
      <c r="C491" s="15" t="s">
        <v>3358</v>
      </c>
      <c r="D491" s="36" t="s">
        <v>209</v>
      </c>
      <c r="E491" s="36"/>
      <c r="F491" s="36" t="s">
        <v>3510</v>
      </c>
      <c r="G491" s="36" t="s">
        <v>3511</v>
      </c>
      <c r="H491" s="192"/>
      <c r="I491" s="192"/>
      <c r="J491" s="9" t="s">
        <v>3508</v>
      </c>
      <c r="K491" s="60"/>
      <c r="L491" s="65"/>
      <c r="M491" s="10">
        <v>2</v>
      </c>
      <c r="N491" s="72"/>
      <c r="O491" s="77"/>
      <c r="P491" s="65"/>
    </row>
    <row r="492" spans="1:16">
      <c r="A492" s="15">
        <v>489</v>
      </c>
      <c r="B492" s="15" t="s">
        <v>3509</v>
      </c>
      <c r="C492" s="15" t="s">
        <v>2563</v>
      </c>
      <c r="D492" s="36" t="s">
        <v>209</v>
      </c>
      <c r="E492" s="36"/>
      <c r="F492" s="36" t="s">
        <v>3510</v>
      </c>
      <c r="G492" s="36" t="s">
        <v>3511</v>
      </c>
      <c r="H492" s="192"/>
      <c r="I492" s="192"/>
      <c r="J492" s="9" t="s">
        <v>3508</v>
      </c>
      <c r="K492" s="60"/>
      <c r="L492" s="65"/>
      <c r="M492" s="10">
        <v>2</v>
      </c>
      <c r="N492" s="72"/>
      <c r="O492" s="77"/>
      <c r="P492" s="65"/>
    </row>
    <row r="493" spans="1:16">
      <c r="A493" s="15">
        <v>490</v>
      </c>
      <c r="B493" s="15" t="s">
        <v>3509</v>
      </c>
      <c r="C493" s="15" t="s">
        <v>3359</v>
      </c>
      <c r="D493" s="36" t="s">
        <v>209</v>
      </c>
      <c r="E493" s="36"/>
      <c r="F493" s="36" t="s">
        <v>3510</v>
      </c>
      <c r="G493" s="36" t="s">
        <v>3511</v>
      </c>
      <c r="H493" s="192"/>
      <c r="I493" s="192"/>
      <c r="J493" s="9" t="s">
        <v>3508</v>
      </c>
      <c r="K493" s="60"/>
      <c r="L493" s="65"/>
      <c r="M493" s="10">
        <v>2</v>
      </c>
      <c r="N493" s="72"/>
      <c r="O493" s="77"/>
      <c r="P493" s="65"/>
    </row>
    <row r="494" spans="1:16">
      <c r="A494" s="15">
        <v>491</v>
      </c>
      <c r="B494" s="15" t="s">
        <v>3509</v>
      </c>
      <c r="C494" s="15" t="s">
        <v>3490</v>
      </c>
      <c r="D494" s="36" t="s">
        <v>209</v>
      </c>
      <c r="E494" s="36"/>
      <c r="F494" s="36" t="s">
        <v>3510</v>
      </c>
      <c r="G494" s="36" t="s">
        <v>3511</v>
      </c>
      <c r="H494" s="192"/>
      <c r="I494" s="192"/>
      <c r="J494" s="9" t="s">
        <v>3508</v>
      </c>
      <c r="K494" s="60"/>
      <c r="L494" s="65"/>
      <c r="M494" s="10">
        <v>2</v>
      </c>
      <c r="N494" s="72"/>
      <c r="O494" s="77"/>
      <c r="P494" s="65"/>
    </row>
    <row r="495" spans="1:16">
      <c r="A495" s="15">
        <v>492</v>
      </c>
      <c r="B495" s="15" t="s">
        <v>3509</v>
      </c>
      <c r="C495" s="15" t="s">
        <v>3491</v>
      </c>
      <c r="D495" s="36" t="s">
        <v>209</v>
      </c>
      <c r="E495" s="36"/>
      <c r="F495" s="36" t="s">
        <v>3510</v>
      </c>
      <c r="G495" s="36" t="s">
        <v>3511</v>
      </c>
      <c r="H495" s="192"/>
      <c r="I495" s="192"/>
      <c r="J495" s="9" t="s">
        <v>3508</v>
      </c>
      <c r="K495" s="60"/>
      <c r="L495" s="65"/>
      <c r="M495" s="10">
        <v>2</v>
      </c>
      <c r="N495" s="72"/>
      <c r="O495" s="77"/>
      <c r="P495" s="65"/>
    </row>
    <row r="496" spans="1:16">
      <c r="A496" s="15">
        <v>493</v>
      </c>
      <c r="B496" s="15" t="s">
        <v>3509</v>
      </c>
      <c r="C496" s="15" t="s">
        <v>2626</v>
      </c>
      <c r="D496" s="36" t="s">
        <v>209</v>
      </c>
      <c r="E496" s="36"/>
      <c r="F496" s="36" t="s">
        <v>3510</v>
      </c>
      <c r="G496" s="36" t="s">
        <v>3511</v>
      </c>
      <c r="H496" s="192"/>
      <c r="I496" s="192"/>
      <c r="J496" s="9" t="s">
        <v>3508</v>
      </c>
      <c r="K496" s="60"/>
      <c r="L496" s="65"/>
      <c r="M496" s="10">
        <v>2</v>
      </c>
      <c r="N496" s="72"/>
      <c r="O496" s="77"/>
      <c r="P496" s="65"/>
    </row>
    <row r="497" spans="1:16">
      <c r="A497" s="15">
        <v>494</v>
      </c>
      <c r="B497" s="15" t="s">
        <v>3509</v>
      </c>
      <c r="C497" s="15" t="s">
        <v>3512</v>
      </c>
      <c r="D497" s="36" t="s">
        <v>209</v>
      </c>
      <c r="E497" s="36"/>
      <c r="F497" s="36" t="s">
        <v>3510</v>
      </c>
      <c r="G497" s="36" t="s">
        <v>3511</v>
      </c>
      <c r="H497" s="192"/>
      <c r="I497" s="192"/>
      <c r="J497" s="9" t="s">
        <v>3508</v>
      </c>
      <c r="K497" s="60"/>
      <c r="L497" s="65"/>
      <c r="M497" s="10">
        <v>2</v>
      </c>
      <c r="N497" s="72"/>
      <c r="O497" s="77"/>
      <c r="P497" s="65"/>
    </row>
    <row r="498" spans="1:16">
      <c r="A498" s="15">
        <v>495</v>
      </c>
      <c r="B498" s="15" t="s">
        <v>3509</v>
      </c>
      <c r="C498" s="15" t="s">
        <v>3513</v>
      </c>
      <c r="D498" s="36" t="s">
        <v>209</v>
      </c>
      <c r="E498" s="36"/>
      <c r="F498" s="36" t="s">
        <v>3510</v>
      </c>
      <c r="G498" s="36" t="s">
        <v>3511</v>
      </c>
      <c r="H498" s="192"/>
      <c r="I498" s="192"/>
      <c r="J498" s="9" t="s">
        <v>3508</v>
      </c>
      <c r="K498" s="60"/>
      <c r="L498" s="65"/>
      <c r="M498" s="10">
        <v>2</v>
      </c>
      <c r="N498" s="72"/>
      <c r="O498" s="77"/>
      <c r="P498" s="65"/>
    </row>
    <row r="499" spans="1:16">
      <c r="A499" s="15">
        <v>496</v>
      </c>
      <c r="B499" s="15" t="s">
        <v>3509</v>
      </c>
      <c r="C499" s="15" t="s">
        <v>3514</v>
      </c>
      <c r="D499" s="36" t="s">
        <v>209</v>
      </c>
      <c r="E499" s="36"/>
      <c r="F499" s="36" t="s">
        <v>3510</v>
      </c>
      <c r="G499" s="36" t="s">
        <v>3511</v>
      </c>
      <c r="H499" s="192"/>
      <c r="I499" s="192"/>
      <c r="J499" s="9" t="s">
        <v>3508</v>
      </c>
      <c r="K499" s="60"/>
      <c r="L499" s="65"/>
      <c r="M499" s="10">
        <v>2</v>
      </c>
      <c r="N499" s="72"/>
      <c r="O499" s="77"/>
      <c r="P499" s="65"/>
    </row>
    <row r="500" spans="1:16">
      <c r="A500" s="15">
        <v>497</v>
      </c>
      <c r="B500" s="15" t="s">
        <v>3509</v>
      </c>
      <c r="C500" s="15" t="s">
        <v>3515</v>
      </c>
      <c r="D500" s="36" t="s">
        <v>209</v>
      </c>
      <c r="E500" s="36"/>
      <c r="F500" s="36" t="s">
        <v>3510</v>
      </c>
      <c r="G500" s="36" t="s">
        <v>3511</v>
      </c>
      <c r="H500" s="192"/>
      <c r="I500" s="192"/>
      <c r="J500" s="9" t="s">
        <v>3508</v>
      </c>
      <c r="K500" s="60"/>
      <c r="L500" s="65"/>
      <c r="M500" s="10">
        <v>2</v>
      </c>
      <c r="N500" s="72"/>
      <c r="O500" s="77"/>
      <c r="P500" s="65"/>
    </row>
    <row r="501" spans="1:16">
      <c r="A501" s="15">
        <v>498</v>
      </c>
      <c r="B501" s="15" t="s">
        <v>3091</v>
      </c>
      <c r="C501" s="15" t="s">
        <v>3325</v>
      </c>
      <c r="D501" s="358"/>
      <c r="E501" s="36"/>
      <c r="F501" s="36"/>
      <c r="G501" s="36"/>
      <c r="H501" s="192"/>
      <c r="I501" s="192"/>
      <c r="J501" s="9"/>
      <c r="K501" s="60"/>
      <c r="L501" s="65"/>
      <c r="M501" s="10"/>
      <c r="N501" s="72"/>
      <c r="O501" s="77"/>
      <c r="P501" s="65"/>
    </row>
    <row r="502" spans="1:16">
      <c r="A502" s="15"/>
      <c r="B502" s="15" t="s">
        <v>3091</v>
      </c>
      <c r="C502" s="15" t="s">
        <v>2597</v>
      </c>
      <c r="D502" s="358"/>
      <c r="E502" s="36"/>
      <c r="F502" s="36"/>
      <c r="G502" s="36"/>
      <c r="H502" s="192"/>
      <c r="I502" s="192"/>
      <c r="J502" s="9"/>
      <c r="K502" s="60"/>
      <c r="L502" s="65"/>
      <c r="M502" s="10"/>
      <c r="N502" s="72"/>
      <c r="O502" s="77"/>
      <c r="P502" s="65"/>
    </row>
    <row r="503" spans="1:16">
      <c r="A503" s="15"/>
      <c r="B503" s="15" t="s">
        <v>3091</v>
      </c>
      <c r="C503" s="15">
        <v>101</v>
      </c>
      <c r="D503" s="358"/>
      <c r="E503" s="36"/>
      <c r="F503" s="36"/>
      <c r="G503" s="36"/>
      <c r="H503" s="192"/>
      <c r="I503" s="192"/>
      <c r="J503" s="9"/>
      <c r="K503" s="60"/>
      <c r="L503" s="65"/>
      <c r="M503" s="10"/>
      <c r="N503" s="72"/>
      <c r="O503" s="77"/>
      <c r="P503" s="65"/>
    </row>
    <row r="504" spans="1:16">
      <c r="A504" s="15"/>
      <c r="B504" s="15" t="s">
        <v>3091</v>
      </c>
      <c r="C504" s="15">
        <v>102</v>
      </c>
      <c r="D504" s="358"/>
      <c r="E504" s="36"/>
      <c r="F504" s="36"/>
      <c r="G504" s="36"/>
      <c r="H504" s="192"/>
      <c r="I504" s="192"/>
      <c r="J504" s="9"/>
      <c r="K504" s="60"/>
      <c r="L504" s="65"/>
      <c r="M504" s="10"/>
      <c r="N504" s="72"/>
      <c r="O504" s="77"/>
      <c r="P504" s="65"/>
    </row>
    <row r="505" spans="1:16">
      <c r="A505" s="15"/>
      <c r="B505" s="15" t="s">
        <v>3091</v>
      </c>
      <c r="C505" s="15" t="s">
        <v>3516</v>
      </c>
      <c r="D505" s="358"/>
      <c r="E505" s="36"/>
      <c r="F505" s="36"/>
      <c r="G505" s="36"/>
      <c r="H505" s="192"/>
      <c r="I505" s="192"/>
      <c r="J505" s="9"/>
      <c r="K505" s="60"/>
      <c r="L505" s="65"/>
      <c r="M505" s="10"/>
      <c r="N505" s="72"/>
      <c r="O505" s="77"/>
      <c r="P505" s="65"/>
    </row>
    <row r="506" spans="1:16">
      <c r="A506" s="15"/>
      <c r="B506" s="15" t="s">
        <v>3091</v>
      </c>
      <c r="C506" s="15" t="s">
        <v>3359</v>
      </c>
      <c r="D506" s="36"/>
      <c r="E506" s="36"/>
      <c r="F506" s="36"/>
      <c r="G506" s="36"/>
      <c r="H506" s="192"/>
      <c r="I506" s="192"/>
      <c r="J506" s="9"/>
      <c r="K506" s="60"/>
      <c r="L506" s="65"/>
      <c r="M506" s="10"/>
      <c r="N506" s="72"/>
      <c r="O506" s="77"/>
      <c r="P506" s="65"/>
    </row>
    <row r="507" spans="1:16">
      <c r="A507" s="15"/>
      <c r="B507" s="15"/>
      <c r="C507" s="15"/>
      <c r="D507" s="36"/>
      <c r="E507" s="36"/>
      <c r="F507" s="36"/>
      <c r="G507" s="36"/>
      <c r="H507" s="192"/>
      <c r="I507" s="192"/>
      <c r="J507" s="9"/>
      <c r="K507" s="60"/>
      <c r="L507" s="65"/>
      <c r="M507" s="10"/>
      <c r="N507" s="72"/>
      <c r="O507" s="77"/>
      <c r="P507" s="65"/>
    </row>
    <row r="508" spans="1:16">
      <c r="A508" s="15"/>
      <c r="B508" s="15"/>
      <c r="C508" s="15"/>
      <c r="D508" s="36"/>
      <c r="E508" s="36"/>
      <c r="F508" s="36"/>
      <c r="G508" s="36"/>
      <c r="H508" s="192"/>
      <c r="I508" s="192"/>
      <c r="J508" s="9"/>
      <c r="K508" s="60"/>
      <c r="L508" s="65"/>
      <c r="M508" s="10"/>
      <c r="N508" s="72"/>
      <c r="O508" s="77"/>
      <c r="P508" s="65"/>
    </row>
    <row r="509" spans="1:16">
      <c r="A509" s="15"/>
      <c r="B509" s="15"/>
      <c r="C509" s="15"/>
      <c r="D509" s="36"/>
      <c r="E509" s="36"/>
      <c r="F509" s="36"/>
      <c r="G509" s="36"/>
      <c r="H509" s="192"/>
      <c r="I509" s="192"/>
      <c r="J509" s="9"/>
      <c r="K509" s="60"/>
      <c r="L509" s="65"/>
      <c r="M509" s="10"/>
      <c r="N509" s="72"/>
      <c r="O509" s="77"/>
      <c r="P509" s="65"/>
    </row>
    <row r="510" spans="1:16">
      <c r="A510" s="15"/>
      <c r="B510" s="15"/>
      <c r="C510" s="15"/>
      <c r="D510" s="36"/>
      <c r="E510" s="36"/>
      <c r="F510" s="36"/>
      <c r="G510" s="36"/>
      <c r="H510" s="192"/>
      <c r="I510" s="192"/>
      <c r="J510" s="9"/>
      <c r="K510" s="60"/>
      <c r="L510" s="65"/>
      <c r="M510" s="10"/>
      <c r="N510" s="72"/>
      <c r="O510" s="77"/>
      <c r="P510" s="65"/>
    </row>
    <row r="511" spans="1:16">
      <c r="A511" s="15"/>
      <c r="B511" s="15"/>
      <c r="C511" s="15"/>
      <c r="D511" s="36"/>
      <c r="E511" s="36"/>
      <c r="F511" s="36"/>
      <c r="G511" s="36"/>
      <c r="H511" s="192"/>
      <c r="I511" s="192"/>
      <c r="J511" s="9"/>
      <c r="K511" s="60"/>
      <c r="L511" s="65"/>
      <c r="M511" s="65"/>
      <c r="N511" s="72"/>
      <c r="O511" s="77"/>
      <c r="P511" s="65"/>
    </row>
    <row r="512" spans="1:16">
      <c r="A512" s="15"/>
      <c r="B512" s="15"/>
      <c r="C512" s="15"/>
      <c r="D512" s="36"/>
      <c r="E512" s="36"/>
      <c r="F512" s="36"/>
      <c r="G512" s="36"/>
      <c r="H512" s="192"/>
      <c r="I512" s="192"/>
      <c r="J512" s="9"/>
      <c r="K512" s="60"/>
      <c r="L512" s="65"/>
      <c r="M512" s="65"/>
      <c r="N512" s="72"/>
      <c r="O512" s="77"/>
      <c r="P512" s="65"/>
    </row>
    <row r="513" spans="1:16">
      <c r="A513" s="15"/>
      <c r="B513" s="15"/>
      <c r="C513" s="15"/>
      <c r="D513" s="36"/>
      <c r="E513" s="36"/>
      <c r="F513" s="36"/>
      <c r="G513" s="36"/>
      <c r="H513" s="192"/>
      <c r="I513" s="192"/>
      <c r="J513" s="9"/>
      <c r="K513" s="60"/>
      <c r="L513" s="65"/>
      <c r="M513" s="65"/>
      <c r="N513" s="72"/>
      <c r="O513" s="77"/>
      <c r="P513" s="65"/>
    </row>
    <row r="514" spans="1:16">
      <c r="A514" s="15"/>
      <c r="B514" s="15"/>
      <c r="C514" s="15"/>
      <c r="D514" s="36"/>
      <c r="E514" s="36"/>
      <c r="F514" s="36"/>
      <c r="G514" s="36"/>
      <c r="H514" s="192"/>
      <c r="I514" s="192"/>
      <c r="J514" s="9"/>
      <c r="K514" s="60"/>
      <c r="L514" s="65"/>
      <c r="M514" s="65"/>
      <c r="N514" s="72"/>
      <c r="O514" s="77"/>
      <c r="P514" s="65"/>
    </row>
    <row r="515" spans="1:16">
      <c r="A515" s="15"/>
      <c r="B515" s="15"/>
      <c r="C515" s="15"/>
      <c r="D515" s="36"/>
      <c r="E515" s="36"/>
      <c r="F515" s="36"/>
      <c r="G515" s="36"/>
      <c r="H515" s="192"/>
      <c r="I515" s="192"/>
      <c r="J515" s="9"/>
      <c r="K515" s="60"/>
      <c r="L515" s="65"/>
      <c r="M515" s="65"/>
      <c r="N515" s="72"/>
      <c r="O515" s="77"/>
      <c r="P515" s="65"/>
    </row>
    <row r="516" spans="1:16">
      <c r="A516" s="15"/>
      <c r="B516" s="15"/>
      <c r="C516" s="15"/>
      <c r="D516" s="36"/>
      <c r="E516" s="36"/>
      <c r="F516" s="36"/>
      <c r="G516" s="36"/>
      <c r="H516" s="192"/>
      <c r="I516" s="192"/>
      <c r="J516" s="9"/>
      <c r="K516" s="60"/>
      <c r="L516" s="65"/>
      <c r="M516" s="65"/>
      <c r="N516" s="72"/>
      <c r="O516" s="77"/>
      <c r="P516" s="65"/>
    </row>
    <row r="517" spans="1:16">
      <c r="A517" s="15"/>
      <c r="B517" s="15"/>
      <c r="C517" s="15"/>
      <c r="D517" s="36"/>
      <c r="E517" s="36"/>
      <c r="F517" s="36"/>
      <c r="G517" s="36"/>
      <c r="H517" s="192"/>
      <c r="I517" s="192"/>
      <c r="J517" s="9"/>
      <c r="K517" s="60"/>
      <c r="L517" s="65"/>
      <c r="M517" s="65"/>
      <c r="N517" s="72"/>
      <c r="O517" s="77"/>
      <c r="P517" s="65"/>
    </row>
    <row r="518" spans="1:16">
      <c r="A518" s="15"/>
      <c r="B518" s="15"/>
      <c r="C518" s="15"/>
      <c r="D518" s="36"/>
      <c r="E518" s="36"/>
      <c r="F518" s="36"/>
      <c r="G518" s="36"/>
      <c r="H518" s="192"/>
      <c r="I518" s="192"/>
      <c r="J518" s="9"/>
      <c r="K518" s="60"/>
      <c r="L518" s="65"/>
      <c r="M518" s="65"/>
      <c r="N518" s="72"/>
      <c r="O518" s="77"/>
      <c r="P518" s="65"/>
    </row>
    <row r="519" spans="1:16">
      <c r="A519" s="15"/>
      <c r="B519" s="15"/>
      <c r="C519" s="15"/>
      <c r="D519" s="36"/>
      <c r="E519" s="36"/>
      <c r="F519" s="36"/>
      <c r="G519" s="36"/>
      <c r="H519" s="192"/>
      <c r="I519" s="192"/>
      <c r="J519" s="9"/>
      <c r="K519" s="60"/>
      <c r="L519" s="65"/>
      <c r="M519" s="65"/>
      <c r="N519" s="72"/>
      <c r="O519" s="77"/>
      <c r="P519" s="65"/>
    </row>
    <row r="520" spans="1:16">
      <c r="A520" s="15"/>
      <c r="B520" s="15"/>
      <c r="C520" s="15"/>
      <c r="D520" s="36"/>
      <c r="E520" s="36"/>
      <c r="F520" s="36"/>
      <c r="G520" s="36"/>
      <c r="H520" s="192"/>
      <c r="I520" s="192"/>
      <c r="J520" s="9"/>
      <c r="K520" s="60"/>
      <c r="L520" s="65"/>
      <c r="M520" s="65"/>
      <c r="N520" s="72"/>
      <c r="O520" s="77"/>
      <c r="P520" s="65"/>
    </row>
    <row r="521" spans="1:16">
      <c r="A521" s="15"/>
      <c r="B521" s="15"/>
      <c r="C521" s="15"/>
      <c r="D521" s="36"/>
      <c r="E521" s="36"/>
      <c r="F521" s="36"/>
      <c r="G521" s="36"/>
      <c r="H521" s="192"/>
      <c r="I521" s="192"/>
      <c r="J521" s="9"/>
      <c r="K521" s="60"/>
      <c r="L521" s="65"/>
      <c r="M521" s="65"/>
      <c r="N521" s="72"/>
      <c r="O521" s="77"/>
      <c r="P521" s="65"/>
    </row>
    <row r="522" spans="1:16">
      <c r="A522" s="15"/>
      <c r="B522" s="15"/>
      <c r="C522" s="15"/>
      <c r="D522" s="36"/>
      <c r="E522" s="36"/>
      <c r="F522" s="36"/>
      <c r="G522" s="36"/>
      <c r="H522" s="192"/>
      <c r="I522" s="192"/>
      <c r="J522" s="9"/>
      <c r="K522" s="60"/>
      <c r="L522" s="65"/>
      <c r="M522" s="65"/>
      <c r="N522" s="72"/>
      <c r="O522" s="77"/>
      <c r="P522" s="65"/>
    </row>
    <row r="523" spans="1:16">
      <c r="A523" s="15"/>
      <c r="B523" s="15"/>
      <c r="C523" s="15"/>
      <c r="D523" s="36"/>
      <c r="E523" s="36"/>
      <c r="F523" s="36"/>
      <c r="G523" s="36"/>
      <c r="H523" s="192"/>
      <c r="I523" s="192"/>
      <c r="J523" s="9"/>
      <c r="K523" s="60"/>
      <c r="L523" s="65"/>
      <c r="M523" s="65"/>
      <c r="N523" s="72"/>
      <c r="O523" s="77"/>
      <c r="P523" s="65"/>
    </row>
    <row r="524" spans="1:16">
      <c r="A524" s="15"/>
      <c r="B524" s="15"/>
      <c r="C524" s="15"/>
      <c r="D524" s="36"/>
      <c r="E524" s="36"/>
      <c r="F524" s="36"/>
      <c r="G524" s="36"/>
      <c r="H524" s="192"/>
      <c r="I524" s="192"/>
      <c r="J524" s="9"/>
      <c r="K524" s="60"/>
      <c r="L524" s="65"/>
      <c r="M524" s="65"/>
      <c r="N524" s="72"/>
      <c r="O524" s="77"/>
      <c r="P524" s="65"/>
    </row>
    <row r="525" spans="1:16">
      <c r="A525" s="15"/>
      <c r="B525" s="15"/>
      <c r="C525" s="15"/>
      <c r="D525" s="36"/>
      <c r="E525" s="36"/>
      <c r="F525" s="36"/>
      <c r="G525" s="36"/>
      <c r="H525" s="192"/>
      <c r="I525" s="192"/>
      <c r="J525" s="9"/>
      <c r="K525" s="60"/>
      <c r="L525" s="65"/>
      <c r="M525" s="65"/>
      <c r="N525" s="72"/>
      <c r="O525" s="77"/>
      <c r="P525" s="65"/>
    </row>
    <row r="526" spans="1:16">
      <c r="A526" s="15"/>
      <c r="B526" s="15"/>
      <c r="C526" s="15"/>
      <c r="D526" s="36"/>
      <c r="E526" s="36"/>
      <c r="F526" s="36"/>
      <c r="G526" s="36"/>
      <c r="H526" s="192"/>
      <c r="I526" s="192"/>
      <c r="J526" s="9"/>
      <c r="K526" s="60"/>
      <c r="L526" s="65"/>
      <c r="M526" s="65"/>
      <c r="N526" s="72"/>
      <c r="O526" s="77"/>
      <c r="P526" s="65"/>
    </row>
    <row r="527" spans="1:16">
      <c r="A527" s="15"/>
      <c r="B527" s="15"/>
      <c r="C527" s="15"/>
      <c r="D527" s="36"/>
      <c r="E527" s="36"/>
      <c r="F527" s="36"/>
      <c r="G527" s="36"/>
      <c r="H527" s="192"/>
      <c r="I527" s="192"/>
      <c r="J527" s="9"/>
      <c r="K527" s="60"/>
      <c r="L527" s="65"/>
      <c r="M527" s="65"/>
      <c r="N527" s="72"/>
      <c r="O527" s="77"/>
      <c r="P527" s="65"/>
    </row>
    <row r="528" spans="1:16">
      <c r="A528" s="15"/>
      <c r="B528" s="15"/>
      <c r="C528" s="15"/>
      <c r="D528" s="36"/>
      <c r="E528" s="36"/>
      <c r="F528" s="36"/>
      <c r="G528" s="36"/>
      <c r="H528" s="192"/>
      <c r="I528" s="192"/>
      <c r="J528" s="9"/>
      <c r="K528" s="60"/>
      <c r="L528" s="65"/>
      <c r="M528" s="65"/>
      <c r="N528" s="72"/>
      <c r="O528" s="77"/>
      <c r="P528" s="65"/>
    </row>
    <row r="529" spans="1:16">
      <c r="A529" s="15"/>
      <c r="B529" s="15"/>
      <c r="C529" s="15"/>
      <c r="D529" s="36"/>
      <c r="E529" s="36"/>
      <c r="F529" s="36"/>
      <c r="G529" s="36"/>
      <c r="H529" s="192"/>
      <c r="I529" s="192"/>
      <c r="J529" s="9"/>
      <c r="K529" s="60"/>
      <c r="L529" s="65"/>
      <c r="M529" s="65"/>
      <c r="N529" s="72"/>
      <c r="O529" s="77"/>
      <c r="P529" s="65"/>
    </row>
    <row r="530" spans="1:16">
      <c r="A530" s="15"/>
      <c r="B530" s="15"/>
      <c r="C530" s="15"/>
      <c r="D530" s="36"/>
      <c r="E530" s="36"/>
      <c r="F530" s="36"/>
      <c r="G530" s="36"/>
      <c r="H530" s="192"/>
      <c r="I530" s="192"/>
      <c r="J530" s="9"/>
      <c r="K530" s="60"/>
      <c r="L530" s="65"/>
      <c r="M530" s="65"/>
      <c r="N530" s="72"/>
      <c r="O530" s="77"/>
      <c r="P530" s="65"/>
    </row>
    <row r="531" spans="1:16">
      <c r="A531" s="15"/>
      <c r="B531" s="15"/>
      <c r="C531" s="15"/>
      <c r="D531" s="36"/>
      <c r="E531" s="36"/>
      <c r="F531" s="36"/>
      <c r="G531" s="36"/>
      <c r="H531" s="192"/>
      <c r="I531" s="192"/>
      <c r="J531" s="9"/>
      <c r="K531" s="60"/>
      <c r="L531" s="65"/>
      <c r="M531" s="65"/>
      <c r="N531" s="72"/>
      <c r="O531" s="77"/>
      <c r="P531" s="65"/>
    </row>
    <row r="532" spans="1:16">
      <c r="A532" s="15"/>
      <c r="B532" s="15"/>
      <c r="C532" s="15"/>
      <c r="D532" s="36"/>
      <c r="E532" s="36"/>
      <c r="F532" s="36"/>
      <c r="G532" s="36"/>
      <c r="H532" s="192"/>
      <c r="I532" s="192"/>
      <c r="J532" s="9"/>
      <c r="K532" s="60"/>
      <c r="L532" s="65"/>
      <c r="M532" s="65"/>
      <c r="N532" s="72"/>
      <c r="O532" s="77"/>
      <c r="P532" s="65"/>
    </row>
    <row r="533" spans="1:16">
      <c r="A533" s="15"/>
      <c r="B533" s="15"/>
      <c r="C533" s="15"/>
      <c r="D533" s="36"/>
      <c r="E533" s="36"/>
      <c r="F533" s="36"/>
      <c r="G533" s="36"/>
      <c r="H533" s="192"/>
      <c r="I533" s="192"/>
      <c r="J533" s="9"/>
      <c r="K533" s="60"/>
      <c r="L533" s="65"/>
      <c r="M533" s="65"/>
      <c r="N533" s="72"/>
      <c r="O533" s="77"/>
      <c r="P533" s="65"/>
    </row>
    <row r="534" spans="1:16">
      <c r="A534" s="15"/>
      <c r="B534" s="15"/>
      <c r="C534" s="15"/>
      <c r="D534" s="36"/>
      <c r="E534" s="36"/>
      <c r="F534" s="36"/>
      <c r="G534" s="36"/>
      <c r="H534" s="192"/>
      <c r="I534" s="192"/>
      <c r="J534" s="9"/>
      <c r="K534" s="60"/>
      <c r="L534" s="65"/>
      <c r="M534" s="65"/>
      <c r="N534" s="72"/>
      <c r="O534" s="77"/>
      <c r="P534" s="65"/>
    </row>
    <row r="535" spans="1:16">
      <c r="A535" s="15"/>
      <c r="B535" s="15"/>
      <c r="C535" s="15"/>
      <c r="D535" s="36"/>
      <c r="E535" s="36"/>
      <c r="F535" s="36"/>
      <c r="G535" s="36"/>
      <c r="H535" s="192"/>
      <c r="I535" s="192"/>
      <c r="J535" s="9"/>
      <c r="K535" s="60"/>
      <c r="L535" s="65"/>
      <c r="M535" s="65"/>
      <c r="N535" s="72"/>
      <c r="O535" s="77"/>
      <c r="P535" s="65"/>
    </row>
    <row r="536" spans="1:16">
      <c r="A536" s="15"/>
      <c r="B536" s="15"/>
      <c r="C536" s="15"/>
      <c r="D536" s="36"/>
      <c r="E536" s="36"/>
      <c r="F536" s="36"/>
      <c r="G536" s="36"/>
      <c r="H536" s="192"/>
      <c r="I536" s="192"/>
      <c r="J536" s="9"/>
      <c r="K536" s="60"/>
      <c r="L536" s="65"/>
      <c r="M536" s="65"/>
      <c r="N536" s="72"/>
      <c r="O536" s="77"/>
      <c r="P536" s="65"/>
    </row>
    <row r="537" spans="1:16">
      <c r="A537" s="15"/>
      <c r="B537" s="15"/>
      <c r="C537" s="15"/>
      <c r="D537" s="36"/>
      <c r="E537" s="36"/>
      <c r="F537" s="36"/>
      <c r="G537" s="36"/>
      <c r="H537" s="192"/>
      <c r="I537" s="192"/>
      <c r="J537" s="9"/>
      <c r="K537" s="60"/>
      <c r="L537" s="65"/>
      <c r="M537" s="65"/>
      <c r="N537" s="72"/>
      <c r="O537" s="77"/>
      <c r="P537" s="65"/>
    </row>
    <row r="538" spans="1:16">
      <c r="A538" s="15"/>
      <c r="B538" s="15"/>
      <c r="C538" s="15"/>
      <c r="D538" s="36"/>
      <c r="E538" s="36"/>
      <c r="F538" s="36"/>
      <c r="G538" s="36"/>
      <c r="H538" s="192"/>
      <c r="I538" s="192"/>
      <c r="J538" s="9"/>
      <c r="K538" s="60"/>
      <c r="L538" s="65"/>
      <c r="M538" s="65"/>
      <c r="N538" s="72"/>
      <c r="O538" s="77"/>
      <c r="P538" s="65"/>
    </row>
    <row r="539" spans="1:16">
      <c r="A539" s="15"/>
      <c r="B539" s="15"/>
      <c r="C539" s="15"/>
      <c r="D539" s="36"/>
      <c r="E539" s="36"/>
      <c r="F539" s="36"/>
      <c r="G539" s="36"/>
      <c r="H539" s="192"/>
      <c r="I539" s="192"/>
      <c r="J539" s="9"/>
      <c r="K539" s="60"/>
      <c r="L539" s="65"/>
      <c r="M539" s="65"/>
      <c r="N539" s="72"/>
      <c r="O539" s="77"/>
      <c r="P539" s="65"/>
    </row>
    <row r="540" spans="1:16">
      <c r="A540" s="15"/>
      <c r="B540" s="15"/>
      <c r="C540" s="15"/>
      <c r="D540" s="36"/>
      <c r="E540" s="36"/>
      <c r="F540" s="36"/>
      <c r="G540" s="36"/>
      <c r="H540" s="192"/>
      <c r="I540" s="192"/>
      <c r="J540" s="9"/>
      <c r="K540" s="60"/>
      <c r="L540" s="65"/>
      <c r="M540" s="65"/>
      <c r="N540" s="72"/>
      <c r="O540" s="77"/>
      <c r="P540" s="65"/>
    </row>
    <row r="541" spans="1:16">
      <c r="A541" s="15"/>
      <c r="B541" s="15"/>
      <c r="C541" s="15"/>
      <c r="D541" s="36"/>
      <c r="E541" s="36"/>
      <c r="F541" s="36"/>
      <c r="G541" s="36"/>
      <c r="H541" s="192"/>
      <c r="I541" s="192"/>
      <c r="J541" s="9"/>
      <c r="K541" s="60"/>
      <c r="L541" s="65"/>
      <c r="M541" s="65"/>
      <c r="N541" s="72"/>
      <c r="O541" s="77"/>
      <c r="P541" s="65"/>
    </row>
    <row r="542" spans="1:16">
      <c r="A542" s="15"/>
      <c r="B542" s="15"/>
      <c r="C542" s="15"/>
      <c r="D542" s="36"/>
      <c r="E542" s="36"/>
      <c r="F542" s="36"/>
      <c r="G542" s="36"/>
      <c r="H542" s="192"/>
      <c r="I542" s="192"/>
      <c r="J542" s="9"/>
      <c r="K542" s="60"/>
      <c r="L542" s="65"/>
      <c r="M542" s="65"/>
      <c r="N542" s="72"/>
      <c r="O542" s="77"/>
      <c r="P542" s="65"/>
    </row>
    <row r="543" spans="1:16">
      <c r="A543" s="15"/>
      <c r="B543" s="15"/>
      <c r="C543" s="15"/>
      <c r="D543" s="36"/>
      <c r="E543" s="36"/>
      <c r="F543" s="36"/>
      <c r="G543" s="36"/>
      <c r="H543" s="192"/>
      <c r="I543" s="192"/>
      <c r="J543" s="9"/>
      <c r="K543" s="60"/>
      <c r="L543" s="65"/>
      <c r="M543" s="65"/>
      <c r="N543" s="72"/>
      <c r="O543" s="77"/>
      <c r="P543" s="65"/>
    </row>
    <row r="544" spans="1:16">
      <c r="A544" s="15"/>
      <c r="B544" s="15"/>
      <c r="C544" s="15"/>
      <c r="D544" s="36"/>
      <c r="E544" s="36"/>
      <c r="F544" s="36"/>
      <c r="G544" s="36"/>
      <c r="H544" s="192"/>
      <c r="I544" s="192"/>
      <c r="J544" s="9"/>
      <c r="K544" s="60"/>
      <c r="L544" s="65"/>
      <c r="M544" s="65"/>
      <c r="N544" s="72"/>
      <c r="O544" s="77"/>
      <c r="P544" s="65"/>
    </row>
    <row r="545" spans="1:16">
      <c r="A545" s="15"/>
      <c r="B545" s="15"/>
      <c r="C545" s="15"/>
      <c r="D545" s="36"/>
      <c r="E545" s="36"/>
      <c r="F545" s="36"/>
      <c r="G545" s="36"/>
      <c r="H545" s="192"/>
      <c r="I545" s="192"/>
      <c r="J545" s="9"/>
      <c r="K545" s="60"/>
      <c r="L545" s="65"/>
      <c r="M545" s="65"/>
      <c r="N545" s="72"/>
      <c r="O545" s="77"/>
      <c r="P545" s="65"/>
    </row>
    <row r="546" spans="1:16">
      <c r="A546" s="15"/>
      <c r="B546" s="15"/>
      <c r="C546" s="15"/>
      <c r="D546" s="36"/>
      <c r="E546" s="36"/>
      <c r="F546" s="36"/>
      <c r="G546" s="36"/>
      <c r="H546" s="192"/>
      <c r="I546" s="192"/>
      <c r="J546" s="9"/>
      <c r="K546" s="60"/>
      <c r="L546" s="65"/>
      <c r="M546" s="65"/>
      <c r="N546" s="72"/>
      <c r="O546" s="77"/>
      <c r="P546" s="65"/>
    </row>
    <row r="547" spans="1:16">
      <c r="A547" s="15"/>
      <c r="B547" s="15"/>
      <c r="C547" s="15"/>
      <c r="D547" s="36"/>
      <c r="E547" s="36"/>
      <c r="F547" s="36"/>
      <c r="G547" s="36"/>
      <c r="H547" s="192"/>
      <c r="I547" s="192"/>
      <c r="J547" s="9"/>
      <c r="K547" s="60"/>
      <c r="L547" s="65"/>
      <c r="M547" s="65"/>
      <c r="N547" s="72"/>
      <c r="O547" s="77"/>
      <c r="P547" s="65"/>
    </row>
    <row r="548" spans="1:16">
      <c r="A548" s="15"/>
      <c r="B548" s="15"/>
      <c r="C548" s="15"/>
      <c r="D548" s="36"/>
      <c r="E548" s="36"/>
      <c r="F548" s="36"/>
      <c r="G548" s="36"/>
      <c r="H548" s="192"/>
      <c r="I548" s="192"/>
      <c r="J548" s="9"/>
      <c r="K548" s="60"/>
      <c r="L548" s="65"/>
      <c r="M548" s="65"/>
      <c r="N548" s="72"/>
      <c r="O548" s="77"/>
      <c r="P548" s="65"/>
    </row>
    <row r="549" spans="1:16">
      <c r="A549" s="15"/>
      <c r="B549" s="15"/>
      <c r="C549" s="15"/>
      <c r="D549" s="36"/>
      <c r="E549" s="36"/>
      <c r="F549" s="36"/>
      <c r="G549" s="36"/>
      <c r="H549" s="192"/>
      <c r="I549" s="192"/>
      <c r="J549" s="9"/>
      <c r="K549" s="60"/>
      <c r="L549" s="65"/>
      <c r="M549" s="65"/>
      <c r="N549" s="72"/>
      <c r="O549" s="77"/>
      <c r="P549" s="65"/>
    </row>
    <row r="550" spans="1:16">
      <c r="A550" s="15"/>
      <c r="B550" s="15"/>
      <c r="C550" s="15"/>
      <c r="D550" s="36"/>
      <c r="E550" s="36"/>
      <c r="F550" s="36"/>
      <c r="G550" s="36"/>
      <c r="H550" s="192"/>
      <c r="I550" s="192"/>
      <c r="J550" s="9"/>
      <c r="K550" s="60"/>
      <c r="L550" s="65"/>
      <c r="M550" s="65"/>
      <c r="N550" s="72"/>
      <c r="O550" s="77"/>
      <c r="P550" s="65"/>
    </row>
    <row r="551" spans="1:16">
      <c r="A551" s="15"/>
      <c r="B551" s="15"/>
      <c r="C551" s="15"/>
      <c r="D551" s="36"/>
      <c r="E551" s="36"/>
      <c r="F551" s="36"/>
      <c r="G551" s="36"/>
      <c r="H551" s="192"/>
      <c r="I551" s="192"/>
      <c r="J551" s="9"/>
      <c r="K551" s="60"/>
      <c r="L551" s="65"/>
      <c r="M551" s="65"/>
      <c r="N551" s="72"/>
      <c r="O551" s="77"/>
      <c r="P551" s="65"/>
    </row>
    <row r="552" spans="1:16">
      <c r="A552" s="15"/>
      <c r="B552" s="15"/>
      <c r="C552" s="15"/>
      <c r="D552" s="36"/>
      <c r="E552" s="36"/>
      <c r="F552" s="36"/>
      <c r="G552" s="36"/>
      <c r="H552" s="192"/>
      <c r="I552" s="192"/>
      <c r="J552" s="9"/>
      <c r="K552" s="60"/>
      <c r="L552" s="65"/>
      <c r="M552" s="65"/>
      <c r="N552" s="72"/>
      <c r="O552" s="77"/>
      <c r="P552" s="65"/>
    </row>
    <row r="553" spans="1:16">
      <c r="A553" s="15"/>
      <c r="B553" s="15"/>
      <c r="C553" s="15"/>
      <c r="D553" s="36"/>
      <c r="E553" s="36"/>
      <c r="F553" s="36"/>
      <c r="G553" s="36"/>
      <c r="H553" s="192"/>
      <c r="I553" s="192"/>
      <c r="J553" s="9"/>
      <c r="K553" s="60"/>
      <c r="L553" s="65"/>
      <c r="M553" s="65"/>
      <c r="N553" s="72"/>
      <c r="O553" s="77"/>
      <c r="P553" s="65"/>
    </row>
  </sheetData>
  <autoFilter ref="A3:V493" xr:uid="{7CF6C66C-992C-44FE-8BAC-23103926D4A9}"/>
  <mergeCells count="2">
    <mergeCell ref="D2:G2"/>
    <mergeCell ref="H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원식 공</dc:creator>
  <cp:keywords/>
  <dc:description/>
  <cp:lastModifiedBy>원식 공</cp:lastModifiedBy>
  <cp:revision/>
  <dcterms:created xsi:type="dcterms:W3CDTF">2025-08-07T08:01:23Z</dcterms:created>
  <dcterms:modified xsi:type="dcterms:W3CDTF">2026-03-18T08:31:42Z</dcterms:modified>
  <cp:category/>
  <cp:contentStatus/>
</cp:coreProperties>
</file>